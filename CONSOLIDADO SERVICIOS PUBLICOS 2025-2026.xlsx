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jandra.betancur\Desktop\"/>
    </mc:Choice>
  </mc:AlternateContent>
  <xr:revisionPtr revIDLastSave="0" documentId="13_ncr:1_{91E64DC0-85C1-42B7-89C2-C745A0048F4A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td 2025" sheetId="5" r:id="rId1"/>
    <sheet name="consolidado 2025" sheetId="2" r:id="rId2"/>
    <sheet name="Indicadores 2025" sheetId="4" r:id="rId3"/>
    <sheet name="Consolidado 2026" sheetId="7" r:id="rId4"/>
    <sheet name="Indicadores 2026" sheetId="6" r:id="rId5"/>
    <sheet name="METAS" sheetId="8" r:id="rId6"/>
  </sheets>
  <definedNames>
    <definedName name="_xlnm._FilterDatabase" localSheetId="1" hidden="1">'consolidado 2025'!$A$1:$K$61</definedName>
    <definedName name="_xlnm._FilterDatabase" localSheetId="3" hidden="1">'Consolidado 2026'!$A$1:$K$100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7" l="1"/>
  <c r="G102" i="7"/>
  <c r="D102" i="7"/>
  <c r="D8" i="6"/>
  <c r="E8" i="6"/>
  <c r="F8" i="6"/>
  <c r="G8" i="6"/>
  <c r="D9" i="6"/>
  <c r="E9" i="6"/>
  <c r="F9" i="6"/>
  <c r="G9" i="6"/>
  <c r="D10" i="6"/>
  <c r="E10" i="6"/>
  <c r="F10" i="6"/>
  <c r="G10" i="6"/>
  <c r="D11" i="6"/>
  <c r="E11" i="6"/>
  <c r="F11" i="6"/>
  <c r="G11" i="6"/>
  <c r="D12" i="6"/>
  <c r="E12" i="6"/>
  <c r="F12" i="6"/>
  <c r="G12" i="6"/>
  <c r="D13" i="6"/>
  <c r="E13" i="6"/>
  <c r="F13" i="6"/>
  <c r="G13" i="6"/>
  <c r="D14" i="6"/>
  <c r="E14" i="6"/>
  <c r="F14" i="6"/>
  <c r="G14" i="6"/>
  <c r="D15" i="6"/>
  <c r="E15" i="6"/>
  <c r="F15" i="6"/>
  <c r="G15" i="6"/>
  <c r="C15" i="6"/>
  <c r="C14" i="6"/>
  <c r="C13" i="6"/>
  <c r="C12" i="6"/>
  <c r="C11" i="6"/>
  <c r="C10" i="6"/>
  <c r="C9" i="6"/>
  <c r="C8" i="6"/>
  <c r="I52" i="7" l="1"/>
  <c r="E52" i="7"/>
  <c r="I51" i="7"/>
  <c r="E51" i="7"/>
  <c r="I50" i="7"/>
  <c r="E50" i="7"/>
  <c r="I49" i="7"/>
  <c r="E49" i="7"/>
  <c r="I48" i="7"/>
  <c r="E48" i="7"/>
  <c r="I47" i="7"/>
  <c r="E47" i="7"/>
  <c r="I46" i="7"/>
  <c r="E46" i="7"/>
  <c r="I45" i="7"/>
  <c r="E45" i="7"/>
  <c r="I44" i="7"/>
  <c r="E44" i="7"/>
  <c r="I43" i="7"/>
  <c r="E43" i="7"/>
  <c r="I42" i="7"/>
  <c r="E42" i="7"/>
  <c r="I41" i="7"/>
  <c r="E41" i="7"/>
  <c r="I40" i="7"/>
  <c r="E40" i="7"/>
  <c r="I39" i="7"/>
  <c r="E39" i="7"/>
  <c r="I38" i="7"/>
  <c r="E38" i="7"/>
  <c r="I37" i="7"/>
  <c r="E37" i="7"/>
  <c r="I36" i="7"/>
  <c r="E36" i="7"/>
  <c r="I35" i="7"/>
  <c r="E35" i="7"/>
  <c r="I34" i="7"/>
  <c r="E34" i="7"/>
  <c r="I33" i="7"/>
  <c r="E33" i="7"/>
  <c r="I32" i="7"/>
  <c r="E32" i="7"/>
  <c r="I31" i="7"/>
  <c r="E31" i="7"/>
  <c r="I30" i="7"/>
  <c r="E30" i="7"/>
  <c r="I29" i="7"/>
  <c r="E29" i="7"/>
  <c r="I28" i="7"/>
  <c r="E28" i="7"/>
  <c r="I27" i="7"/>
  <c r="E27" i="7"/>
  <c r="I26" i="7"/>
  <c r="E26" i="7"/>
  <c r="I25" i="7"/>
  <c r="E25" i="7"/>
  <c r="I24" i="7"/>
  <c r="E24" i="7"/>
  <c r="I23" i="7"/>
  <c r="E23" i="7"/>
  <c r="I22" i="7"/>
  <c r="E22" i="7"/>
  <c r="I21" i="7"/>
  <c r="E21" i="7"/>
  <c r="I20" i="7"/>
  <c r="E20" i="7"/>
  <c r="I19" i="7"/>
  <c r="E19" i="7"/>
  <c r="I18" i="7"/>
  <c r="E18" i="7"/>
  <c r="I9" i="7"/>
  <c r="E9" i="7"/>
  <c r="I17" i="7"/>
  <c r="E17" i="7"/>
  <c r="I8" i="7"/>
  <c r="E8" i="7"/>
  <c r="I16" i="7"/>
  <c r="E16" i="7"/>
  <c r="I7" i="7"/>
  <c r="E7" i="7"/>
  <c r="I15" i="7"/>
  <c r="E15" i="7"/>
  <c r="I14" i="7"/>
  <c r="E14" i="7"/>
  <c r="I13" i="7"/>
  <c r="E13" i="7"/>
  <c r="I12" i="7"/>
  <c r="E12" i="7"/>
  <c r="I11" i="7"/>
  <c r="E11" i="7"/>
  <c r="I10" i="7"/>
  <c r="E10" i="7"/>
  <c r="I6" i="7"/>
  <c r="E6" i="7"/>
  <c r="I5" i="7"/>
  <c r="E5" i="7"/>
  <c r="I4" i="7"/>
  <c r="E4" i="7"/>
  <c r="E3" i="7"/>
  <c r="J3" i="7" s="1"/>
  <c r="I2" i="7"/>
  <c r="E2" i="7"/>
  <c r="E102" i="7" l="1"/>
  <c r="J50" i="7"/>
  <c r="J25" i="7"/>
  <c r="J29" i="7"/>
  <c r="J33" i="7"/>
  <c r="J37" i="7"/>
  <c r="J51" i="7"/>
  <c r="J45" i="7"/>
  <c r="J46" i="7"/>
  <c r="J52" i="7"/>
  <c r="J5" i="7"/>
  <c r="J47" i="7"/>
  <c r="J48" i="7"/>
  <c r="J49" i="7"/>
  <c r="J20" i="7"/>
  <c r="J28" i="7"/>
  <c r="J36" i="7"/>
  <c r="J40" i="7"/>
  <c r="J38" i="7"/>
  <c r="J42" i="7"/>
  <c r="J34" i="7"/>
  <c r="J39" i="7"/>
  <c r="J43" i="7"/>
  <c r="J41" i="7"/>
  <c r="J44" i="7"/>
  <c r="J21" i="7"/>
  <c r="J32" i="7"/>
  <c r="J19" i="7"/>
  <c r="J23" i="7"/>
  <c r="J27" i="7"/>
  <c r="J30" i="7"/>
  <c r="J31" i="7"/>
  <c r="J35" i="7"/>
  <c r="J17" i="7"/>
  <c r="J22" i="7"/>
  <c r="J26" i="7"/>
  <c r="J11" i="7"/>
  <c r="J15" i="7"/>
  <c r="J24" i="7"/>
  <c r="J13" i="7"/>
  <c r="J14" i="7"/>
  <c r="J12" i="7"/>
  <c r="J6" i="7"/>
  <c r="J10" i="7"/>
  <c r="J7" i="7"/>
  <c r="J8" i="7"/>
  <c r="J9" i="7"/>
  <c r="J2" i="7"/>
  <c r="J16" i="7"/>
  <c r="J4" i="7"/>
  <c r="J18" i="7"/>
  <c r="D12" i="4"/>
  <c r="E12" i="4"/>
  <c r="F12" i="4"/>
  <c r="G12" i="4"/>
  <c r="H12" i="4"/>
  <c r="I12" i="4"/>
  <c r="J12" i="4"/>
  <c r="K12" i="4"/>
  <c r="L12" i="4"/>
  <c r="M12" i="4"/>
  <c r="N12" i="4"/>
  <c r="D13" i="4"/>
  <c r="E13" i="4"/>
  <c r="F13" i="4"/>
  <c r="G13" i="4"/>
  <c r="H13" i="4"/>
  <c r="I13" i="4"/>
  <c r="J13" i="4"/>
  <c r="K13" i="4"/>
  <c r="L13" i="4"/>
  <c r="M13" i="4"/>
  <c r="N13" i="4"/>
  <c r="D14" i="4"/>
  <c r="E14" i="4"/>
  <c r="F14" i="4"/>
  <c r="G14" i="4"/>
  <c r="H14" i="4"/>
  <c r="I14" i="4"/>
  <c r="J14" i="4"/>
  <c r="K14" i="4"/>
  <c r="L14" i="4"/>
  <c r="M14" i="4"/>
  <c r="N14" i="4"/>
  <c r="D15" i="4"/>
  <c r="E15" i="4"/>
  <c r="F15" i="4"/>
  <c r="G15" i="4"/>
  <c r="H15" i="4"/>
  <c r="I15" i="4"/>
  <c r="J15" i="4"/>
  <c r="K15" i="4"/>
  <c r="L15" i="4"/>
  <c r="M15" i="4"/>
  <c r="N15" i="4"/>
  <c r="C15" i="4"/>
  <c r="C14" i="4"/>
  <c r="C13" i="4"/>
  <c r="C12" i="4"/>
  <c r="D10" i="4"/>
  <c r="E10" i="4"/>
  <c r="F10" i="4"/>
  <c r="G10" i="4"/>
  <c r="H10" i="4"/>
  <c r="I10" i="4"/>
  <c r="J10" i="4"/>
  <c r="K10" i="4"/>
  <c r="L10" i="4"/>
  <c r="M10" i="4"/>
  <c r="N10" i="4"/>
  <c r="D11" i="4"/>
  <c r="E11" i="4"/>
  <c r="F11" i="4"/>
  <c r="G11" i="4"/>
  <c r="H11" i="4"/>
  <c r="I11" i="4"/>
  <c r="J11" i="4"/>
  <c r="K11" i="4"/>
  <c r="L11" i="4"/>
  <c r="M11" i="4"/>
  <c r="N11" i="4"/>
  <c r="C11" i="4"/>
  <c r="C10" i="4"/>
  <c r="D9" i="4"/>
  <c r="E9" i="4"/>
  <c r="F9" i="4"/>
  <c r="G9" i="4"/>
  <c r="H9" i="4"/>
  <c r="I9" i="4"/>
  <c r="J9" i="4"/>
  <c r="K9" i="4"/>
  <c r="L9" i="4"/>
  <c r="M9" i="4"/>
  <c r="N9" i="4"/>
  <c r="C9" i="4"/>
  <c r="D8" i="4"/>
  <c r="E8" i="4"/>
  <c r="F8" i="4"/>
  <c r="G8" i="4"/>
  <c r="H8" i="4"/>
  <c r="I8" i="4"/>
  <c r="J8" i="4"/>
  <c r="K8" i="4"/>
  <c r="L8" i="4"/>
  <c r="M8" i="4"/>
  <c r="N8" i="4"/>
  <c r="C8" i="4"/>
  <c r="I97" i="2" l="1"/>
  <c r="E97" i="2"/>
  <c r="J97" i="2" s="1"/>
  <c r="I96" i="2"/>
  <c r="E96" i="2"/>
  <c r="I95" i="2"/>
  <c r="E95" i="2"/>
  <c r="J95" i="2" s="1"/>
  <c r="I94" i="2"/>
  <c r="J94" i="2" s="1"/>
  <c r="E94" i="2"/>
  <c r="I93" i="2"/>
  <c r="J93" i="2" s="1"/>
  <c r="E93" i="2"/>
  <c r="I92" i="2"/>
  <c r="E92" i="2"/>
  <c r="J92" i="2" s="1"/>
  <c r="I91" i="2"/>
  <c r="J91" i="2" s="1"/>
  <c r="E91" i="2"/>
  <c r="I90" i="2"/>
  <c r="E90" i="2"/>
  <c r="I89" i="2"/>
  <c r="E89" i="2"/>
  <c r="I88" i="2"/>
  <c r="E88" i="2"/>
  <c r="J88" i="2" s="1"/>
  <c r="I87" i="2"/>
  <c r="E87" i="2"/>
  <c r="J87" i="2" s="1"/>
  <c r="I86" i="2"/>
  <c r="J86" i="2" s="1"/>
  <c r="E86" i="2"/>
  <c r="I85" i="2"/>
  <c r="J85" i="2" s="1"/>
  <c r="I84" i="2"/>
  <c r="J84" i="2" s="1"/>
  <c r="I83" i="2"/>
  <c r="J83" i="2" s="1"/>
  <c r="I82" i="2"/>
  <c r="J82" i="2" s="1"/>
  <c r="I81" i="2"/>
  <c r="J81" i="2" s="1"/>
  <c r="J80" i="2"/>
  <c r="I80" i="2"/>
  <c r="I79" i="2"/>
  <c r="J79" i="2" s="1"/>
  <c r="I78" i="2"/>
  <c r="J78" i="2" s="1"/>
  <c r="I77" i="2"/>
  <c r="J77" i="2" s="1"/>
  <c r="J76" i="2"/>
  <c r="I76" i="2"/>
  <c r="I75" i="2"/>
  <c r="J75" i="2" s="1"/>
  <c r="I74" i="2"/>
  <c r="J74" i="2" s="1"/>
  <c r="E85" i="2"/>
  <c r="E84" i="2"/>
  <c r="E83" i="2"/>
  <c r="E82" i="2"/>
  <c r="E81" i="2"/>
  <c r="E80" i="2"/>
  <c r="E79" i="2"/>
  <c r="E78" i="2"/>
  <c r="E77" i="2"/>
  <c r="E76" i="2"/>
  <c r="E75" i="2"/>
  <c r="E74" i="2"/>
  <c r="J2" i="2"/>
  <c r="J3" i="2"/>
  <c r="E37" i="2"/>
  <c r="E32" i="2"/>
  <c r="J33" i="2"/>
  <c r="J35" i="2"/>
  <c r="I27" i="2"/>
  <c r="E27" i="2"/>
  <c r="I26" i="2"/>
  <c r="J23" i="2"/>
  <c r="J25" i="2"/>
  <c r="I19" i="2"/>
  <c r="J19" i="2"/>
  <c r="J21" i="2"/>
  <c r="F21" i="2"/>
  <c r="J18" i="2"/>
  <c r="F18" i="2"/>
  <c r="J17" i="2"/>
  <c r="F17" i="2"/>
  <c r="J20" i="2"/>
  <c r="F20" i="2"/>
  <c r="F12" i="2"/>
  <c r="F15" i="2"/>
  <c r="J13" i="2"/>
  <c r="F13" i="2"/>
  <c r="F16" i="2"/>
  <c r="J14" i="2"/>
  <c r="F14" i="2"/>
  <c r="F10" i="2"/>
  <c r="J11" i="2"/>
  <c r="F11" i="2"/>
  <c r="F9" i="2"/>
  <c r="J8" i="2"/>
  <c r="J7" i="2"/>
  <c r="I7" i="2"/>
  <c r="F7" i="2"/>
  <c r="E7" i="2"/>
  <c r="E2" i="2"/>
  <c r="F3" i="2"/>
  <c r="F2" i="2"/>
  <c r="F6" i="2"/>
  <c r="F5" i="2"/>
  <c r="F4" i="2"/>
  <c r="J27" i="2"/>
  <c r="E42" i="2"/>
  <c r="I42" i="2"/>
  <c r="J42" i="2"/>
  <c r="E43" i="2"/>
  <c r="I43" i="2"/>
  <c r="J43" i="2"/>
  <c r="E44" i="2"/>
  <c r="I44" i="2"/>
  <c r="J44" i="2"/>
  <c r="E45" i="2"/>
  <c r="I45" i="2"/>
  <c r="J45" i="2"/>
  <c r="E46" i="2"/>
  <c r="I46" i="2"/>
  <c r="J46" i="2"/>
  <c r="E47" i="2"/>
  <c r="I47" i="2"/>
  <c r="J47" i="2"/>
  <c r="E48" i="2"/>
  <c r="I48" i="2"/>
  <c r="J48" i="2"/>
  <c r="E49" i="2"/>
  <c r="I49" i="2"/>
  <c r="J49" i="2"/>
  <c r="E50" i="2"/>
  <c r="I50" i="2"/>
  <c r="J50" i="2"/>
  <c r="E51" i="2"/>
  <c r="I51" i="2"/>
  <c r="J51" i="2"/>
  <c r="E52" i="2"/>
  <c r="I52" i="2"/>
  <c r="J52" i="2"/>
  <c r="E53" i="2"/>
  <c r="I53" i="2"/>
  <c r="J53" i="2"/>
  <c r="E54" i="2"/>
  <c r="I54" i="2"/>
  <c r="J54" i="2"/>
  <c r="E55" i="2"/>
  <c r="I55" i="2"/>
  <c r="J55" i="2"/>
  <c r="E56" i="2"/>
  <c r="I56" i="2"/>
  <c r="J56" i="2"/>
  <c r="E57" i="2"/>
  <c r="I57" i="2"/>
  <c r="J57" i="2"/>
  <c r="E58" i="2"/>
  <c r="I58" i="2"/>
  <c r="J58" i="2"/>
  <c r="E59" i="2"/>
  <c r="I59" i="2"/>
  <c r="J59" i="2"/>
  <c r="E60" i="2"/>
  <c r="I60" i="2"/>
  <c r="J60" i="2"/>
  <c r="E61" i="2"/>
  <c r="I61" i="2"/>
  <c r="J61" i="2"/>
  <c r="I36" i="2"/>
  <c r="I30" i="2"/>
  <c r="I29" i="2"/>
  <c r="J29" i="2"/>
  <c r="I28" i="2"/>
  <c r="I38" i="2"/>
  <c r="J38" i="2"/>
  <c r="I37" i="2"/>
  <c r="J37" i="2"/>
  <c r="I40" i="2"/>
  <c r="I41" i="2"/>
  <c r="E40" i="2"/>
  <c r="E41" i="2"/>
  <c r="I39" i="2"/>
  <c r="E36" i="2"/>
  <c r="E39" i="2"/>
  <c r="J39" i="2"/>
  <c r="I32" i="2"/>
  <c r="I33" i="2"/>
  <c r="I35" i="2"/>
  <c r="E35" i="2"/>
  <c r="I34" i="2"/>
  <c r="E28" i="2"/>
  <c r="E29" i="2"/>
  <c r="E30" i="2"/>
  <c r="J30" i="2"/>
  <c r="E31" i="2"/>
  <c r="J31" i="2"/>
  <c r="E33" i="2"/>
  <c r="E34" i="2"/>
  <c r="J34" i="2"/>
  <c r="E26" i="2"/>
  <c r="I25" i="2"/>
  <c r="J41" i="2"/>
  <c r="J40" i="2"/>
  <c r="J36" i="2"/>
  <c r="J32" i="2"/>
  <c r="J28" i="2"/>
  <c r="J26" i="2"/>
  <c r="I22" i="2"/>
  <c r="I24" i="2"/>
  <c r="I23" i="2"/>
  <c r="I21" i="2"/>
  <c r="E21" i="2"/>
  <c r="E22" i="2"/>
  <c r="E23" i="2"/>
  <c r="E24" i="2"/>
  <c r="E25" i="2"/>
  <c r="I20" i="2"/>
  <c r="E20" i="2"/>
  <c r="I18" i="2"/>
  <c r="E18" i="2"/>
  <c r="I17" i="2"/>
  <c r="E17" i="2"/>
  <c r="E19" i="2"/>
  <c r="I13" i="2"/>
  <c r="I16" i="2"/>
  <c r="J16" i="2"/>
  <c r="E16" i="2"/>
  <c r="I15" i="2"/>
  <c r="J15" i="2"/>
  <c r="I14" i="2"/>
  <c r="J24" i="2"/>
  <c r="J22" i="2"/>
  <c r="I12" i="2"/>
  <c r="I8" i="2"/>
  <c r="I10" i="2"/>
  <c r="J10" i="2"/>
  <c r="I9" i="2"/>
  <c r="J9" i="2"/>
  <c r="I11" i="2"/>
  <c r="E8" i="2"/>
  <c r="E9" i="2"/>
  <c r="E10" i="2"/>
  <c r="E11" i="2"/>
  <c r="E12" i="2"/>
  <c r="E13" i="2"/>
  <c r="E14" i="2"/>
  <c r="E15" i="2"/>
  <c r="J12" i="2"/>
  <c r="I3" i="2"/>
  <c r="I4" i="2"/>
  <c r="E3" i="2"/>
  <c r="E4" i="2"/>
  <c r="J4" i="2"/>
  <c r="I6" i="2"/>
  <c r="E6" i="2"/>
  <c r="J6" i="2"/>
  <c r="I5" i="2"/>
  <c r="E5" i="2"/>
  <c r="J5" i="2"/>
  <c r="J96" i="2" l="1"/>
  <c r="J89" i="2"/>
  <c r="J90" i="2"/>
</calcChain>
</file>

<file path=xl/sharedStrings.xml><?xml version="1.0" encoding="utf-8"?>
<sst xmlns="http://schemas.openxmlformats.org/spreadsheetml/2006/main" count="515" uniqueCount="71">
  <si>
    <t>Agencia / sede</t>
  </si>
  <si>
    <t>ENERO</t>
  </si>
  <si>
    <t>FEBRERO</t>
  </si>
  <si>
    <t>PEREIRA - ALTURIA</t>
  </si>
  <si>
    <t>MEDELLIN - LCAL 373</t>
  </si>
  <si>
    <t>NOTA</t>
  </si>
  <si>
    <t>TOTAL FACTURA</t>
  </si>
  <si>
    <t>Kw Energía</t>
  </si>
  <si>
    <t>Valor  aguas</t>
  </si>
  <si>
    <t>M°3 ALCANTARIL</t>
  </si>
  <si>
    <t>M°3 ACUEDUCT</t>
  </si>
  <si>
    <t>MEDELLIN - LCAL 374</t>
  </si>
  <si>
    <t>MEDELLIN - LCAL 380</t>
  </si>
  <si>
    <t>MEDELLIN - LCAL 381</t>
  </si>
  <si>
    <t>MEDELLIN - LCAL 378</t>
  </si>
  <si>
    <t>PARQUEADERO</t>
  </si>
  <si>
    <t>TOTAL ENERGIA</t>
  </si>
  <si>
    <t>TOTAL AGUA</t>
  </si>
  <si>
    <t>Valor  Energía</t>
  </si>
  <si>
    <t>MARZO</t>
  </si>
  <si>
    <t>ABRIL</t>
  </si>
  <si>
    <t>MAYO</t>
  </si>
  <si>
    <t>JUNIO</t>
  </si>
  <si>
    <t>JULIO</t>
  </si>
  <si>
    <t>AGOSTO</t>
  </si>
  <si>
    <t>MANIZALES-SAN CANCIO</t>
  </si>
  <si>
    <t>SEPTIEMBRE</t>
  </si>
  <si>
    <t>OCTUBRE</t>
  </si>
  <si>
    <t>NOVIEMBRE</t>
  </si>
  <si>
    <t>DICIEMBRE</t>
  </si>
  <si>
    <t>Agua</t>
  </si>
  <si>
    <t>M3</t>
  </si>
  <si>
    <t>Kw</t>
  </si>
  <si>
    <t>Energía</t>
  </si>
  <si>
    <t>medición</t>
  </si>
  <si>
    <t>Mes 2025</t>
  </si>
  <si>
    <t>Etiquetas de fila</t>
  </si>
  <si>
    <t>Total general</t>
  </si>
  <si>
    <t>(Todas)</t>
  </si>
  <si>
    <t>Suma de Kw Energía</t>
  </si>
  <si>
    <t>Valor</t>
  </si>
  <si>
    <t>Suma de TOTAL AGUA</t>
  </si>
  <si>
    <t>Suma de Valor  aguas</t>
  </si>
  <si>
    <t>Suma de Valor  Energía</t>
  </si>
  <si>
    <t>Administrativos</t>
  </si>
  <si>
    <t>Número personas que consumen el servicio</t>
  </si>
  <si>
    <t>Servicios Públicos en Oficinas</t>
  </si>
  <si>
    <t>Total personal</t>
  </si>
  <si>
    <t>Número personas activas en la empresa</t>
  </si>
  <si>
    <t>86</t>
  </si>
  <si>
    <t>83</t>
  </si>
  <si>
    <t>85</t>
  </si>
  <si>
    <t>84</t>
  </si>
  <si>
    <t>90</t>
  </si>
  <si>
    <t>91</t>
  </si>
  <si>
    <t>Consumo agua por persona administrativa</t>
  </si>
  <si>
    <t>Consumo agua por total de personal activo en el periodo</t>
  </si>
  <si>
    <t>Consumo energía por persona administrativa</t>
  </si>
  <si>
    <t>Consumo energía por total de personal activo en el periodo</t>
  </si>
  <si>
    <t>Mes</t>
  </si>
  <si>
    <t>MEDELLIN - LCAL 377</t>
  </si>
  <si>
    <t>Consumo de Energia</t>
  </si>
  <si>
    <t xml:space="preserve">(Consumo en el Periodo actual/Total de empleados administrativos) </t>
  </si>
  <si>
    <t>≤100 kw</t>
  </si>
  <si>
    <t>Mensual</t>
  </si>
  <si>
    <t>Consumo de Agua</t>
  </si>
  <si>
    <t>Consumo del período anterior en m3 / total empleados administrativos en el mes *100</t>
  </si>
  <si>
    <t>≤3,4 m3</t>
  </si>
  <si>
    <t>CONSUMO POR EMPLEADO</t>
  </si>
  <si>
    <t>FORMULA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</si>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</sst>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ntique Olive Roman"/>
      <family val="2"/>
    </font>
    <font>
      <b/>
      <sz val="9"/>
      <color theme="1"/>
      <name val="Antique Olive Roman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1"/>
      <color rgb="FF000099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AE8F8"/>
        <bgColor indexed="64"/>
      </patternFill>
    </fill>
    <fill>
      <patternFill patternType="solid">
        <fgColor rgb="FFD3C1D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6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5" fontId="0" fillId="0" borderId="0" xfId="1" applyNumberFormat="1" applyFont="1" applyBorder="1"/>
    <xf numFmtId="0" fontId="2" fillId="0" borderId="0" xfId="0" applyFont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5" fontId="3" fillId="3" borderId="0" xfId="1" applyNumberFormat="1" applyFont="1" applyFill="1" applyBorder="1" applyAlignment="1">
      <alignment horizontal="center"/>
    </xf>
    <xf numFmtId="165" fontId="2" fillId="3" borderId="0" xfId="1" applyNumberFormat="1" applyFont="1" applyFill="1" applyBorder="1"/>
    <xf numFmtId="165" fontId="2" fillId="2" borderId="0" xfId="1" applyNumberFormat="1" applyFont="1" applyFill="1" applyBorder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65" fontId="3" fillId="2" borderId="0" xfId="1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165" fontId="0" fillId="0" borderId="0" xfId="0" applyNumberFormat="1" applyAlignment="1">
      <alignment wrapText="1"/>
    </xf>
    <xf numFmtId="165" fontId="2" fillId="0" borderId="0" xfId="0" applyNumberFormat="1" applyFont="1"/>
    <xf numFmtId="165" fontId="1" fillId="0" borderId="0" xfId="1" applyNumberFormat="1" applyFont="1" applyBorder="1"/>
    <xf numFmtId="164" fontId="0" fillId="0" borderId="0" xfId="1" applyFont="1" applyBorder="1" applyAlignment="1">
      <alignment wrapText="1"/>
    </xf>
    <xf numFmtId="164" fontId="2" fillId="0" borderId="0" xfId="1" applyFont="1" applyBorder="1"/>
    <xf numFmtId="164" fontId="0" fillId="0" borderId="0" xfId="1" applyFont="1" applyBorder="1" applyAlignment="1"/>
    <xf numFmtId="165" fontId="0" fillId="0" borderId="0" xfId="0" applyNumberFormat="1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0" fillId="0" borderId="0" xfId="0" pivotButton="1"/>
    <xf numFmtId="164" fontId="0" fillId="0" borderId="0" xfId="1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7" fontId="2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44" fontId="0" fillId="4" borderId="0" xfId="0" applyNumberFormat="1" applyFill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5" fontId="3" fillId="3" borderId="2" xfId="1" applyNumberFormat="1" applyFont="1" applyFill="1" applyBorder="1" applyAlignment="1">
      <alignment horizontal="center"/>
    </xf>
    <xf numFmtId="165" fontId="2" fillId="3" borderId="3" xfId="1" applyNumberFormat="1" applyFont="1" applyFill="1" applyBorder="1"/>
    <xf numFmtId="165" fontId="2" fillId="2" borderId="3" xfId="1" applyNumberFormat="1" applyFont="1" applyFill="1" applyBorder="1"/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/>
    <xf numFmtId="0" fontId="0" fillId="0" borderId="4" xfId="0" applyBorder="1" applyAlignment="1">
      <alignment horizontal="center"/>
    </xf>
    <xf numFmtId="4" fontId="0" fillId="0" borderId="3" xfId="0" applyNumberFormat="1" applyBorder="1"/>
    <xf numFmtId="3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64" fontId="0" fillId="0" borderId="3" xfId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wrapText="1"/>
    </xf>
    <xf numFmtId="164" fontId="0" fillId="0" borderId="3" xfId="1" applyFont="1" applyBorder="1"/>
    <xf numFmtId="164" fontId="0" fillId="0" borderId="3" xfId="1" applyFont="1" applyBorder="1" applyAlignment="1"/>
    <xf numFmtId="164" fontId="0" fillId="0" borderId="8" xfId="1" applyFont="1" applyBorder="1"/>
    <xf numFmtId="164" fontId="1" fillId="0" borderId="3" xfId="1" applyFont="1" applyBorder="1"/>
    <xf numFmtId="164" fontId="0" fillId="0" borderId="3" xfId="1" applyFont="1" applyBorder="1" applyAlignment="1">
      <alignment wrapText="1"/>
    </xf>
    <xf numFmtId="164" fontId="2" fillId="0" borderId="3" xfId="1" applyFont="1" applyBorder="1"/>
    <xf numFmtId="164" fontId="0" fillId="0" borderId="4" xfId="1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164" fontId="0" fillId="0" borderId="0" xfId="0" applyNumberFormat="1"/>
    <xf numFmtId="164" fontId="0" fillId="0" borderId="0" xfId="1" applyFont="1" applyAlignment="1">
      <alignment horizontal="center" vertical="center"/>
    </xf>
    <xf numFmtId="164" fontId="0" fillId="4" borderId="0" xfId="1" applyFont="1" applyFill="1" applyAlignment="1">
      <alignment horizontal="center" vertical="center"/>
    </xf>
    <xf numFmtId="0" fontId="7" fillId="0" borderId="3" xfId="3" applyFont="1" applyFill="1" applyBorder="1" applyAlignment="1" applyProtection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9" fontId="9" fillId="0" borderId="3" xfId="2" applyFont="1" applyFill="1" applyBorder="1" applyAlignment="1">
      <alignment horizontal="center" vertical="center" wrapText="1"/>
    </xf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D3C1D1"/>
      <color rgb="FFBAE8F8"/>
      <color rgb="FFFAB8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Betancur" refreshedDate="46156.631092939817" createdVersion="8" refreshedVersion="8" minRefreshableVersion="3" recordCount="96" xr:uid="{A683D0ED-8C02-4270-B24A-70922B44E49C}">
  <cacheSource type="worksheet">
    <worksheetSource ref="A1:J97" sheet="consolidado 2025"/>
  </cacheSource>
  <cacheFields count="10">
    <cacheField name="Mes 2025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Agencia / sede" numFmtId="0">
      <sharedItems count="8">
        <s v="MEDELLIN - LCAL 373"/>
        <s v="MEDELLIN - LCAL 374"/>
        <s v="MEDELLIN - LCAL 378"/>
        <s v="MEDELLIN - LCAL 380"/>
        <s v="MEDELLIN - LCAL 381"/>
        <s v="PARQUEADERO"/>
        <s v="PEREIRA - ALTURIA"/>
        <s v="MANIZALES-SAN CANCIO"/>
      </sharedItems>
    </cacheField>
    <cacheField name="Valor  Energía" numFmtId="0">
      <sharedItems containsSemiMixedTypes="0" containsString="0" containsNumber="1" containsInteger="1" minValue="76707" maxValue="1881124"/>
    </cacheField>
    <cacheField name="Kw Energía" numFmtId="0">
      <sharedItems containsSemiMixedTypes="0" containsString="0" containsNumber="1" containsInteger="1" minValue="64" maxValue="1842"/>
    </cacheField>
    <cacheField name="TOTAL ENERGIA" numFmtId="165">
      <sharedItems containsSemiMixedTypes="0" containsString="0" containsNumber="1" containsInteger="1" minValue="76707" maxValue="1881124"/>
    </cacheField>
    <cacheField name="Valor  aguas" numFmtId="0">
      <sharedItems containsSemiMixedTypes="0" containsString="0" containsNumber="1" containsInteger="1" minValue="0" maxValue="850203"/>
    </cacheField>
    <cacheField name="M°3 ACUEDUCT" numFmtId="0">
      <sharedItems containsSemiMixedTypes="0" containsString="0" containsNumber="1" containsInteger="1" minValue="0" maxValue="219"/>
    </cacheField>
    <cacheField name="M°3 ALCANTARIL" numFmtId="0">
      <sharedItems containsSemiMixedTypes="0" containsString="0" containsNumber="1" containsInteger="1" minValue="0" maxValue="63"/>
    </cacheField>
    <cacheField name="TOTAL AGUA" numFmtId="0">
      <sharedItems containsSemiMixedTypes="0" containsString="0" containsNumber="1" containsInteger="1" minValue="0" maxValue="850203"/>
    </cacheField>
    <cacheField name="TOTAL FACTURA" numFmtId="0">
      <sharedItems containsSemiMixedTypes="0" containsString="0" containsNumber="1" containsInteger="1" minValue="76707" maxValue="25851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614565"/>
    <n v="604"/>
    <n v="614565"/>
    <n v="96329"/>
    <n v="6"/>
    <n v="6"/>
    <n v="310639"/>
    <n v="925204"/>
  </r>
  <r>
    <x v="0"/>
    <x v="1"/>
    <n v="885924"/>
    <n v="835"/>
    <n v="885924"/>
    <n v="96329"/>
    <n v="6"/>
    <n v="6"/>
    <n v="96329"/>
    <n v="1035203"/>
  </r>
  <r>
    <x v="0"/>
    <x v="2"/>
    <n v="520955"/>
    <n v="512"/>
    <n v="520955"/>
    <n v="96329"/>
    <n v="6"/>
    <n v="6"/>
    <n v="96329"/>
    <n v="670234"/>
  </r>
  <r>
    <x v="0"/>
    <x v="3"/>
    <n v="786521"/>
    <n v="773"/>
    <n v="786521"/>
    <n v="158386"/>
    <n v="11"/>
    <n v="11"/>
    <n v="158386"/>
    <n v="997857"/>
  </r>
  <r>
    <x v="0"/>
    <x v="4"/>
    <n v="287950"/>
    <n v="283"/>
    <n v="287950"/>
    <n v="133564"/>
    <n v="9"/>
    <n v="9"/>
    <n v="133564"/>
    <n v="472464"/>
  </r>
  <r>
    <x v="1"/>
    <x v="0"/>
    <n v="557207"/>
    <n v="558"/>
    <n v="557207"/>
    <n v="257698"/>
    <n v="19"/>
    <n v="19"/>
    <n v="257698"/>
    <n v="867845"/>
  </r>
  <r>
    <x v="1"/>
    <x v="1"/>
    <n v="634958"/>
    <n v="579"/>
    <n v="634958"/>
    <n v="71527"/>
    <n v="4"/>
    <n v="4"/>
    <n v="71527"/>
    <n v="759395"/>
  </r>
  <r>
    <x v="1"/>
    <x v="2"/>
    <n v="390444"/>
    <n v="391"/>
    <n v="390444"/>
    <n v="71513"/>
    <n v="4"/>
    <n v="4"/>
    <n v="71513"/>
    <n v="514881"/>
  </r>
  <r>
    <x v="1"/>
    <x v="3"/>
    <n v="592157"/>
    <n v="593"/>
    <n v="592157"/>
    <n v="96365"/>
    <n v="6"/>
    <n v="6"/>
    <n v="96365"/>
    <n v="741432"/>
  </r>
  <r>
    <x v="1"/>
    <x v="4"/>
    <n v="222683"/>
    <n v="223"/>
    <n v="222683"/>
    <n v="108748"/>
    <n v="7"/>
    <n v="7"/>
    <n v="108748"/>
    <n v="382369"/>
  </r>
  <r>
    <x v="2"/>
    <x v="0"/>
    <n v="592528"/>
    <n v="578"/>
    <n v="592528"/>
    <n v="183222"/>
    <n v="13"/>
    <n v="13"/>
    <n v="183222"/>
    <n v="826700"/>
  </r>
  <r>
    <x v="2"/>
    <x v="1"/>
    <n v="776799"/>
    <n v="717"/>
    <n v="776799"/>
    <n v="83923"/>
    <n v="5"/>
    <n v="5"/>
    <n v="83923"/>
    <n v="919236"/>
  </r>
  <r>
    <x v="2"/>
    <x v="2"/>
    <n v="551723"/>
    <n v="538"/>
    <n v="551723"/>
    <n v="108748"/>
    <n v="7"/>
    <n v="7"/>
    <n v="108748"/>
    <n v="718985"/>
  </r>
  <r>
    <x v="2"/>
    <x v="3"/>
    <n v="811907"/>
    <n v="792"/>
    <n v="811907"/>
    <n v="133574"/>
    <n v="9"/>
    <n v="9"/>
    <n v="133574"/>
    <n v="1003995"/>
  </r>
  <r>
    <x v="2"/>
    <x v="4"/>
    <n v="260384"/>
    <n v="254"/>
    <n v="260384"/>
    <n v="121162"/>
    <n v="8"/>
    <n v="8"/>
    <n v="121162"/>
    <n v="437060"/>
  </r>
  <r>
    <x v="3"/>
    <x v="0"/>
    <n v="692737"/>
    <n v="671"/>
    <n v="692737"/>
    <n v="145985"/>
    <n v="10"/>
    <n v="10"/>
    <n v="145985"/>
    <n v="895987"/>
  </r>
  <r>
    <x v="3"/>
    <x v="1"/>
    <n v="742877"/>
    <n v="677"/>
    <n v="742877"/>
    <n v="83923"/>
    <n v="5"/>
    <n v="5"/>
    <n v="83923"/>
    <n v="884065"/>
  </r>
  <r>
    <x v="3"/>
    <x v="2"/>
    <n v="486258"/>
    <n v="471"/>
    <n v="486258"/>
    <n v="46684"/>
    <n v="2"/>
    <n v="2"/>
    <n v="46684"/>
    <n v="587207"/>
  </r>
  <r>
    <x v="3"/>
    <x v="3"/>
    <n v="729904"/>
    <n v="707"/>
    <n v="729904"/>
    <n v="108748"/>
    <n v="7"/>
    <n v="7"/>
    <n v="108748"/>
    <n v="895917"/>
  </r>
  <r>
    <x v="3"/>
    <x v="4"/>
    <n v="214738"/>
    <n v="208"/>
    <n v="214738"/>
    <n v="108748"/>
    <n v="7"/>
    <n v="7"/>
    <n v="108748"/>
    <n v="377751"/>
  </r>
  <r>
    <x v="4"/>
    <x v="0"/>
    <n v="656074"/>
    <n v="633"/>
    <n v="656074"/>
    <n v="176523"/>
    <n v="12"/>
    <n v="12"/>
    <n v="176523"/>
    <n v="832597"/>
  </r>
  <r>
    <x v="4"/>
    <x v="1"/>
    <n v="769449"/>
    <n v="700"/>
    <n v="769449"/>
    <n v="73905"/>
    <n v="4"/>
    <n v="4"/>
    <n v="73905"/>
    <n v="843354"/>
  </r>
  <r>
    <x v="4"/>
    <x v="2"/>
    <n v="473908"/>
    <n v="480"/>
    <n v="473908"/>
    <n v="420241"/>
    <n v="31"/>
    <n v="31"/>
    <n v="420241"/>
    <n v="894149"/>
  </r>
  <r>
    <x v="4"/>
    <x v="3"/>
    <n v="685608"/>
    <n v="695"/>
    <n v="685608"/>
    <n v="99560"/>
    <n v="6"/>
    <n v="6"/>
    <n v="99560"/>
    <n v="785168"/>
  </r>
  <r>
    <x v="4"/>
    <x v="4"/>
    <n v="216883"/>
    <n v="220"/>
    <n v="216883"/>
    <n v="112387"/>
    <n v="7"/>
    <n v="7"/>
    <n v="112387"/>
    <n v="329270"/>
  </r>
  <r>
    <x v="5"/>
    <x v="0"/>
    <n v="716872"/>
    <n v="729"/>
    <n v="716872"/>
    <n v="176523"/>
    <n v="12"/>
    <n v="12"/>
    <n v="176523"/>
    <n v="893395"/>
  </r>
  <r>
    <x v="5"/>
    <x v="1"/>
    <n v="764427"/>
    <n v="724"/>
    <n v="764427"/>
    <n v="86732"/>
    <n v="5"/>
    <n v="5"/>
    <n v="86732"/>
    <n v="851159"/>
  </r>
  <r>
    <x v="5"/>
    <x v="2"/>
    <n v="427764"/>
    <n v="435"/>
    <n v="427764"/>
    <n v="86732"/>
    <n v="5"/>
    <n v="5"/>
    <n v="86732"/>
    <n v="514496"/>
  </r>
  <r>
    <x v="5"/>
    <x v="3"/>
    <n v="673604"/>
    <n v="685"/>
    <n v="673604"/>
    <n v="99560"/>
    <n v="6"/>
    <n v="6"/>
    <n v="99560"/>
    <n v="773164"/>
  </r>
  <r>
    <x v="5"/>
    <x v="4"/>
    <n v="229124"/>
    <n v="233"/>
    <n v="229124"/>
    <n v="112387"/>
    <n v="7"/>
    <n v="7"/>
    <n v="112387"/>
    <n v="341511"/>
  </r>
  <r>
    <x v="6"/>
    <x v="0"/>
    <n v="539077"/>
    <n v="653"/>
    <n v="539077"/>
    <n v="189350"/>
    <n v="13"/>
    <n v="13"/>
    <n v="189350"/>
    <n v="728427"/>
  </r>
  <r>
    <x v="6"/>
    <x v="1"/>
    <n v="709137"/>
    <n v="796"/>
    <n v="709137"/>
    <n v="73905"/>
    <n v="4"/>
    <n v="4"/>
    <n v="73905"/>
    <n v="783042"/>
  </r>
  <r>
    <x v="6"/>
    <x v="2"/>
    <n v="479472"/>
    <n v="522"/>
    <n v="479472"/>
    <n v="189350"/>
    <n v="13"/>
    <n v="13"/>
    <n v="189350"/>
    <n v="668822"/>
  </r>
  <r>
    <x v="6"/>
    <x v="3"/>
    <n v="688896"/>
    <n v="750"/>
    <n v="688896"/>
    <n v="125214"/>
    <n v="8"/>
    <n v="8"/>
    <n v="125214"/>
    <n v="814110"/>
  </r>
  <r>
    <x v="6"/>
    <x v="4"/>
    <n v="214936"/>
    <n v="234"/>
    <n v="214936"/>
    <n v="99560"/>
    <n v="6"/>
    <n v="6"/>
    <n v="99560"/>
    <n v="314496"/>
  </r>
  <r>
    <x v="7"/>
    <x v="0"/>
    <n v="572251"/>
    <n v="614"/>
    <n v="572251"/>
    <n v="163812"/>
    <n v="11"/>
    <n v="11"/>
    <n v="163812"/>
    <n v="736063"/>
  </r>
  <r>
    <x v="7"/>
    <x v="1"/>
    <n v="759284"/>
    <n v="759"/>
    <n v="759284"/>
    <n v="86777"/>
    <n v="5"/>
    <n v="5"/>
    <n v="86777"/>
    <n v="846061"/>
  </r>
  <r>
    <x v="7"/>
    <x v="2"/>
    <n v="451124"/>
    <n v="484"/>
    <n v="451124"/>
    <n v="86848"/>
    <n v="5"/>
    <n v="5"/>
    <n v="86848"/>
    <n v="537972"/>
  </r>
  <r>
    <x v="7"/>
    <x v="3"/>
    <n v="670146"/>
    <n v="719"/>
    <n v="670146"/>
    <n v="99637"/>
    <n v="6"/>
    <n v="6"/>
    <n v="99637"/>
    <n v="769783"/>
  </r>
  <r>
    <x v="7"/>
    <x v="4"/>
    <n v="244176"/>
    <n v="262"/>
    <n v="244176"/>
    <n v="99620"/>
    <n v="6"/>
    <n v="6"/>
    <n v="99620"/>
    <n v="343796"/>
  </r>
  <r>
    <x v="8"/>
    <x v="0"/>
    <n v="537651"/>
    <n v="547"/>
    <n v="537651"/>
    <n v="201162"/>
    <n v="14"/>
    <n v="14"/>
    <n v="201162"/>
    <n v="738813"/>
  </r>
  <r>
    <x v="8"/>
    <x v="1"/>
    <n v="892651"/>
    <n v="871"/>
    <n v="892651"/>
    <n v="86366"/>
    <n v="5"/>
    <n v="5"/>
    <n v="86366"/>
    <n v="979017"/>
  </r>
  <r>
    <x v="8"/>
    <x v="2"/>
    <n v="627095"/>
    <n v="638"/>
    <n v="627095"/>
    <n v="86366"/>
    <n v="5"/>
    <n v="5"/>
    <n v="86366"/>
    <n v="713461"/>
  </r>
  <r>
    <x v="8"/>
    <x v="3"/>
    <n v="799104"/>
    <n v="813"/>
    <n v="799104"/>
    <n v="124631"/>
    <n v="8"/>
    <n v="8"/>
    <n v="124631"/>
    <n v="923735"/>
  </r>
  <r>
    <x v="8"/>
    <x v="4"/>
    <n v="255557"/>
    <n v="260"/>
    <n v="255557"/>
    <n v="99121"/>
    <n v="6"/>
    <n v="6"/>
    <n v="99121"/>
    <n v="354678"/>
  </r>
  <r>
    <x v="9"/>
    <x v="0"/>
    <n v="582624"/>
    <n v="584"/>
    <n v="582624"/>
    <n v="188407"/>
    <n v="13"/>
    <n v="13"/>
    <n v="188407"/>
    <n v="771031"/>
  </r>
  <r>
    <x v="9"/>
    <x v="1"/>
    <n v="910535"/>
    <n v="873"/>
    <n v="910535"/>
    <n v="86366"/>
    <n v="5"/>
    <n v="5"/>
    <n v="86366"/>
    <n v="996901"/>
  </r>
  <r>
    <x v="9"/>
    <x v="2"/>
    <n v="637495"/>
    <n v="639"/>
    <n v="637495"/>
    <n v="86366"/>
    <n v="5"/>
    <n v="5"/>
    <n v="86366"/>
    <n v="723861"/>
  </r>
  <r>
    <x v="9"/>
    <x v="3"/>
    <n v="735264"/>
    <n v="737"/>
    <n v="735264"/>
    <n v="111876"/>
    <n v="7"/>
    <n v="7"/>
    <n v="111876"/>
    <n v="847140"/>
  </r>
  <r>
    <x v="9"/>
    <x v="4"/>
    <n v="273354"/>
    <n v="274"/>
    <n v="273354"/>
    <n v="111876"/>
    <n v="7"/>
    <n v="7"/>
    <n v="111876"/>
    <n v="385230"/>
  </r>
  <r>
    <x v="10"/>
    <x v="0"/>
    <n v="583441"/>
    <n v="593"/>
    <n v="583441"/>
    <n v="207941"/>
    <n v="14"/>
    <n v="14"/>
    <n v="207941"/>
    <n v="791382"/>
  </r>
  <r>
    <x v="10"/>
    <x v="1"/>
    <n v="833949"/>
    <n v="793"/>
    <n v="833949"/>
    <n v="102421"/>
    <n v="6"/>
    <n v="6"/>
    <n v="102421"/>
    <n v="936370"/>
  </r>
  <r>
    <x v="10"/>
    <x v="2"/>
    <n v="476198"/>
    <n v="484"/>
    <n v="476198"/>
    <n v="89231"/>
    <n v="5"/>
    <n v="5"/>
    <n v="89231"/>
    <n v="565429"/>
  </r>
  <r>
    <x v="10"/>
    <x v="3"/>
    <n v="733974"/>
    <n v="746"/>
    <n v="733974"/>
    <n v="141991"/>
    <n v="9"/>
    <n v="9"/>
    <n v="141991"/>
    <n v="875965"/>
  </r>
  <r>
    <x v="10"/>
    <x v="4"/>
    <n v="269583"/>
    <n v="274"/>
    <n v="269583"/>
    <n v="102421"/>
    <n v="6"/>
    <n v="6"/>
    <n v="102421"/>
    <n v="372004"/>
  </r>
  <r>
    <x v="11"/>
    <x v="0"/>
    <n v="541139"/>
    <n v="553"/>
    <n v="541139"/>
    <n v="180791"/>
    <n v="12"/>
    <n v="12"/>
    <n v="180791"/>
    <n v="721930"/>
  </r>
  <r>
    <x v="11"/>
    <x v="1"/>
    <n v="695750"/>
    <n v="711"/>
    <n v="695750"/>
    <n v="88910"/>
    <n v="5"/>
    <n v="5"/>
    <n v="88910"/>
    <n v="784660"/>
  </r>
  <r>
    <x v="11"/>
    <x v="2"/>
    <n v="428606"/>
    <n v="438"/>
    <n v="428606"/>
    <n v="88910"/>
    <n v="5"/>
    <n v="5"/>
    <n v="88910"/>
    <n v="517516"/>
  </r>
  <r>
    <x v="11"/>
    <x v="3"/>
    <n v="647801"/>
    <n v="662"/>
    <n v="647801"/>
    <n v="128288"/>
    <n v="8"/>
    <n v="8"/>
    <n v="128288"/>
    <n v="776089"/>
  </r>
  <r>
    <x v="11"/>
    <x v="4"/>
    <n v="254424"/>
    <n v="260"/>
    <n v="254424"/>
    <n v="115162"/>
    <n v="7"/>
    <n v="7"/>
    <n v="115162"/>
    <n v="369586"/>
  </r>
  <r>
    <x v="0"/>
    <x v="5"/>
    <n v="1874220"/>
    <n v="1842"/>
    <n v="1874220"/>
    <n v="369381"/>
    <n v="28"/>
    <n v="28"/>
    <n v="369381"/>
    <n v="2276601"/>
  </r>
  <r>
    <x v="1"/>
    <x v="5"/>
    <n v="1644406"/>
    <n v="1633"/>
    <n v="1644406"/>
    <n v="332171"/>
    <n v="25"/>
    <n v="25"/>
    <n v="332171"/>
    <n v="2009577"/>
  </r>
  <r>
    <x v="2"/>
    <x v="5"/>
    <n v="1881124"/>
    <n v="1835"/>
    <n v="1881124"/>
    <n v="394234"/>
    <n v="30"/>
    <n v="30"/>
    <n v="394234"/>
    <n v="2310358"/>
  </r>
  <r>
    <x v="3"/>
    <x v="5"/>
    <n v="1651834"/>
    <n v="1600"/>
    <n v="1651834"/>
    <n v="356998"/>
    <n v="27"/>
    <n v="27"/>
    <n v="356998"/>
    <n v="2008832"/>
  </r>
  <r>
    <x v="4"/>
    <x v="5"/>
    <n v="1804463"/>
    <n v="1741"/>
    <n v="1804463"/>
    <n v="356105"/>
    <n v="26"/>
    <n v="26"/>
    <n v="356105"/>
    <n v="2160568"/>
  </r>
  <r>
    <x v="5"/>
    <x v="5"/>
    <n v="1749503"/>
    <n v="1698"/>
    <n v="1749503"/>
    <n v="394587"/>
    <n v="30"/>
    <n v="30"/>
    <n v="394587"/>
    <n v="2144090"/>
  </r>
  <r>
    <x v="6"/>
    <x v="5"/>
    <n v="1421127"/>
    <n v="1729"/>
    <n v="1421127"/>
    <n v="471551"/>
    <n v="35"/>
    <n v="35"/>
    <n v="471551"/>
    <n v="1892678"/>
  </r>
  <r>
    <x v="7"/>
    <x v="5"/>
    <n v="1648691"/>
    <n v="1770"/>
    <n v="1648691"/>
    <n v="484378"/>
    <n v="36"/>
    <n v="36"/>
    <n v="484378"/>
    <n v="2133069"/>
  </r>
  <r>
    <x v="8"/>
    <x v="5"/>
    <n v="1806585"/>
    <n v="1838"/>
    <n v="1806585"/>
    <n v="481777"/>
    <n v="36"/>
    <n v="36"/>
    <n v="481777"/>
    <n v="2288362"/>
  </r>
  <r>
    <x v="9"/>
    <x v="5"/>
    <n v="1806584"/>
    <n v="1838"/>
    <n v="1806584"/>
    <n v="481687"/>
    <n v="36"/>
    <n v="36"/>
    <n v="481687"/>
    <n v="2288271"/>
  </r>
  <r>
    <x v="10"/>
    <x v="5"/>
    <n v="1639144"/>
    <n v="1666"/>
    <n v="1639144"/>
    <n v="273891"/>
    <n v="19"/>
    <n v="19"/>
    <n v="273891"/>
    <n v="1913035"/>
  </r>
  <r>
    <x v="11"/>
    <x v="5"/>
    <n v="1734972"/>
    <n v="1773"/>
    <n v="1734972"/>
    <n v="850203"/>
    <n v="63"/>
    <n v="63"/>
    <n v="850203"/>
    <n v="2585175"/>
  </r>
  <r>
    <x v="0"/>
    <x v="6"/>
    <n v="252034"/>
    <n v="198"/>
    <n v="252034"/>
    <n v="22920"/>
    <n v="218"/>
    <n v="0"/>
    <n v="22920"/>
    <n v="274954"/>
  </r>
  <r>
    <x v="1"/>
    <x v="6"/>
    <n v="287180"/>
    <n v="224"/>
    <n v="287180"/>
    <n v="30540"/>
    <n v="218"/>
    <n v="0"/>
    <n v="30540"/>
    <n v="317720"/>
  </r>
  <r>
    <x v="2"/>
    <x v="6"/>
    <n v="260572"/>
    <n v="187"/>
    <n v="260572"/>
    <n v="23690"/>
    <n v="219"/>
    <n v="0"/>
    <n v="23690"/>
    <n v="284262"/>
  </r>
  <r>
    <x v="3"/>
    <x v="6"/>
    <n v="184650"/>
    <n v="122"/>
    <n v="184650"/>
    <n v="23690"/>
    <n v="219"/>
    <n v="0"/>
    <n v="23690"/>
    <n v="208340"/>
  </r>
  <r>
    <x v="4"/>
    <x v="6"/>
    <n v="76707"/>
    <n v="64"/>
    <n v="76707"/>
    <n v="23690"/>
    <n v="219"/>
    <n v="0"/>
    <n v="23690"/>
    <n v="100397"/>
  </r>
  <r>
    <x v="5"/>
    <x v="6"/>
    <n v="76707"/>
    <n v="64"/>
    <n v="76707"/>
    <n v="0"/>
    <n v="0"/>
    <n v="0"/>
    <n v="0"/>
    <n v="76707"/>
  </r>
  <r>
    <x v="6"/>
    <x v="6"/>
    <n v="158752"/>
    <n v="93"/>
    <n v="158752"/>
    <n v="23690"/>
    <n v="219"/>
    <n v="0"/>
    <n v="23690"/>
    <n v="182442"/>
  </r>
  <r>
    <x v="7"/>
    <x v="6"/>
    <n v="155823"/>
    <n v="90"/>
    <n v="155823"/>
    <n v="0"/>
    <n v="0"/>
    <n v="0"/>
    <n v="0"/>
    <n v="155823"/>
  </r>
  <r>
    <x v="8"/>
    <x v="6"/>
    <n v="149041"/>
    <n v="86"/>
    <n v="149041"/>
    <n v="0"/>
    <n v="0"/>
    <n v="0"/>
    <n v="0"/>
    <n v="149041"/>
  </r>
  <r>
    <x v="9"/>
    <x v="6"/>
    <n v="268621"/>
    <n v="83"/>
    <n v="268621"/>
    <n v="0"/>
    <n v="0"/>
    <n v="0"/>
    <n v="0"/>
    <n v="268621"/>
  </r>
  <r>
    <x v="10"/>
    <x v="6"/>
    <n v="139799"/>
    <n v="72"/>
    <n v="139799"/>
    <n v="0"/>
    <n v="0"/>
    <n v="0"/>
    <n v="0"/>
    <n v="139799"/>
  </r>
  <r>
    <x v="11"/>
    <x v="6"/>
    <n v="180988"/>
    <n v="116"/>
    <n v="180988"/>
    <n v="0"/>
    <n v="0"/>
    <n v="0"/>
    <n v="0"/>
    <n v="180988"/>
  </r>
  <r>
    <x v="0"/>
    <x v="7"/>
    <n v="134199"/>
    <n v="83"/>
    <n v="134199"/>
    <n v="0"/>
    <n v="0"/>
    <n v="0"/>
    <n v="0"/>
    <n v="134199"/>
  </r>
  <r>
    <x v="1"/>
    <x v="7"/>
    <n v="145338"/>
    <n v="91"/>
    <n v="145338"/>
    <n v="0"/>
    <n v="0"/>
    <n v="0"/>
    <n v="0"/>
    <n v="145338"/>
  </r>
  <r>
    <x v="2"/>
    <x v="7"/>
    <n v="143003"/>
    <n v="90"/>
    <n v="143003"/>
    <n v="0"/>
    <n v="0"/>
    <n v="0"/>
    <n v="0"/>
    <n v="143003"/>
  </r>
  <r>
    <x v="3"/>
    <x v="7"/>
    <n v="161940"/>
    <n v="109"/>
    <n v="161940"/>
    <n v="0"/>
    <n v="0"/>
    <n v="0"/>
    <n v="0"/>
    <n v="161940"/>
  </r>
  <r>
    <x v="4"/>
    <x v="7"/>
    <n v="162214"/>
    <n v="105"/>
    <n v="162214"/>
    <n v="0"/>
    <n v="0"/>
    <n v="0"/>
    <n v="0"/>
    <n v="162214"/>
  </r>
  <r>
    <x v="5"/>
    <x v="7"/>
    <n v="121852"/>
    <n v="114"/>
    <n v="121852"/>
    <n v="0"/>
    <n v="0"/>
    <n v="0"/>
    <n v="0"/>
    <n v="121852"/>
  </r>
  <r>
    <x v="6"/>
    <x v="7"/>
    <n v="154703"/>
    <n v="98"/>
    <n v="154703"/>
    <n v="0"/>
    <n v="0"/>
    <n v="0"/>
    <n v="0"/>
    <n v="154703"/>
  </r>
  <r>
    <x v="7"/>
    <x v="7"/>
    <n v="158981"/>
    <n v="110"/>
    <n v="158981"/>
    <n v="0"/>
    <n v="0"/>
    <n v="0"/>
    <n v="0"/>
    <n v="158981"/>
  </r>
  <r>
    <x v="8"/>
    <x v="7"/>
    <n v="152802"/>
    <n v="99"/>
    <n v="152802"/>
    <n v="0"/>
    <n v="0"/>
    <n v="0"/>
    <n v="0"/>
    <n v="152802"/>
  </r>
  <r>
    <x v="9"/>
    <x v="7"/>
    <n v="167892"/>
    <n v="114"/>
    <n v="167892"/>
    <n v="0"/>
    <n v="0"/>
    <n v="0"/>
    <n v="0"/>
    <n v="167892"/>
  </r>
  <r>
    <x v="10"/>
    <x v="7"/>
    <n v="166883"/>
    <n v="112"/>
    <n v="166883"/>
    <n v="0"/>
    <n v="0"/>
    <n v="0"/>
    <n v="0"/>
    <n v="166883"/>
  </r>
  <r>
    <x v="11"/>
    <x v="7"/>
    <n v="145301"/>
    <n v="94"/>
    <n v="145301"/>
    <n v="0"/>
    <n v="0"/>
    <n v="0"/>
    <n v="0"/>
    <n v="1453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7FA4D-E004-4FB9-93B2-573322127FA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6" firstHeaderRow="0" firstDataRow="1" firstDataCol="1" rowPageCount="1" colPageCount="1"/>
  <pivotFields count="10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9">
        <item x="7"/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numFmtId="165" showAll="0"/>
    <pivotField dataField="1" showAll="0"/>
    <pivotField showAll="0"/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a de Kw Energía" fld="3" baseField="0" baseItem="0"/>
    <dataField name="Suma de TOTAL AGUA" fld="8" baseField="0" baseItem="0"/>
    <dataField name="Suma de Valor  aguas" fld="5" baseField="0" baseItem="0"/>
    <dataField name="Suma de Valor  Energí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ED40-49EC-46A3-9312-8F9E6A5A1A65}">
  <dimension ref="A1:E16"/>
  <sheetViews>
    <sheetView workbookViewId="0">
      <selection activeCell="D19" sqref="D19"/>
    </sheetView>
  </sheetViews>
  <sheetFormatPr baseColWidth="10" defaultRowHeight="15"/>
  <cols>
    <col min="1" max="1" width="17.5703125" bestFit="1" customWidth="1"/>
    <col min="2" max="2" width="18.85546875" bestFit="1" customWidth="1"/>
    <col min="3" max="3" width="20.5703125" bestFit="1" customWidth="1"/>
    <col min="4" max="4" width="19.7109375" bestFit="1" customWidth="1"/>
    <col min="5" max="5" width="21.42578125" bestFit="1" customWidth="1"/>
  </cols>
  <sheetData>
    <row r="1" spans="1:5">
      <c r="A1" s="25" t="s">
        <v>0</v>
      </c>
      <c r="B1" t="s">
        <v>38</v>
      </c>
    </row>
    <row r="3" spans="1:5">
      <c r="A3" s="25" t="s">
        <v>36</v>
      </c>
      <c r="B3" t="s">
        <v>39</v>
      </c>
      <c r="C3" t="s">
        <v>41</v>
      </c>
      <c r="D3" t="s">
        <v>42</v>
      </c>
      <c r="E3" t="s">
        <v>43</v>
      </c>
    </row>
    <row r="4" spans="1:5">
      <c r="A4" s="6" t="s">
        <v>1</v>
      </c>
      <c r="B4">
        <v>5130</v>
      </c>
      <c r="C4">
        <v>1187548</v>
      </c>
      <c r="D4">
        <v>973238</v>
      </c>
      <c r="E4">
        <v>5356368</v>
      </c>
    </row>
    <row r="5" spans="1:5">
      <c r="A5" s="6" t="s">
        <v>2</v>
      </c>
      <c r="B5">
        <v>4292</v>
      </c>
      <c r="C5">
        <v>968562</v>
      </c>
      <c r="D5">
        <v>968562</v>
      </c>
      <c r="E5">
        <v>4474373</v>
      </c>
    </row>
    <row r="6" spans="1:5">
      <c r="A6" s="6" t="s">
        <v>19</v>
      </c>
      <c r="B6">
        <v>4991</v>
      </c>
      <c r="C6">
        <v>1048553</v>
      </c>
      <c r="D6">
        <v>1048553</v>
      </c>
      <c r="E6">
        <v>5278040</v>
      </c>
    </row>
    <row r="7" spans="1:5">
      <c r="A7" s="6" t="s">
        <v>20</v>
      </c>
      <c r="B7">
        <v>4565</v>
      </c>
      <c r="C7">
        <v>874776</v>
      </c>
      <c r="D7">
        <v>874776</v>
      </c>
      <c r="E7">
        <v>4864938</v>
      </c>
    </row>
    <row r="8" spans="1:5">
      <c r="A8" s="6" t="s">
        <v>21</v>
      </c>
      <c r="B8">
        <v>4638</v>
      </c>
      <c r="C8">
        <v>1262411</v>
      </c>
      <c r="D8">
        <v>1262411</v>
      </c>
      <c r="E8">
        <v>4845306</v>
      </c>
    </row>
    <row r="9" spans="1:5">
      <c r="A9" s="6" t="s">
        <v>22</v>
      </c>
      <c r="B9">
        <v>4682</v>
      </c>
      <c r="C9">
        <v>956521</v>
      </c>
      <c r="D9">
        <v>956521</v>
      </c>
      <c r="E9">
        <v>4759853</v>
      </c>
    </row>
    <row r="10" spans="1:5">
      <c r="A10" s="6" t="s">
        <v>23</v>
      </c>
      <c r="B10">
        <v>4875</v>
      </c>
      <c r="C10">
        <v>1172620</v>
      </c>
      <c r="D10">
        <v>1172620</v>
      </c>
      <c r="E10">
        <v>4366100</v>
      </c>
    </row>
    <row r="11" spans="1:5">
      <c r="A11" s="6" t="s">
        <v>24</v>
      </c>
      <c r="B11">
        <v>4808</v>
      </c>
      <c r="C11">
        <v>1021072</v>
      </c>
      <c r="D11">
        <v>1021072</v>
      </c>
      <c r="E11">
        <v>4660476</v>
      </c>
    </row>
    <row r="12" spans="1:5">
      <c r="A12" s="6" t="s">
        <v>26</v>
      </c>
      <c r="B12">
        <v>5152</v>
      </c>
      <c r="C12">
        <v>1079423</v>
      </c>
      <c r="D12">
        <v>1079423</v>
      </c>
      <c r="E12">
        <v>5220486</v>
      </c>
    </row>
    <row r="13" spans="1:5">
      <c r="A13" s="6" t="s">
        <v>27</v>
      </c>
      <c r="B13">
        <v>5142</v>
      </c>
      <c r="C13">
        <v>1066578</v>
      </c>
      <c r="D13">
        <v>1066578</v>
      </c>
      <c r="E13">
        <v>5382369</v>
      </c>
    </row>
    <row r="14" spans="1:5">
      <c r="A14" s="6" t="s">
        <v>28</v>
      </c>
      <c r="B14">
        <v>4740</v>
      </c>
      <c r="C14">
        <v>917896</v>
      </c>
      <c r="D14">
        <v>917896</v>
      </c>
      <c r="E14">
        <v>4842971</v>
      </c>
    </row>
    <row r="15" spans="1:5">
      <c r="A15" s="6" t="s">
        <v>29</v>
      </c>
      <c r="B15">
        <v>4607</v>
      </c>
      <c r="C15">
        <v>1452264</v>
      </c>
      <c r="D15">
        <v>1452264</v>
      </c>
      <c r="E15">
        <v>4628981</v>
      </c>
    </row>
    <row r="16" spans="1:5">
      <c r="A16" s="6" t="s">
        <v>37</v>
      </c>
      <c r="B16">
        <v>57622</v>
      </c>
      <c r="C16">
        <v>13008224</v>
      </c>
      <c r="D16">
        <v>12793914</v>
      </c>
      <c r="E16">
        <v>58680261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workbookViewId="0">
      <pane ySplit="1" topLeftCell="A76" activePane="bottomLeft" state="frozen"/>
      <selection pane="bottomLeft" activeCell="E102" sqref="E102"/>
    </sheetView>
  </sheetViews>
  <sheetFormatPr baseColWidth="10" defaultRowHeight="15" customHeight="1"/>
  <cols>
    <col min="1" max="1" width="14" customWidth="1"/>
    <col min="2" max="2" width="28.140625" customWidth="1"/>
    <col min="3" max="3" width="23.85546875" style="1" bestFit="1" customWidth="1"/>
    <col min="4" max="4" width="13.28515625" style="2" customWidth="1"/>
    <col min="5" max="5" width="15.140625" style="4" bestFit="1" customWidth="1"/>
    <col min="6" max="6" width="13.28515625" style="4" customWidth="1"/>
    <col min="7" max="7" width="14.7109375" style="2" customWidth="1"/>
    <col min="8" max="8" width="14.85546875" style="2" bestFit="1" customWidth="1"/>
    <col min="9" max="9" width="16" style="3" bestFit="1" customWidth="1"/>
    <col min="10" max="10" width="17.140625" style="5" bestFit="1" customWidth="1"/>
    <col min="11" max="11" width="45" customWidth="1"/>
  </cols>
  <sheetData>
    <row r="1" spans="1:11" ht="15" customHeight="1">
      <c r="A1" s="7" t="s">
        <v>35</v>
      </c>
      <c r="B1" s="8" t="s">
        <v>0</v>
      </c>
      <c r="C1" s="9" t="s">
        <v>18</v>
      </c>
      <c r="D1" s="8" t="s">
        <v>7</v>
      </c>
      <c r="E1" s="10" t="s">
        <v>16</v>
      </c>
      <c r="F1" s="11" t="s">
        <v>8</v>
      </c>
      <c r="G1" s="12" t="s">
        <v>10</v>
      </c>
      <c r="H1" s="13" t="s">
        <v>9</v>
      </c>
      <c r="I1" s="12" t="s">
        <v>17</v>
      </c>
      <c r="J1" s="14" t="s">
        <v>6</v>
      </c>
      <c r="K1" s="15" t="s">
        <v>5</v>
      </c>
    </row>
    <row r="2" spans="1:11" ht="15" customHeight="1">
      <c r="A2" t="s">
        <v>1</v>
      </c>
      <c r="B2" t="s">
        <v>4</v>
      </c>
      <c r="C2" s="4">
        <v>614565</v>
      </c>
      <c r="D2" s="2">
        <v>604</v>
      </c>
      <c r="E2" s="4">
        <f t="shared" ref="E2:E18" si="0">C2</f>
        <v>614565</v>
      </c>
      <c r="F2" s="4">
        <f>56065+40264</f>
        <v>96329</v>
      </c>
      <c r="G2" s="2">
        <v>6</v>
      </c>
      <c r="H2" s="2">
        <v>6</v>
      </c>
      <c r="I2" s="16">
        <v>310639</v>
      </c>
      <c r="J2" s="17">
        <f>E2+I2</f>
        <v>925204</v>
      </c>
      <c r="K2" s="3"/>
    </row>
    <row r="3" spans="1:11" ht="15" customHeight="1">
      <c r="A3" t="s">
        <v>1</v>
      </c>
      <c r="B3" t="s">
        <v>11</v>
      </c>
      <c r="C3" s="4">
        <v>885924</v>
      </c>
      <c r="D3" s="2">
        <v>835</v>
      </c>
      <c r="E3" s="4">
        <f t="shared" si="0"/>
        <v>885924</v>
      </c>
      <c r="F3" s="4">
        <f>56065+40264</f>
        <v>96329</v>
      </c>
      <c r="G3" s="2">
        <v>6</v>
      </c>
      <c r="H3" s="2">
        <v>6</v>
      </c>
      <c r="I3" s="16">
        <f t="shared" ref="I3:I4" si="1">F3</f>
        <v>96329</v>
      </c>
      <c r="J3" s="17">
        <f>E3+I3+52950</f>
        <v>1035203</v>
      </c>
      <c r="K3" s="3"/>
    </row>
    <row r="4" spans="1:11" ht="15" customHeight="1">
      <c r="A4" t="s">
        <v>1</v>
      </c>
      <c r="B4" t="s">
        <v>14</v>
      </c>
      <c r="C4" s="4">
        <v>520955</v>
      </c>
      <c r="D4" s="2">
        <v>512</v>
      </c>
      <c r="E4" s="4">
        <f t="shared" si="0"/>
        <v>520955</v>
      </c>
      <c r="F4" s="4">
        <f>56065+40264</f>
        <v>96329</v>
      </c>
      <c r="G4" s="2">
        <v>6</v>
      </c>
      <c r="H4" s="2">
        <v>6</v>
      </c>
      <c r="I4" s="16">
        <f t="shared" si="1"/>
        <v>96329</v>
      </c>
      <c r="J4" s="17">
        <f>E4+I4+52950</f>
        <v>670234</v>
      </c>
      <c r="K4" s="3"/>
    </row>
    <row r="5" spans="1:11" ht="15" customHeight="1">
      <c r="A5" t="s">
        <v>1</v>
      </c>
      <c r="B5" t="s">
        <v>12</v>
      </c>
      <c r="C5" s="4">
        <v>786521</v>
      </c>
      <c r="D5" s="2">
        <v>773</v>
      </c>
      <c r="E5" s="4">
        <f t="shared" si="0"/>
        <v>786521</v>
      </c>
      <c r="F5" s="4">
        <f>91220+67166</f>
        <v>158386</v>
      </c>
      <c r="G5" s="2">
        <v>11</v>
      </c>
      <c r="H5" s="2">
        <v>11</v>
      </c>
      <c r="I5" s="16">
        <f t="shared" ref="I5:I13" si="2">F5</f>
        <v>158386</v>
      </c>
      <c r="J5" s="17">
        <f>E5+I5+52950</f>
        <v>997857</v>
      </c>
      <c r="K5" s="3"/>
    </row>
    <row r="6" spans="1:11" ht="15" customHeight="1">
      <c r="A6" t="s">
        <v>1</v>
      </c>
      <c r="B6" t="s">
        <v>13</v>
      </c>
      <c r="C6" s="4">
        <v>287950</v>
      </c>
      <c r="D6" s="2">
        <v>283</v>
      </c>
      <c r="E6" s="4">
        <f t="shared" si="0"/>
        <v>287950</v>
      </c>
      <c r="F6" s="4">
        <f>77158+56406</f>
        <v>133564</v>
      </c>
      <c r="G6" s="2">
        <v>9</v>
      </c>
      <c r="H6" s="2">
        <v>9</v>
      </c>
      <c r="I6" s="16">
        <f t="shared" si="2"/>
        <v>133564</v>
      </c>
      <c r="J6" s="17">
        <f>E6+I6+50950</f>
        <v>472464</v>
      </c>
      <c r="K6" s="3"/>
    </row>
    <row r="7" spans="1:11" ht="15" customHeight="1">
      <c r="A7" t="s">
        <v>2</v>
      </c>
      <c r="B7" t="s">
        <v>4</v>
      </c>
      <c r="C7" s="4">
        <v>557207</v>
      </c>
      <c r="D7" s="2">
        <v>558</v>
      </c>
      <c r="E7" s="4">
        <f t="shared" si="0"/>
        <v>557207</v>
      </c>
      <c r="F7" s="4">
        <f>147469+110229</f>
        <v>257698</v>
      </c>
      <c r="G7" s="2">
        <v>19</v>
      </c>
      <c r="H7" s="2">
        <v>19</v>
      </c>
      <c r="I7" s="16">
        <f t="shared" si="2"/>
        <v>257698</v>
      </c>
      <c r="J7" s="17">
        <f>E7+I7+52910+30</f>
        <v>867845</v>
      </c>
      <c r="K7" s="3"/>
    </row>
    <row r="8" spans="1:11" ht="15" customHeight="1">
      <c r="A8" t="s">
        <v>2</v>
      </c>
      <c r="B8" t="s">
        <v>11</v>
      </c>
      <c r="C8" s="4">
        <v>634958</v>
      </c>
      <c r="D8" s="2">
        <v>579</v>
      </c>
      <c r="E8" s="4">
        <f t="shared" si="0"/>
        <v>634958</v>
      </c>
      <c r="F8" s="4">
        <v>71527</v>
      </c>
      <c r="G8" s="2">
        <v>4</v>
      </c>
      <c r="H8" s="2">
        <v>4</v>
      </c>
      <c r="I8" s="16">
        <f t="shared" si="2"/>
        <v>71527</v>
      </c>
      <c r="J8" s="17">
        <f>E8+I8+52910</f>
        <v>759395</v>
      </c>
      <c r="K8" s="3"/>
    </row>
    <row r="9" spans="1:11" ht="15" customHeight="1">
      <c r="A9" t="s">
        <v>2</v>
      </c>
      <c r="B9" t="s">
        <v>14</v>
      </c>
      <c r="C9" s="4">
        <v>390444</v>
      </c>
      <c r="D9" s="2">
        <v>391</v>
      </c>
      <c r="E9" s="4">
        <f t="shared" si="0"/>
        <v>390444</v>
      </c>
      <c r="F9" s="4">
        <f>42006+29507</f>
        <v>71513</v>
      </c>
      <c r="G9" s="2">
        <v>4</v>
      </c>
      <c r="H9" s="2">
        <v>4</v>
      </c>
      <c r="I9" s="16">
        <f t="shared" si="2"/>
        <v>71513</v>
      </c>
      <c r="J9" s="17">
        <f>E9+I9+52910+14</f>
        <v>514881</v>
      </c>
      <c r="K9" s="3"/>
    </row>
    <row r="10" spans="1:11" ht="15" customHeight="1">
      <c r="A10" t="s">
        <v>2</v>
      </c>
      <c r="B10" t="s">
        <v>12</v>
      </c>
      <c r="C10" s="4">
        <v>592157</v>
      </c>
      <c r="D10" s="2">
        <v>593</v>
      </c>
      <c r="E10" s="4">
        <f t="shared" si="0"/>
        <v>592157</v>
      </c>
      <c r="F10" s="4">
        <f>56065+40270+30</f>
        <v>96365</v>
      </c>
      <c r="G10" s="2">
        <v>6</v>
      </c>
      <c r="H10" s="2">
        <v>6</v>
      </c>
      <c r="I10" s="16">
        <f t="shared" si="2"/>
        <v>96365</v>
      </c>
      <c r="J10" s="17">
        <f>E10+I10+52910</f>
        <v>741432</v>
      </c>
      <c r="K10" s="3"/>
    </row>
    <row r="11" spans="1:11" ht="15" customHeight="1">
      <c r="A11" t="s">
        <v>2</v>
      </c>
      <c r="B11" t="s">
        <v>13</v>
      </c>
      <c r="C11" s="4">
        <v>222683</v>
      </c>
      <c r="D11" s="2">
        <v>223</v>
      </c>
      <c r="E11" s="4">
        <f t="shared" si="0"/>
        <v>222683</v>
      </c>
      <c r="F11" s="4">
        <f>63096+45652</f>
        <v>108748</v>
      </c>
      <c r="G11" s="2">
        <v>7</v>
      </c>
      <c r="H11" s="2">
        <v>7</v>
      </c>
      <c r="I11" s="16">
        <f t="shared" si="2"/>
        <v>108748</v>
      </c>
      <c r="J11" s="17">
        <f>E11+I11+50910+28</f>
        <v>382369</v>
      </c>
      <c r="K11" s="3"/>
    </row>
    <row r="12" spans="1:11" ht="15" customHeight="1">
      <c r="A12" t="s">
        <v>19</v>
      </c>
      <c r="B12" t="s">
        <v>4</v>
      </c>
      <c r="C12" s="4">
        <v>592528</v>
      </c>
      <c r="D12" s="2">
        <v>578</v>
      </c>
      <c r="E12" s="4">
        <f t="shared" si="0"/>
        <v>592528</v>
      </c>
      <c r="F12" s="4">
        <f>77940+105282</f>
        <v>183222</v>
      </c>
      <c r="G12" s="2">
        <v>13</v>
      </c>
      <c r="H12" s="2">
        <v>13</v>
      </c>
      <c r="I12" s="16">
        <f t="shared" si="2"/>
        <v>183222</v>
      </c>
      <c r="J12" s="17">
        <f t="shared" ref="J12" si="3">E12+I12+50950</f>
        <v>826700</v>
      </c>
      <c r="K12" s="3"/>
    </row>
    <row r="13" spans="1:11" ht="15" customHeight="1">
      <c r="A13" t="s">
        <v>19</v>
      </c>
      <c r="B13" t="s">
        <v>11</v>
      </c>
      <c r="C13" s="4">
        <v>776799</v>
      </c>
      <c r="D13" s="2">
        <v>717</v>
      </c>
      <c r="E13" s="4">
        <f t="shared" si="0"/>
        <v>776799</v>
      </c>
      <c r="F13" s="4">
        <f>49034+34889</f>
        <v>83923</v>
      </c>
      <c r="G13" s="2">
        <v>5</v>
      </c>
      <c r="H13" s="2">
        <v>5</v>
      </c>
      <c r="I13" s="16">
        <f t="shared" si="2"/>
        <v>83923</v>
      </c>
      <c r="J13" s="17">
        <f>E13+I13+58514</f>
        <v>919236</v>
      </c>
      <c r="K13" s="3"/>
    </row>
    <row r="14" spans="1:11" ht="15" customHeight="1">
      <c r="A14" t="s">
        <v>19</v>
      </c>
      <c r="B14" t="s">
        <v>14</v>
      </c>
      <c r="C14" s="4">
        <v>551723</v>
      </c>
      <c r="D14" s="2">
        <v>538</v>
      </c>
      <c r="E14" s="4">
        <f t="shared" si="0"/>
        <v>551723</v>
      </c>
      <c r="F14" s="4">
        <f>63096+45652</f>
        <v>108748</v>
      </c>
      <c r="G14" s="2">
        <v>7</v>
      </c>
      <c r="H14" s="2">
        <v>7</v>
      </c>
      <c r="I14" s="16">
        <f>F14</f>
        <v>108748</v>
      </c>
      <c r="J14" s="17">
        <f>E14+I14+58514</f>
        <v>718985</v>
      </c>
      <c r="K14" s="3"/>
    </row>
    <row r="15" spans="1:11" ht="15" customHeight="1">
      <c r="A15" t="s">
        <v>19</v>
      </c>
      <c r="B15" t="s">
        <v>12</v>
      </c>
      <c r="C15" s="4">
        <v>811907</v>
      </c>
      <c r="D15" s="2">
        <v>792</v>
      </c>
      <c r="E15" s="4">
        <f t="shared" si="0"/>
        <v>811907</v>
      </c>
      <c r="F15" s="4">
        <f>77158+56416</f>
        <v>133574</v>
      </c>
      <c r="G15" s="2">
        <v>9</v>
      </c>
      <c r="H15" s="2">
        <v>9</v>
      </c>
      <c r="I15" s="16">
        <f>F15</f>
        <v>133574</v>
      </c>
      <c r="J15" s="17">
        <f>E15+I15+58514</f>
        <v>1003995</v>
      </c>
      <c r="K15" s="3"/>
    </row>
    <row r="16" spans="1:11" ht="15" customHeight="1">
      <c r="A16" t="s">
        <v>19</v>
      </c>
      <c r="B16" t="s">
        <v>13</v>
      </c>
      <c r="C16" s="4">
        <v>260384</v>
      </c>
      <c r="D16" s="2">
        <v>254</v>
      </c>
      <c r="E16" s="4">
        <f t="shared" si="0"/>
        <v>260384</v>
      </c>
      <c r="F16" s="4">
        <f>70127+51035</f>
        <v>121162</v>
      </c>
      <c r="G16" s="2">
        <v>8</v>
      </c>
      <c r="H16" s="2">
        <v>8</v>
      </c>
      <c r="I16" s="16">
        <f>F16</f>
        <v>121162</v>
      </c>
      <c r="J16" s="17">
        <f>E16+I16+55514</f>
        <v>437060</v>
      </c>
      <c r="K16" s="3"/>
    </row>
    <row r="17" spans="1:11" ht="15" customHeight="1">
      <c r="A17" t="s">
        <v>20</v>
      </c>
      <c r="B17" t="s">
        <v>4</v>
      </c>
      <c r="C17" s="4">
        <v>692737</v>
      </c>
      <c r="D17" s="2">
        <v>671</v>
      </c>
      <c r="E17" s="4">
        <f t="shared" si="0"/>
        <v>692737</v>
      </c>
      <c r="F17" s="4">
        <f>84189+61796</f>
        <v>145985</v>
      </c>
      <c r="G17" s="2">
        <v>10</v>
      </c>
      <c r="H17" s="2">
        <v>10</v>
      </c>
      <c r="I17" s="16">
        <f>F17</f>
        <v>145985</v>
      </c>
      <c r="J17" s="17">
        <f>E17+I17+57265</f>
        <v>895987</v>
      </c>
      <c r="K17" s="3"/>
    </row>
    <row r="18" spans="1:11" ht="15" customHeight="1">
      <c r="A18" t="s">
        <v>20</v>
      </c>
      <c r="B18" t="s">
        <v>11</v>
      </c>
      <c r="C18" s="4">
        <v>742877</v>
      </c>
      <c r="D18" s="2">
        <v>677</v>
      </c>
      <c r="E18" s="4">
        <f t="shared" si="0"/>
        <v>742877</v>
      </c>
      <c r="F18" s="4">
        <f>49034+34889</f>
        <v>83923</v>
      </c>
      <c r="G18" s="2">
        <v>5</v>
      </c>
      <c r="H18" s="2">
        <v>5</v>
      </c>
      <c r="I18" s="16">
        <f>F18</f>
        <v>83923</v>
      </c>
      <c r="J18" s="17">
        <f>E18+I18+57265</f>
        <v>884065</v>
      </c>
      <c r="K18" s="16"/>
    </row>
    <row r="19" spans="1:11" ht="15" customHeight="1">
      <c r="A19" t="s">
        <v>20</v>
      </c>
      <c r="B19" t="s">
        <v>14</v>
      </c>
      <c r="C19" s="4">
        <v>486258</v>
      </c>
      <c r="D19" s="2">
        <v>471</v>
      </c>
      <c r="E19" s="4">
        <f>+C19</f>
        <v>486258</v>
      </c>
      <c r="F19" s="4">
        <v>46684</v>
      </c>
      <c r="G19" s="2">
        <v>2</v>
      </c>
      <c r="H19" s="2">
        <v>2</v>
      </c>
      <c r="I19" s="16">
        <f>+F19</f>
        <v>46684</v>
      </c>
      <c r="J19" s="17">
        <f>E19+I19+54265</f>
        <v>587207</v>
      </c>
      <c r="K19" s="3"/>
    </row>
    <row r="20" spans="1:11" ht="15" customHeight="1">
      <c r="A20" t="s">
        <v>20</v>
      </c>
      <c r="B20" t="s">
        <v>12</v>
      </c>
      <c r="C20" s="4">
        <v>729904</v>
      </c>
      <c r="D20" s="2">
        <v>707</v>
      </c>
      <c r="E20" s="4">
        <f>+C20</f>
        <v>729904</v>
      </c>
      <c r="F20" s="4">
        <f>63096+45652</f>
        <v>108748</v>
      </c>
      <c r="G20" s="2">
        <v>7</v>
      </c>
      <c r="H20" s="2">
        <v>7</v>
      </c>
      <c r="I20" s="16">
        <f>+F20</f>
        <v>108748</v>
      </c>
      <c r="J20" s="17">
        <f>E20+I20+57265</f>
        <v>895917</v>
      </c>
      <c r="K20" s="3"/>
    </row>
    <row r="21" spans="1:11" ht="15" customHeight="1">
      <c r="A21" t="s">
        <v>20</v>
      </c>
      <c r="B21" t="s">
        <v>13</v>
      </c>
      <c r="C21" s="4">
        <v>214738</v>
      </c>
      <c r="D21" s="2">
        <v>208</v>
      </c>
      <c r="E21" s="4">
        <f t="shared" ref="E21:E61" si="4">+C21</f>
        <v>214738</v>
      </c>
      <c r="F21" s="4">
        <f>63096+45652</f>
        <v>108748</v>
      </c>
      <c r="G21" s="2">
        <v>7</v>
      </c>
      <c r="H21" s="2">
        <v>7</v>
      </c>
      <c r="I21" s="16">
        <f>+F21</f>
        <v>108748</v>
      </c>
      <c r="J21" s="17">
        <f>E21+I21+54265</f>
        <v>377751</v>
      </c>
      <c r="K21" s="3"/>
    </row>
    <row r="22" spans="1:11" ht="15" customHeight="1">
      <c r="A22" t="s">
        <v>21</v>
      </c>
      <c r="B22" t="s">
        <v>4</v>
      </c>
      <c r="C22" s="4">
        <v>656074</v>
      </c>
      <c r="D22" s="2">
        <v>633</v>
      </c>
      <c r="E22" s="4">
        <f t="shared" si="4"/>
        <v>656074</v>
      </c>
      <c r="F22" s="4">
        <v>176523</v>
      </c>
      <c r="G22" s="2">
        <v>12</v>
      </c>
      <c r="H22" s="2">
        <v>12</v>
      </c>
      <c r="I22" s="16">
        <f t="shared" ref="I22:I30" si="5">+F22</f>
        <v>176523</v>
      </c>
      <c r="J22" s="17">
        <f t="shared" ref="J22:J61" si="6">E22+I22</f>
        <v>832597</v>
      </c>
      <c r="K22" s="3"/>
    </row>
    <row r="23" spans="1:11" ht="15" customHeight="1">
      <c r="A23" t="s">
        <v>21</v>
      </c>
      <c r="B23" t="s">
        <v>11</v>
      </c>
      <c r="C23" s="4">
        <v>769449</v>
      </c>
      <c r="D23" s="2">
        <v>700</v>
      </c>
      <c r="E23" s="4">
        <f t="shared" si="4"/>
        <v>769449</v>
      </c>
      <c r="F23" s="4">
        <v>73905</v>
      </c>
      <c r="G23" s="2">
        <v>4</v>
      </c>
      <c r="H23" s="2">
        <v>4</v>
      </c>
      <c r="I23" s="16">
        <f t="shared" si="5"/>
        <v>73905</v>
      </c>
      <c r="J23" s="17">
        <f>E23+I23</f>
        <v>843354</v>
      </c>
      <c r="K23" s="3"/>
    </row>
    <row r="24" spans="1:11" ht="15" customHeight="1">
      <c r="A24" t="s">
        <v>21</v>
      </c>
      <c r="B24" t="s">
        <v>14</v>
      </c>
      <c r="C24" s="4">
        <v>473908</v>
      </c>
      <c r="D24" s="2">
        <v>480</v>
      </c>
      <c r="E24" s="4">
        <f t="shared" si="4"/>
        <v>473908</v>
      </c>
      <c r="F24" s="18">
        <v>420241</v>
      </c>
      <c r="G24" s="2">
        <v>31</v>
      </c>
      <c r="H24" s="2">
        <v>31</v>
      </c>
      <c r="I24" s="16">
        <f t="shared" si="5"/>
        <v>420241</v>
      </c>
      <c r="J24" s="17">
        <f t="shared" si="6"/>
        <v>894149</v>
      </c>
      <c r="K24" s="3"/>
    </row>
    <row r="25" spans="1:11" ht="15" customHeight="1">
      <c r="A25" t="s">
        <v>21</v>
      </c>
      <c r="B25" t="s">
        <v>12</v>
      </c>
      <c r="C25" s="4">
        <v>685608</v>
      </c>
      <c r="D25" s="2">
        <v>695</v>
      </c>
      <c r="E25" s="4">
        <f t="shared" si="4"/>
        <v>685608</v>
      </c>
      <c r="F25" s="4">
        <v>99560</v>
      </c>
      <c r="G25" s="2">
        <v>6</v>
      </c>
      <c r="H25" s="2">
        <v>6</v>
      </c>
      <c r="I25" s="16">
        <f t="shared" si="5"/>
        <v>99560</v>
      </c>
      <c r="J25" s="17">
        <f>E25+I25</f>
        <v>785168</v>
      </c>
      <c r="K25" s="16"/>
    </row>
    <row r="26" spans="1:11" ht="15" customHeight="1">
      <c r="A26" t="s">
        <v>21</v>
      </c>
      <c r="B26" t="s">
        <v>13</v>
      </c>
      <c r="C26" s="4">
        <v>216883</v>
      </c>
      <c r="D26" s="2">
        <v>220</v>
      </c>
      <c r="E26" s="4">
        <f t="shared" si="4"/>
        <v>216883</v>
      </c>
      <c r="F26" s="4">
        <v>112387</v>
      </c>
      <c r="G26" s="2">
        <v>7</v>
      </c>
      <c r="H26" s="2">
        <v>7</v>
      </c>
      <c r="I26" s="16">
        <f>+F26</f>
        <v>112387</v>
      </c>
      <c r="J26" s="17">
        <f t="shared" si="6"/>
        <v>329270</v>
      </c>
      <c r="K26" s="3"/>
    </row>
    <row r="27" spans="1:11" ht="15" customHeight="1">
      <c r="A27" t="s">
        <v>22</v>
      </c>
      <c r="B27" t="s">
        <v>4</v>
      </c>
      <c r="C27" s="4">
        <v>716872</v>
      </c>
      <c r="D27" s="2">
        <v>729</v>
      </c>
      <c r="E27" s="4">
        <f t="shared" ref="E27" si="7">+C27</f>
        <v>716872</v>
      </c>
      <c r="F27" s="4">
        <v>176523</v>
      </c>
      <c r="G27" s="2">
        <v>12</v>
      </c>
      <c r="H27" s="2">
        <v>12</v>
      </c>
      <c r="I27" s="16">
        <f t="shared" ref="I27" si="8">+F27</f>
        <v>176523</v>
      </c>
      <c r="J27" s="17">
        <f t="shared" si="6"/>
        <v>893395</v>
      </c>
      <c r="K27" s="3"/>
    </row>
    <row r="28" spans="1:11" ht="15" customHeight="1">
      <c r="A28" t="s">
        <v>22</v>
      </c>
      <c r="B28" t="s">
        <v>11</v>
      </c>
      <c r="C28" s="4">
        <v>764427</v>
      </c>
      <c r="D28" s="2">
        <v>724</v>
      </c>
      <c r="E28" s="4">
        <f t="shared" si="4"/>
        <v>764427</v>
      </c>
      <c r="F28" s="4">
        <v>86732</v>
      </c>
      <c r="G28" s="2">
        <v>5</v>
      </c>
      <c r="H28" s="2">
        <v>5</v>
      </c>
      <c r="I28" s="16">
        <f t="shared" si="5"/>
        <v>86732</v>
      </c>
      <c r="J28" s="17">
        <f t="shared" si="6"/>
        <v>851159</v>
      </c>
      <c r="K28" s="3"/>
    </row>
    <row r="29" spans="1:11" ht="15" customHeight="1">
      <c r="A29" t="s">
        <v>22</v>
      </c>
      <c r="B29" t="s">
        <v>14</v>
      </c>
      <c r="C29" s="4">
        <v>427764</v>
      </c>
      <c r="D29" s="2">
        <v>435</v>
      </c>
      <c r="E29" s="4">
        <f t="shared" si="4"/>
        <v>427764</v>
      </c>
      <c r="F29" s="4">
        <v>86732</v>
      </c>
      <c r="G29" s="2">
        <v>5</v>
      </c>
      <c r="H29" s="2">
        <v>5</v>
      </c>
      <c r="I29" s="16">
        <f t="shared" si="5"/>
        <v>86732</v>
      </c>
      <c r="J29" s="17">
        <f t="shared" si="6"/>
        <v>514496</v>
      </c>
      <c r="K29" s="3"/>
    </row>
    <row r="30" spans="1:11" ht="15" customHeight="1">
      <c r="A30" t="s">
        <v>22</v>
      </c>
      <c r="B30" t="s">
        <v>12</v>
      </c>
      <c r="C30" s="4">
        <v>673604</v>
      </c>
      <c r="D30" s="2">
        <v>685</v>
      </c>
      <c r="E30" s="4">
        <f t="shared" si="4"/>
        <v>673604</v>
      </c>
      <c r="F30" s="4">
        <v>99560</v>
      </c>
      <c r="G30" s="2">
        <v>6</v>
      </c>
      <c r="H30" s="2">
        <v>6</v>
      </c>
      <c r="I30" s="16">
        <f t="shared" si="5"/>
        <v>99560</v>
      </c>
      <c r="J30" s="17">
        <f t="shared" si="6"/>
        <v>773164</v>
      </c>
      <c r="K30" s="3"/>
    </row>
    <row r="31" spans="1:11" ht="15" customHeight="1">
      <c r="A31" t="s">
        <v>22</v>
      </c>
      <c r="B31" t="s">
        <v>13</v>
      </c>
      <c r="C31" s="4">
        <v>229124</v>
      </c>
      <c r="D31" s="2">
        <v>233</v>
      </c>
      <c r="E31" s="4">
        <f t="shared" si="4"/>
        <v>229124</v>
      </c>
      <c r="F31" s="4">
        <v>112387</v>
      </c>
      <c r="G31" s="2">
        <v>7</v>
      </c>
      <c r="H31" s="2">
        <v>7</v>
      </c>
      <c r="I31" s="16">
        <v>112387</v>
      </c>
      <c r="J31" s="17">
        <f t="shared" si="6"/>
        <v>341511</v>
      </c>
      <c r="K31" s="3"/>
    </row>
    <row r="32" spans="1:11" ht="15" customHeight="1">
      <c r="A32" t="s">
        <v>23</v>
      </c>
      <c r="B32" t="s">
        <v>4</v>
      </c>
      <c r="C32" s="4">
        <v>539077</v>
      </c>
      <c r="D32" s="2">
        <v>653</v>
      </c>
      <c r="E32" s="4">
        <f t="shared" ref="E32" si="9">+C32</f>
        <v>539077</v>
      </c>
      <c r="F32" s="4">
        <v>189350</v>
      </c>
      <c r="G32" s="2">
        <v>13</v>
      </c>
      <c r="H32" s="2">
        <v>13</v>
      </c>
      <c r="I32" s="16">
        <f t="shared" ref="I32:I33" si="10">+F32</f>
        <v>189350</v>
      </c>
      <c r="J32" s="17">
        <f t="shared" si="6"/>
        <v>728427</v>
      </c>
      <c r="K32" s="3"/>
    </row>
    <row r="33" spans="1:11" ht="15" customHeight="1">
      <c r="A33" t="s">
        <v>23</v>
      </c>
      <c r="B33" t="s">
        <v>11</v>
      </c>
      <c r="C33" s="4">
        <v>709137</v>
      </c>
      <c r="D33" s="2">
        <v>796</v>
      </c>
      <c r="E33" s="4">
        <f t="shared" si="4"/>
        <v>709137</v>
      </c>
      <c r="F33" s="4">
        <v>73905</v>
      </c>
      <c r="G33" s="2">
        <v>4</v>
      </c>
      <c r="H33" s="2">
        <v>4</v>
      </c>
      <c r="I33" s="16">
        <f t="shared" si="10"/>
        <v>73905</v>
      </c>
      <c r="J33" s="17">
        <f>E33+I33</f>
        <v>783042</v>
      </c>
      <c r="K33" s="3"/>
    </row>
    <row r="34" spans="1:11" ht="15" customHeight="1">
      <c r="A34" t="s">
        <v>23</v>
      </c>
      <c r="B34" t="s">
        <v>14</v>
      </c>
      <c r="C34" s="4">
        <v>479472</v>
      </c>
      <c r="D34" s="2">
        <v>522</v>
      </c>
      <c r="E34" s="4">
        <f t="shared" si="4"/>
        <v>479472</v>
      </c>
      <c r="F34" s="4">
        <v>189350</v>
      </c>
      <c r="G34" s="2">
        <v>13</v>
      </c>
      <c r="H34" s="2">
        <v>13</v>
      </c>
      <c r="I34" s="16">
        <f>+F34</f>
        <v>189350</v>
      </c>
      <c r="J34" s="17">
        <f t="shared" si="6"/>
        <v>668822</v>
      </c>
      <c r="K34" s="3"/>
    </row>
    <row r="35" spans="1:11" ht="15" customHeight="1">
      <c r="A35" t="s">
        <v>23</v>
      </c>
      <c r="B35" t="s">
        <v>12</v>
      </c>
      <c r="C35" s="4">
        <v>688896</v>
      </c>
      <c r="D35" s="2">
        <v>750</v>
      </c>
      <c r="E35" s="4">
        <f t="shared" si="4"/>
        <v>688896</v>
      </c>
      <c r="F35" s="4">
        <v>125214</v>
      </c>
      <c r="G35" s="2">
        <v>8</v>
      </c>
      <c r="H35" s="2">
        <v>8</v>
      </c>
      <c r="I35" s="16">
        <f>+F35</f>
        <v>125214</v>
      </c>
      <c r="J35" s="17">
        <f>E35+I35</f>
        <v>814110</v>
      </c>
      <c r="K35" s="3"/>
    </row>
    <row r="36" spans="1:11" ht="15" customHeight="1">
      <c r="A36" t="s">
        <v>23</v>
      </c>
      <c r="B36" t="s">
        <v>13</v>
      </c>
      <c r="C36" s="4">
        <v>214936</v>
      </c>
      <c r="D36" s="2">
        <v>234</v>
      </c>
      <c r="E36" s="4">
        <f t="shared" si="4"/>
        <v>214936</v>
      </c>
      <c r="F36" s="4">
        <v>99560</v>
      </c>
      <c r="G36" s="2">
        <v>6</v>
      </c>
      <c r="H36" s="2">
        <v>6</v>
      </c>
      <c r="I36" s="16">
        <f t="shared" ref="I36:I61" si="11">+F36</f>
        <v>99560</v>
      </c>
      <c r="J36" s="17">
        <f t="shared" si="6"/>
        <v>314496</v>
      </c>
      <c r="K36" s="3"/>
    </row>
    <row r="37" spans="1:11" ht="15" customHeight="1">
      <c r="A37" t="s">
        <v>24</v>
      </c>
      <c r="B37" t="s">
        <v>4</v>
      </c>
      <c r="C37" s="4">
        <v>572251</v>
      </c>
      <c r="D37" s="2">
        <v>614</v>
      </c>
      <c r="E37" s="4">
        <f t="shared" si="4"/>
        <v>572251</v>
      </c>
      <c r="F37" s="4">
        <v>163812</v>
      </c>
      <c r="G37" s="2">
        <v>11</v>
      </c>
      <c r="H37" s="2">
        <v>11</v>
      </c>
      <c r="I37" s="16">
        <f t="shared" si="11"/>
        <v>163812</v>
      </c>
      <c r="J37" s="17">
        <f t="shared" si="6"/>
        <v>736063</v>
      </c>
      <c r="K37" s="3"/>
    </row>
    <row r="38" spans="1:11" ht="15" customHeight="1">
      <c r="A38" t="s">
        <v>24</v>
      </c>
      <c r="B38" t="s">
        <v>11</v>
      </c>
      <c r="C38" s="4">
        <v>759284</v>
      </c>
      <c r="D38" s="2">
        <v>759</v>
      </c>
      <c r="E38" s="4">
        <v>759284</v>
      </c>
      <c r="F38" s="4">
        <v>86777</v>
      </c>
      <c r="G38" s="2">
        <v>5</v>
      </c>
      <c r="H38" s="2">
        <v>5</v>
      </c>
      <c r="I38" s="16">
        <f t="shared" si="11"/>
        <v>86777</v>
      </c>
      <c r="J38" s="17">
        <f t="shared" si="6"/>
        <v>846061</v>
      </c>
      <c r="K38" s="3"/>
    </row>
    <row r="39" spans="1:11" ht="15" customHeight="1">
      <c r="A39" t="s">
        <v>24</v>
      </c>
      <c r="B39" t="s">
        <v>14</v>
      </c>
      <c r="C39" s="4">
        <v>451124</v>
      </c>
      <c r="D39" s="2">
        <v>484</v>
      </c>
      <c r="E39" s="4">
        <f t="shared" si="4"/>
        <v>451124</v>
      </c>
      <c r="F39" s="4">
        <v>86848</v>
      </c>
      <c r="G39" s="2">
        <v>5</v>
      </c>
      <c r="H39" s="2">
        <v>5</v>
      </c>
      <c r="I39" s="16">
        <f t="shared" si="11"/>
        <v>86848</v>
      </c>
      <c r="J39" s="17">
        <f t="shared" si="6"/>
        <v>537972</v>
      </c>
      <c r="K39" s="3"/>
    </row>
    <row r="40" spans="1:11" ht="15" customHeight="1">
      <c r="A40" t="s">
        <v>24</v>
      </c>
      <c r="B40" t="s">
        <v>12</v>
      </c>
      <c r="C40" s="4">
        <v>670146</v>
      </c>
      <c r="D40" s="2">
        <v>719</v>
      </c>
      <c r="E40" s="4">
        <f t="shared" si="4"/>
        <v>670146</v>
      </c>
      <c r="F40" s="4">
        <v>99637</v>
      </c>
      <c r="G40" s="2">
        <v>6</v>
      </c>
      <c r="H40" s="2">
        <v>6</v>
      </c>
      <c r="I40" s="16">
        <f t="shared" si="11"/>
        <v>99637</v>
      </c>
      <c r="J40" s="17">
        <f t="shared" si="6"/>
        <v>769783</v>
      </c>
      <c r="K40" s="3"/>
    </row>
    <row r="41" spans="1:11" ht="15" customHeight="1">
      <c r="A41" t="s">
        <v>24</v>
      </c>
      <c r="B41" t="s">
        <v>13</v>
      </c>
      <c r="C41" s="4">
        <v>244176</v>
      </c>
      <c r="D41" s="2">
        <v>262</v>
      </c>
      <c r="E41" s="4">
        <f t="shared" si="4"/>
        <v>244176</v>
      </c>
      <c r="F41" s="4">
        <v>99620</v>
      </c>
      <c r="G41" s="2">
        <v>6</v>
      </c>
      <c r="H41" s="2">
        <v>6</v>
      </c>
      <c r="I41" s="16">
        <f t="shared" si="11"/>
        <v>99620</v>
      </c>
      <c r="J41" s="17">
        <f t="shared" si="6"/>
        <v>343796</v>
      </c>
      <c r="K41" s="3"/>
    </row>
    <row r="42" spans="1:11" ht="15" customHeight="1">
      <c r="A42" t="s">
        <v>26</v>
      </c>
      <c r="B42" t="s">
        <v>4</v>
      </c>
      <c r="C42" s="4">
        <v>537651</v>
      </c>
      <c r="D42" s="2">
        <v>547</v>
      </c>
      <c r="E42" s="4">
        <f t="shared" si="4"/>
        <v>537651</v>
      </c>
      <c r="F42" s="4">
        <v>201162</v>
      </c>
      <c r="G42" s="2">
        <v>14</v>
      </c>
      <c r="H42" s="2">
        <v>14</v>
      </c>
      <c r="I42" s="16">
        <f t="shared" si="11"/>
        <v>201162</v>
      </c>
      <c r="J42" s="17">
        <f t="shared" si="6"/>
        <v>738813</v>
      </c>
      <c r="K42" s="3"/>
    </row>
    <row r="43" spans="1:11" ht="15" customHeight="1">
      <c r="A43" t="s">
        <v>26</v>
      </c>
      <c r="B43" t="s">
        <v>11</v>
      </c>
      <c r="C43" s="4">
        <v>892651</v>
      </c>
      <c r="D43" s="2">
        <v>871</v>
      </c>
      <c r="E43" s="4">
        <f t="shared" si="4"/>
        <v>892651</v>
      </c>
      <c r="F43" s="4">
        <v>86366</v>
      </c>
      <c r="G43" s="2">
        <v>5</v>
      </c>
      <c r="H43" s="2">
        <v>5</v>
      </c>
      <c r="I43" s="16">
        <f t="shared" si="11"/>
        <v>86366</v>
      </c>
      <c r="J43" s="17">
        <f t="shared" si="6"/>
        <v>979017</v>
      </c>
      <c r="K43" s="3"/>
    </row>
    <row r="44" spans="1:11" ht="15" customHeight="1">
      <c r="A44" t="s">
        <v>26</v>
      </c>
      <c r="B44" t="s">
        <v>14</v>
      </c>
      <c r="C44" s="4">
        <v>627095</v>
      </c>
      <c r="D44" s="2">
        <v>638</v>
      </c>
      <c r="E44" s="4">
        <f t="shared" si="4"/>
        <v>627095</v>
      </c>
      <c r="F44" s="4">
        <v>86366</v>
      </c>
      <c r="G44" s="2">
        <v>5</v>
      </c>
      <c r="H44" s="2">
        <v>5</v>
      </c>
      <c r="I44" s="16">
        <f t="shared" si="11"/>
        <v>86366</v>
      </c>
      <c r="J44" s="17">
        <f t="shared" si="6"/>
        <v>713461</v>
      </c>
      <c r="K44" s="3"/>
    </row>
    <row r="45" spans="1:11" ht="15" customHeight="1">
      <c r="A45" t="s">
        <v>26</v>
      </c>
      <c r="B45" t="s">
        <v>12</v>
      </c>
      <c r="C45" s="4">
        <v>799104</v>
      </c>
      <c r="D45" s="2">
        <v>813</v>
      </c>
      <c r="E45" s="4">
        <f t="shared" si="4"/>
        <v>799104</v>
      </c>
      <c r="F45" s="4">
        <v>124631</v>
      </c>
      <c r="G45" s="2">
        <v>8</v>
      </c>
      <c r="H45" s="2">
        <v>8</v>
      </c>
      <c r="I45" s="16">
        <f t="shared" si="11"/>
        <v>124631</v>
      </c>
      <c r="J45" s="17">
        <f t="shared" si="6"/>
        <v>923735</v>
      </c>
      <c r="K45" s="3"/>
    </row>
    <row r="46" spans="1:11" ht="15" customHeight="1">
      <c r="A46" t="s">
        <v>26</v>
      </c>
      <c r="B46" t="s">
        <v>13</v>
      </c>
      <c r="C46" s="4">
        <v>255557</v>
      </c>
      <c r="D46" s="2">
        <v>260</v>
      </c>
      <c r="E46" s="4">
        <f t="shared" si="4"/>
        <v>255557</v>
      </c>
      <c r="F46" s="4">
        <v>99121</v>
      </c>
      <c r="G46" s="2">
        <v>6</v>
      </c>
      <c r="H46" s="2">
        <v>6</v>
      </c>
      <c r="I46" s="16">
        <f t="shared" si="11"/>
        <v>99121</v>
      </c>
      <c r="J46" s="17">
        <f t="shared" si="6"/>
        <v>354678</v>
      </c>
      <c r="K46" s="3"/>
    </row>
    <row r="47" spans="1:11" ht="15" customHeight="1">
      <c r="A47" t="s">
        <v>27</v>
      </c>
      <c r="B47" t="s">
        <v>4</v>
      </c>
      <c r="C47" s="4">
        <v>582624</v>
      </c>
      <c r="D47" s="2">
        <v>584</v>
      </c>
      <c r="E47" s="4">
        <f t="shared" si="4"/>
        <v>582624</v>
      </c>
      <c r="F47" s="4">
        <v>188407</v>
      </c>
      <c r="G47" s="2">
        <v>13</v>
      </c>
      <c r="H47" s="2">
        <v>13</v>
      </c>
      <c r="I47" s="16">
        <f t="shared" si="11"/>
        <v>188407</v>
      </c>
      <c r="J47" s="17">
        <f t="shared" si="6"/>
        <v>771031</v>
      </c>
      <c r="K47" s="3"/>
    </row>
    <row r="48" spans="1:11" ht="15" customHeight="1">
      <c r="A48" t="s">
        <v>27</v>
      </c>
      <c r="B48" t="s">
        <v>11</v>
      </c>
      <c r="C48" s="4">
        <v>910535</v>
      </c>
      <c r="D48" s="2">
        <v>873</v>
      </c>
      <c r="E48" s="4">
        <f t="shared" si="4"/>
        <v>910535</v>
      </c>
      <c r="F48" s="4">
        <v>86366</v>
      </c>
      <c r="G48" s="2">
        <v>5</v>
      </c>
      <c r="H48" s="2">
        <v>5</v>
      </c>
      <c r="I48" s="16">
        <f t="shared" si="11"/>
        <v>86366</v>
      </c>
      <c r="J48" s="17">
        <f t="shared" si="6"/>
        <v>996901</v>
      </c>
      <c r="K48" s="3"/>
    </row>
    <row r="49" spans="1:11" ht="15" customHeight="1">
      <c r="A49" t="s">
        <v>27</v>
      </c>
      <c r="B49" t="s">
        <v>14</v>
      </c>
      <c r="C49" s="4">
        <v>637495</v>
      </c>
      <c r="D49" s="2">
        <v>639</v>
      </c>
      <c r="E49" s="4">
        <f t="shared" si="4"/>
        <v>637495</v>
      </c>
      <c r="F49" s="4">
        <v>86366</v>
      </c>
      <c r="G49" s="2">
        <v>5</v>
      </c>
      <c r="H49" s="2">
        <v>5</v>
      </c>
      <c r="I49" s="16">
        <f t="shared" si="11"/>
        <v>86366</v>
      </c>
      <c r="J49" s="17">
        <f t="shared" si="6"/>
        <v>723861</v>
      </c>
      <c r="K49" s="3"/>
    </row>
    <row r="50" spans="1:11" ht="15" customHeight="1">
      <c r="A50" t="s">
        <v>27</v>
      </c>
      <c r="B50" t="s">
        <v>12</v>
      </c>
      <c r="C50" s="4">
        <v>735264</v>
      </c>
      <c r="D50" s="2">
        <v>737</v>
      </c>
      <c r="E50" s="4">
        <f t="shared" si="4"/>
        <v>735264</v>
      </c>
      <c r="F50" s="4">
        <v>111876</v>
      </c>
      <c r="G50" s="2">
        <v>7</v>
      </c>
      <c r="H50" s="2">
        <v>7</v>
      </c>
      <c r="I50" s="16">
        <f t="shared" si="11"/>
        <v>111876</v>
      </c>
      <c r="J50" s="17">
        <f t="shared" si="6"/>
        <v>847140</v>
      </c>
      <c r="K50" s="3"/>
    </row>
    <row r="51" spans="1:11" ht="15" customHeight="1">
      <c r="A51" t="s">
        <v>27</v>
      </c>
      <c r="B51" t="s">
        <v>13</v>
      </c>
      <c r="C51" s="4">
        <v>273354</v>
      </c>
      <c r="D51" s="2">
        <v>274</v>
      </c>
      <c r="E51" s="4">
        <f t="shared" si="4"/>
        <v>273354</v>
      </c>
      <c r="F51" s="4">
        <v>111876</v>
      </c>
      <c r="G51" s="2">
        <v>7</v>
      </c>
      <c r="H51" s="2">
        <v>7</v>
      </c>
      <c r="I51" s="16">
        <f t="shared" si="11"/>
        <v>111876</v>
      </c>
      <c r="J51" s="17">
        <f t="shared" si="6"/>
        <v>385230</v>
      </c>
      <c r="K51" s="3"/>
    </row>
    <row r="52" spans="1:11" ht="15" customHeight="1">
      <c r="A52" t="s">
        <v>28</v>
      </c>
      <c r="B52" t="s">
        <v>4</v>
      </c>
      <c r="C52" s="4">
        <v>583441</v>
      </c>
      <c r="D52" s="2">
        <v>593</v>
      </c>
      <c r="E52" s="4">
        <f t="shared" si="4"/>
        <v>583441</v>
      </c>
      <c r="F52" s="4">
        <v>207941</v>
      </c>
      <c r="G52" s="2">
        <v>14</v>
      </c>
      <c r="H52" s="2">
        <v>14</v>
      </c>
      <c r="I52" s="16">
        <f t="shared" si="11"/>
        <v>207941</v>
      </c>
      <c r="J52" s="17">
        <f t="shared" si="6"/>
        <v>791382</v>
      </c>
      <c r="K52" s="3"/>
    </row>
    <row r="53" spans="1:11" ht="15" customHeight="1">
      <c r="A53" t="s">
        <v>28</v>
      </c>
      <c r="B53" t="s">
        <v>11</v>
      </c>
      <c r="C53" s="4">
        <v>833949</v>
      </c>
      <c r="D53" s="2">
        <v>793</v>
      </c>
      <c r="E53" s="4">
        <f t="shared" si="4"/>
        <v>833949</v>
      </c>
      <c r="F53" s="4">
        <v>102421</v>
      </c>
      <c r="G53" s="2">
        <v>6</v>
      </c>
      <c r="H53" s="2">
        <v>6</v>
      </c>
      <c r="I53" s="16">
        <f t="shared" si="11"/>
        <v>102421</v>
      </c>
      <c r="J53" s="17">
        <f t="shared" si="6"/>
        <v>936370</v>
      </c>
      <c r="K53" s="3"/>
    </row>
    <row r="54" spans="1:11" ht="15" customHeight="1">
      <c r="A54" t="s">
        <v>28</v>
      </c>
      <c r="B54" t="s">
        <v>14</v>
      </c>
      <c r="C54" s="4">
        <v>476198</v>
      </c>
      <c r="D54" s="2">
        <v>484</v>
      </c>
      <c r="E54" s="4">
        <f t="shared" si="4"/>
        <v>476198</v>
      </c>
      <c r="F54" s="4">
        <v>89231</v>
      </c>
      <c r="G54" s="2">
        <v>5</v>
      </c>
      <c r="H54" s="2">
        <v>5</v>
      </c>
      <c r="I54" s="16">
        <f t="shared" si="11"/>
        <v>89231</v>
      </c>
      <c r="J54" s="17">
        <f t="shared" si="6"/>
        <v>565429</v>
      </c>
      <c r="K54" s="3"/>
    </row>
    <row r="55" spans="1:11" ht="15" customHeight="1">
      <c r="A55" t="s">
        <v>28</v>
      </c>
      <c r="B55" t="s">
        <v>12</v>
      </c>
      <c r="C55" s="4">
        <v>733974</v>
      </c>
      <c r="D55" s="2">
        <v>746</v>
      </c>
      <c r="E55" s="4">
        <f t="shared" si="4"/>
        <v>733974</v>
      </c>
      <c r="F55" s="4">
        <v>141991</v>
      </c>
      <c r="G55" s="2">
        <v>9</v>
      </c>
      <c r="H55" s="2">
        <v>9</v>
      </c>
      <c r="I55" s="16">
        <f t="shared" si="11"/>
        <v>141991</v>
      </c>
      <c r="J55" s="17">
        <f t="shared" si="6"/>
        <v>875965</v>
      </c>
      <c r="K55" s="3"/>
    </row>
    <row r="56" spans="1:11" ht="15" customHeight="1">
      <c r="A56" t="s">
        <v>28</v>
      </c>
      <c r="B56" t="s">
        <v>13</v>
      </c>
      <c r="C56" s="4">
        <v>269583</v>
      </c>
      <c r="D56" s="2">
        <v>274</v>
      </c>
      <c r="E56" s="4">
        <f t="shared" si="4"/>
        <v>269583</v>
      </c>
      <c r="F56" s="4">
        <v>102421</v>
      </c>
      <c r="G56" s="2">
        <v>6</v>
      </c>
      <c r="H56" s="2">
        <v>6</v>
      </c>
      <c r="I56" s="16">
        <f t="shared" si="11"/>
        <v>102421</v>
      </c>
      <c r="J56" s="17">
        <f t="shared" si="6"/>
        <v>372004</v>
      </c>
      <c r="K56" s="3"/>
    </row>
    <row r="57" spans="1:11" ht="15" customHeight="1">
      <c r="A57" t="s">
        <v>29</v>
      </c>
      <c r="B57" t="s">
        <v>4</v>
      </c>
      <c r="C57" s="4">
        <v>541139</v>
      </c>
      <c r="D57" s="2">
        <v>553</v>
      </c>
      <c r="E57" s="4">
        <f t="shared" si="4"/>
        <v>541139</v>
      </c>
      <c r="F57" s="4">
        <v>180791</v>
      </c>
      <c r="G57" s="2">
        <v>12</v>
      </c>
      <c r="H57" s="2">
        <v>12</v>
      </c>
      <c r="I57" s="16">
        <f t="shared" si="11"/>
        <v>180791</v>
      </c>
      <c r="J57" s="17">
        <f t="shared" si="6"/>
        <v>721930</v>
      </c>
      <c r="K57" s="3"/>
    </row>
    <row r="58" spans="1:11" ht="15" customHeight="1">
      <c r="A58" t="s">
        <v>29</v>
      </c>
      <c r="B58" t="s">
        <v>11</v>
      </c>
      <c r="C58" s="4">
        <v>695750</v>
      </c>
      <c r="D58" s="2">
        <v>711</v>
      </c>
      <c r="E58" s="4">
        <f t="shared" si="4"/>
        <v>695750</v>
      </c>
      <c r="F58" s="4">
        <v>88910</v>
      </c>
      <c r="G58" s="2">
        <v>5</v>
      </c>
      <c r="H58" s="2">
        <v>5</v>
      </c>
      <c r="I58" s="16">
        <f t="shared" si="11"/>
        <v>88910</v>
      </c>
      <c r="J58" s="17">
        <f t="shared" si="6"/>
        <v>784660</v>
      </c>
      <c r="K58" s="3"/>
    </row>
    <row r="59" spans="1:11" ht="15" customHeight="1">
      <c r="A59" t="s">
        <v>29</v>
      </c>
      <c r="B59" t="s">
        <v>14</v>
      </c>
      <c r="C59" s="4">
        <v>428606</v>
      </c>
      <c r="D59" s="2">
        <v>438</v>
      </c>
      <c r="E59" s="4">
        <f t="shared" si="4"/>
        <v>428606</v>
      </c>
      <c r="F59" s="4">
        <v>88910</v>
      </c>
      <c r="G59" s="2">
        <v>5</v>
      </c>
      <c r="H59" s="2">
        <v>5</v>
      </c>
      <c r="I59" s="16">
        <f t="shared" si="11"/>
        <v>88910</v>
      </c>
      <c r="J59" s="17">
        <f t="shared" si="6"/>
        <v>517516</v>
      </c>
      <c r="K59" s="3"/>
    </row>
    <row r="60" spans="1:11" ht="15" customHeight="1">
      <c r="A60" t="s">
        <v>29</v>
      </c>
      <c r="B60" t="s">
        <v>12</v>
      </c>
      <c r="C60" s="4">
        <v>647801</v>
      </c>
      <c r="D60" s="2">
        <v>662</v>
      </c>
      <c r="E60" s="4">
        <f t="shared" si="4"/>
        <v>647801</v>
      </c>
      <c r="F60" s="4">
        <v>128288</v>
      </c>
      <c r="G60" s="2">
        <v>8</v>
      </c>
      <c r="H60" s="2">
        <v>8</v>
      </c>
      <c r="I60" s="16">
        <f t="shared" si="11"/>
        <v>128288</v>
      </c>
      <c r="J60" s="17">
        <f t="shared" si="6"/>
        <v>776089</v>
      </c>
      <c r="K60" s="3"/>
    </row>
    <row r="61" spans="1:11" ht="15" customHeight="1">
      <c r="A61" t="s">
        <v>29</v>
      </c>
      <c r="B61" t="s">
        <v>13</v>
      </c>
      <c r="C61" s="4">
        <v>254424</v>
      </c>
      <c r="D61" s="2">
        <v>260</v>
      </c>
      <c r="E61" s="4">
        <f t="shared" si="4"/>
        <v>254424</v>
      </c>
      <c r="F61" s="4">
        <v>115162</v>
      </c>
      <c r="G61" s="2">
        <v>7</v>
      </c>
      <c r="H61" s="2">
        <v>7</v>
      </c>
      <c r="I61" s="16">
        <f t="shared" si="11"/>
        <v>115162</v>
      </c>
      <c r="J61" s="17">
        <f t="shared" si="6"/>
        <v>369586</v>
      </c>
      <c r="K61" s="3"/>
    </row>
    <row r="62" spans="1:11" ht="15" customHeight="1">
      <c r="A62" t="s">
        <v>1</v>
      </c>
      <c r="B62" t="s">
        <v>15</v>
      </c>
      <c r="C62" s="4">
        <v>1874220</v>
      </c>
      <c r="D62" s="2">
        <v>1842</v>
      </c>
      <c r="E62" s="4">
        <v>1874220</v>
      </c>
      <c r="F62" s="4">
        <v>369381</v>
      </c>
      <c r="G62" s="2">
        <v>28</v>
      </c>
      <c r="H62" s="2">
        <v>28</v>
      </c>
      <c r="I62" s="19">
        <v>369381</v>
      </c>
      <c r="J62" s="20">
        <v>2276601</v>
      </c>
    </row>
    <row r="63" spans="1:11" ht="15" customHeight="1">
      <c r="A63" t="s">
        <v>2</v>
      </c>
      <c r="B63" t="s">
        <v>15</v>
      </c>
      <c r="C63" s="4">
        <v>1644406</v>
      </c>
      <c r="D63" s="2">
        <v>1633</v>
      </c>
      <c r="E63" s="4">
        <v>1644406</v>
      </c>
      <c r="F63" s="4">
        <v>332171</v>
      </c>
      <c r="G63" s="2">
        <v>25</v>
      </c>
      <c r="H63" s="2">
        <v>25</v>
      </c>
      <c r="I63" s="19">
        <v>332171</v>
      </c>
      <c r="J63" s="20">
        <v>2009577</v>
      </c>
    </row>
    <row r="64" spans="1:11" ht="15" customHeight="1">
      <c r="A64" t="s">
        <v>19</v>
      </c>
      <c r="B64" t="s">
        <v>15</v>
      </c>
      <c r="C64" s="4">
        <v>1881124</v>
      </c>
      <c r="D64" s="2">
        <v>1835</v>
      </c>
      <c r="E64" s="4">
        <v>1881124</v>
      </c>
      <c r="F64" s="4">
        <v>394234</v>
      </c>
      <c r="G64" s="2">
        <v>30</v>
      </c>
      <c r="H64" s="2">
        <v>30</v>
      </c>
      <c r="I64" s="19">
        <v>394234</v>
      </c>
      <c r="J64" s="20">
        <v>2310358</v>
      </c>
    </row>
    <row r="65" spans="1:10" ht="15" customHeight="1">
      <c r="A65" t="s">
        <v>20</v>
      </c>
      <c r="B65" t="s">
        <v>15</v>
      </c>
      <c r="C65" s="4">
        <v>1651834</v>
      </c>
      <c r="D65" s="2">
        <v>1600</v>
      </c>
      <c r="E65" s="4">
        <v>1651834</v>
      </c>
      <c r="F65" s="4">
        <v>356998</v>
      </c>
      <c r="G65" s="2">
        <v>27</v>
      </c>
      <c r="H65" s="2">
        <v>27</v>
      </c>
      <c r="I65" s="19">
        <v>356998</v>
      </c>
      <c r="J65" s="20">
        <v>2008832</v>
      </c>
    </row>
    <row r="66" spans="1:10" ht="15" customHeight="1">
      <c r="A66" t="s">
        <v>21</v>
      </c>
      <c r="B66" t="s">
        <v>15</v>
      </c>
      <c r="C66" s="4">
        <v>1804463</v>
      </c>
      <c r="D66" s="2">
        <v>1741</v>
      </c>
      <c r="E66" s="4">
        <v>1804463</v>
      </c>
      <c r="F66" s="4">
        <v>356105</v>
      </c>
      <c r="G66" s="2">
        <v>26</v>
      </c>
      <c r="H66" s="2">
        <v>26</v>
      </c>
      <c r="I66" s="19">
        <v>356105</v>
      </c>
      <c r="J66" s="20">
        <v>2160568</v>
      </c>
    </row>
    <row r="67" spans="1:10" ht="15" customHeight="1">
      <c r="A67" t="s">
        <v>22</v>
      </c>
      <c r="B67" t="s">
        <v>15</v>
      </c>
      <c r="C67" s="4">
        <v>1749503</v>
      </c>
      <c r="D67" s="2">
        <v>1698</v>
      </c>
      <c r="E67" s="4">
        <v>1749503</v>
      </c>
      <c r="F67" s="4">
        <v>394587</v>
      </c>
      <c r="G67" s="2">
        <v>30</v>
      </c>
      <c r="H67" s="2">
        <v>30</v>
      </c>
      <c r="I67" s="19">
        <v>394587</v>
      </c>
      <c r="J67" s="20">
        <v>2144090</v>
      </c>
    </row>
    <row r="68" spans="1:10" ht="15" customHeight="1">
      <c r="A68" t="s">
        <v>23</v>
      </c>
      <c r="B68" t="s">
        <v>15</v>
      </c>
      <c r="C68" s="4">
        <v>1421127</v>
      </c>
      <c r="D68" s="2">
        <v>1729</v>
      </c>
      <c r="E68" s="4">
        <v>1421127</v>
      </c>
      <c r="F68" s="4">
        <v>471551</v>
      </c>
      <c r="G68" s="2">
        <v>35</v>
      </c>
      <c r="H68" s="2">
        <v>35</v>
      </c>
      <c r="I68" s="19">
        <v>471551</v>
      </c>
      <c r="J68" s="20">
        <v>1892678</v>
      </c>
    </row>
    <row r="69" spans="1:10" ht="15" customHeight="1">
      <c r="A69" t="s">
        <v>24</v>
      </c>
      <c r="B69" t="s">
        <v>15</v>
      </c>
      <c r="C69" s="4">
        <v>1648691</v>
      </c>
      <c r="D69" s="2">
        <v>1770</v>
      </c>
      <c r="E69" s="4">
        <v>1648691</v>
      </c>
      <c r="F69" s="4">
        <v>484378</v>
      </c>
      <c r="G69" s="2">
        <v>36</v>
      </c>
      <c r="H69" s="2">
        <v>36</v>
      </c>
      <c r="I69" s="19">
        <v>484378</v>
      </c>
      <c r="J69" s="20">
        <v>2133069</v>
      </c>
    </row>
    <row r="70" spans="1:10" ht="15" customHeight="1">
      <c r="A70" t="s">
        <v>26</v>
      </c>
      <c r="B70" t="s">
        <v>15</v>
      </c>
      <c r="C70" s="4">
        <v>1806585</v>
      </c>
      <c r="D70" s="2">
        <v>1838</v>
      </c>
      <c r="E70" s="4">
        <v>1806585</v>
      </c>
      <c r="F70" s="4">
        <v>481777</v>
      </c>
      <c r="G70" s="2">
        <v>36</v>
      </c>
      <c r="H70" s="2">
        <v>36</v>
      </c>
      <c r="I70" s="19">
        <v>481777</v>
      </c>
      <c r="J70" s="20">
        <v>2288362</v>
      </c>
    </row>
    <row r="71" spans="1:10" ht="15" customHeight="1">
      <c r="A71" t="s">
        <v>27</v>
      </c>
      <c r="B71" t="s">
        <v>15</v>
      </c>
      <c r="C71" s="4">
        <v>1806584</v>
      </c>
      <c r="D71" s="2">
        <v>1838</v>
      </c>
      <c r="E71" s="4">
        <v>1806584</v>
      </c>
      <c r="F71" s="4">
        <v>481687</v>
      </c>
      <c r="G71" s="2">
        <v>36</v>
      </c>
      <c r="H71" s="2">
        <v>36</v>
      </c>
      <c r="I71" s="19">
        <v>481687</v>
      </c>
      <c r="J71" s="20">
        <v>2288271</v>
      </c>
    </row>
    <row r="72" spans="1:10" ht="15" customHeight="1">
      <c r="A72" t="s">
        <v>28</v>
      </c>
      <c r="B72" t="s">
        <v>15</v>
      </c>
      <c r="C72" s="4">
        <v>1639144</v>
      </c>
      <c r="D72" s="2">
        <v>1666</v>
      </c>
      <c r="E72" s="4">
        <v>1639144</v>
      </c>
      <c r="F72" s="4">
        <v>273891</v>
      </c>
      <c r="G72" s="2">
        <v>19</v>
      </c>
      <c r="H72" s="2">
        <v>19</v>
      </c>
      <c r="I72" s="19">
        <v>273891</v>
      </c>
      <c r="J72" s="20">
        <v>1913035</v>
      </c>
    </row>
    <row r="73" spans="1:10" ht="15" customHeight="1">
      <c r="A73" t="s">
        <v>29</v>
      </c>
      <c r="B73" t="s">
        <v>15</v>
      </c>
      <c r="C73" s="4">
        <v>1734972</v>
      </c>
      <c r="D73" s="2">
        <v>1773</v>
      </c>
      <c r="E73" s="4">
        <v>1734972</v>
      </c>
      <c r="F73" s="4">
        <v>850203</v>
      </c>
      <c r="G73" s="2">
        <v>63</v>
      </c>
      <c r="H73" s="2">
        <v>63</v>
      </c>
      <c r="I73" s="19">
        <v>850203</v>
      </c>
      <c r="J73" s="20">
        <v>2585175</v>
      </c>
    </row>
    <row r="74" spans="1:10" ht="15" customHeight="1">
      <c r="A74" t="s">
        <v>1</v>
      </c>
      <c r="B74" t="s">
        <v>3</v>
      </c>
      <c r="C74" s="21">
        <v>252034</v>
      </c>
      <c r="D74" s="2">
        <v>198</v>
      </c>
      <c r="E74" s="22">
        <f>+C74</f>
        <v>252034</v>
      </c>
      <c r="F74" s="22">
        <v>22920</v>
      </c>
      <c r="G74" s="2">
        <v>218</v>
      </c>
      <c r="H74" s="2">
        <v>0</v>
      </c>
      <c r="I74" s="20">
        <f t="shared" ref="I74:I97" si="12">F74</f>
        <v>22920</v>
      </c>
      <c r="J74" s="24">
        <f t="shared" ref="J74:J97" si="13">E74+I74</f>
        <v>274954</v>
      </c>
    </row>
    <row r="75" spans="1:10" ht="15" customHeight="1">
      <c r="A75" t="s">
        <v>2</v>
      </c>
      <c r="B75" t="s">
        <v>3</v>
      </c>
      <c r="C75" s="23">
        <v>287180</v>
      </c>
      <c r="D75" s="2">
        <v>224</v>
      </c>
      <c r="E75" s="22">
        <f t="shared" ref="E75:E80" si="14">+C75</f>
        <v>287180</v>
      </c>
      <c r="F75" s="22">
        <v>30540</v>
      </c>
      <c r="G75" s="2">
        <v>218</v>
      </c>
      <c r="H75" s="2">
        <v>0</v>
      </c>
      <c r="I75" s="20">
        <f t="shared" si="12"/>
        <v>30540</v>
      </c>
      <c r="J75" s="24">
        <f t="shared" si="13"/>
        <v>317720</v>
      </c>
    </row>
    <row r="76" spans="1:10" ht="15" customHeight="1">
      <c r="A76" t="s">
        <v>19</v>
      </c>
      <c r="B76" t="s">
        <v>3</v>
      </c>
      <c r="C76" s="23">
        <v>260572</v>
      </c>
      <c r="D76" s="2">
        <v>187</v>
      </c>
      <c r="E76" s="22">
        <f t="shared" si="14"/>
        <v>260572</v>
      </c>
      <c r="F76" s="22">
        <v>23690</v>
      </c>
      <c r="G76" s="2">
        <v>219</v>
      </c>
      <c r="H76" s="2">
        <v>0</v>
      </c>
      <c r="I76" s="20">
        <f t="shared" si="12"/>
        <v>23690</v>
      </c>
      <c r="J76" s="24">
        <f t="shared" si="13"/>
        <v>284262</v>
      </c>
    </row>
    <row r="77" spans="1:10" ht="15" customHeight="1">
      <c r="A77" t="s">
        <v>20</v>
      </c>
      <c r="B77" t="s">
        <v>3</v>
      </c>
      <c r="C77" s="22">
        <v>184650</v>
      </c>
      <c r="D77" s="2">
        <v>122</v>
      </c>
      <c r="E77" s="22">
        <f t="shared" si="14"/>
        <v>184650</v>
      </c>
      <c r="F77" s="22">
        <v>23690</v>
      </c>
      <c r="G77" s="2">
        <v>219</v>
      </c>
      <c r="H77" s="2">
        <v>0</v>
      </c>
      <c r="I77" s="20">
        <f t="shared" si="12"/>
        <v>23690</v>
      </c>
      <c r="J77" s="24">
        <f t="shared" si="13"/>
        <v>208340</v>
      </c>
    </row>
    <row r="78" spans="1:10" ht="15" customHeight="1">
      <c r="A78" t="s">
        <v>21</v>
      </c>
      <c r="B78" t="s">
        <v>3</v>
      </c>
      <c r="C78" s="22">
        <v>76707</v>
      </c>
      <c r="D78" s="2">
        <v>64</v>
      </c>
      <c r="E78" s="22">
        <f t="shared" si="14"/>
        <v>76707</v>
      </c>
      <c r="F78" s="22">
        <v>23690</v>
      </c>
      <c r="G78" s="2">
        <v>219</v>
      </c>
      <c r="H78" s="2">
        <v>0</v>
      </c>
      <c r="I78" s="20">
        <f t="shared" si="12"/>
        <v>23690</v>
      </c>
      <c r="J78" s="24">
        <f t="shared" si="13"/>
        <v>100397</v>
      </c>
    </row>
    <row r="79" spans="1:10" ht="15" customHeight="1">
      <c r="A79" t="s">
        <v>22</v>
      </c>
      <c r="B79" t="s">
        <v>3</v>
      </c>
      <c r="C79" s="22">
        <v>76707</v>
      </c>
      <c r="D79" s="2">
        <v>64</v>
      </c>
      <c r="E79" s="22">
        <f t="shared" si="14"/>
        <v>76707</v>
      </c>
      <c r="F79" s="22">
        <v>0</v>
      </c>
      <c r="G79" s="2">
        <v>0</v>
      </c>
      <c r="H79" s="2">
        <v>0</v>
      </c>
      <c r="I79" s="20">
        <f t="shared" si="12"/>
        <v>0</v>
      </c>
      <c r="J79" s="24">
        <f t="shared" si="13"/>
        <v>76707</v>
      </c>
    </row>
    <row r="80" spans="1:10" ht="15" customHeight="1">
      <c r="A80" t="s">
        <v>23</v>
      </c>
      <c r="B80" t="s">
        <v>3</v>
      </c>
      <c r="C80" s="4">
        <v>158752</v>
      </c>
      <c r="D80" s="2">
        <v>93</v>
      </c>
      <c r="E80" s="22">
        <f t="shared" si="14"/>
        <v>158752</v>
      </c>
      <c r="F80" s="22">
        <v>23690</v>
      </c>
      <c r="G80" s="2">
        <v>219</v>
      </c>
      <c r="H80" s="2">
        <v>0</v>
      </c>
      <c r="I80" s="20">
        <f t="shared" si="12"/>
        <v>23690</v>
      </c>
      <c r="J80" s="24">
        <f t="shared" si="13"/>
        <v>182442</v>
      </c>
    </row>
    <row r="81" spans="1:10" ht="15" customHeight="1">
      <c r="A81" t="s">
        <v>24</v>
      </c>
      <c r="B81" t="s">
        <v>3</v>
      </c>
      <c r="C81" s="4">
        <v>155823</v>
      </c>
      <c r="D81" s="2">
        <v>90</v>
      </c>
      <c r="E81" s="22">
        <f t="shared" ref="E81:E86" si="15">+C81</f>
        <v>155823</v>
      </c>
      <c r="F81" s="23">
        <v>0</v>
      </c>
      <c r="G81" s="2">
        <v>0</v>
      </c>
      <c r="H81" s="2">
        <v>0</v>
      </c>
      <c r="I81" s="20">
        <f t="shared" si="12"/>
        <v>0</v>
      </c>
      <c r="J81" s="24">
        <f t="shared" si="13"/>
        <v>155823</v>
      </c>
    </row>
    <row r="82" spans="1:10" ht="15" customHeight="1">
      <c r="A82" t="s">
        <v>26</v>
      </c>
      <c r="B82" t="s">
        <v>3</v>
      </c>
      <c r="C82" s="4">
        <v>149041</v>
      </c>
      <c r="D82" s="2">
        <v>86</v>
      </c>
      <c r="E82" s="22">
        <f t="shared" si="15"/>
        <v>149041</v>
      </c>
      <c r="F82" s="23">
        <v>0</v>
      </c>
      <c r="G82" s="2">
        <v>0</v>
      </c>
      <c r="H82" s="2">
        <v>0</v>
      </c>
      <c r="I82" s="20">
        <f t="shared" si="12"/>
        <v>0</v>
      </c>
      <c r="J82" s="24">
        <f t="shared" si="13"/>
        <v>149041</v>
      </c>
    </row>
    <row r="83" spans="1:10" ht="15" customHeight="1">
      <c r="A83" t="s">
        <v>27</v>
      </c>
      <c r="B83" t="s">
        <v>3</v>
      </c>
      <c r="C83" s="4">
        <v>268621</v>
      </c>
      <c r="D83" s="2">
        <v>83</v>
      </c>
      <c r="E83" s="22">
        <f t="shared" si="15"/>
        <v>268621</v>
      </c>
      <c r="F83" s="23">
        <v>0</v>
      </c>
      <c r="G83" s="2">
        <v>0</v>
      </c>
      <c r="H83" s="2">
        <v>0</v>
      </c>
      <c r="I83" s="20">
        <f t="shared" si="12"/>
        <v>0</v>
      </c>
      <c r="J83" s="24">
        <f t="shared" si="13"/>
        <v>268621</v>
      </c>
    </row>
    <row r="84" spans="1:10" ht="15" customHeight="1">
      <c r="A84" t="s">
        <v>28</v>
      </c>
      <c r="B84" t="s">
        <v>3</v>
      </c>
      <c r="C84" s="4">
        <v>139799</v>
      </c>
      <c r="D84" s="2">
        <v>72</v>
      </c>
      <c r="E84" s="22">
        <f t="shared" si="15"/>
        <v>139799</v>
      </c>
      <c r="F84" s="23">
        <v>0</v>
      </c>
      <c r="G84" s="2">
        <v>0</v>
      </c>
      <c r="H84" s="2">
        <v>0</v>
      </c>
      <c r="I84" s="20">
        <f t="shared" si="12"/>
        <v>0</v>
      </c>
      <c r="J84" s="24">
        <f t="shared" si="13"/>
        <v>139799</v>
      </c>
    </row>
    <row r="85" spans="1:10" ht="15" customHeight="1">
      <c r="A85" t="s">
        <v>29</v>
      </c>
      <c r="B85" t="s">
        <v>3</v>
      </c>
      <c r="C85" s="4">
        <v>180988</v>
      </c>
      <c r="D85" s="2">
        <v>116</v>
      </c>
      <c r="E85" s="22">
        <f t="shared" si="15"/>
        <v>180988</v>
      </c>
      <c r="F85" s="23">
        <v>0</v>
      </c>
      <c r="G85" s="2">
        <v>0</v>
      </c>
      <c r="H85" s="2">
        <v>0</v>
      </c>
      <c r="I85" s="20">
        <f t="shared" si="12"/>
        <v>0</v>
      </c>
      <c r="J85" s="24">
        <f t="shared" si="13"/>
        <v>180988</v>
      </c>
    </row>
    <row r="86" spans="1:10" ht="15" customHeight="1">
      <c r="A86" t="s">
        <v>1</v>
      </c>
      <c r="B86" t="s">
        <v>25</v>
      </c>
      <c r="C86" s="4">
        <v>134199</v>
      </c>
      <c r="D86" s="2">
        <v>83</v>
      </c>
      <c r="E86" s="22">
        <f t="shared" si="15"/>
        <v>134199</v>
      </c>
      <c r="F86" s="23">
        <v>0</v>
      </c>
      <c r="G86" s="2">
        <v>0</v>
      </c>
      <c r="H86" s="2">
        <v>0</v>
      </c>
      <c r="I86" s="20">
        <f t="shared" si="12"/>
        <v>0</v>
      </c>
      <c r="J86" s="24">
        <f t="shared" si="13"/>
        <v>134199</v>
      </c>
    </row>
    <row r="87" spans="1:10" ht="15" customHeight="1">
      <c r="A87" t="s">
        <v>2</v>
      </c>
      <c r="B87" t="s">
        <v>25</v>
      </c>
      <c r="C87" s="4">
        <v>145338</v>
      </c>
      <c r="D87" s="2">
        <v>91</v>
      </c>
      <c r="E87" s="22">
        <f t="shared" ref="E87:E97" si="16">+C87</f>
        <v>145338</v>
      </c>
      <c r="F87" s="23">
        <v>0</v>
      </c>
      <c r="G87" s="2">
        <v>0</v>
      </c>
      <c r="H87" s="2">
        <v>0</v>
      </c>
      <c r="I87" s="20">
        <f t="shared" si="12"/>
        <v>0</v>
      </c>
      <c r="J87" s="24">
        <f t="shared" si="13"/>
        <v>145338</v>
      </c>
    </row>
    <row r="88" spans="1:10" ht="15" customHeight="1">
      <c r="A88" t="s">
        <v>19</v>
      </c>
      <c r="B88" t="s">
        <v>25</v>
      </c>
      <c r="C88" s="4">
        <v>143003</v>
      </c>
      <c r="D88" s="2">
        <v>90</v>
      </c>
      <c r="E88" s="22">
        <f t="shared" si="16"/>
        <v>143003</v>
      </c>
      <c r="F88" s="23">
        <v>0</v>
      </c>
      <c r="G88" s="2">
        <v>0</v>
      </c>
      <c r="H88" s="2">
        <v>0</v>
      </c>
      <c r="I88" s="20">
        <f t="shared" si="12"/>
        <v>0</v>
      </c>
      <c r="J88" s="24">
        <f t="shared" si="13"/>
        <v>143003</v>
      </c>
    </row>
    <row r="89" spans="1:10" ht="15" customHeight="1">
      <c r="A89" t="s">
        <v>20</v>
      </c>
      <c r="B89" t="s">
        <v>25</v>
      </c>
      <c r="C89" s="4">
        <v>161940</v>
      </c>
      <c r="D89" s="2">
        <v>109</v>
      </c>
      <c r="E89" s="22">
        <f t="shared" si="16"/>
        <v>161940</v>
      </c>
      <c r="F89" s="23">
        <v>0</v>
      </c>
      <c r="G89" s="2">
        <v>0</v>
      </c>
      <c r="H89" s="2">
        <v>0</v>
      </c>
      <c r="I89" s="20">
        <f t="shared" si="12"/>
        <v>0</v>
      </c>
      <c r="J89" s="24">
        <f t="shared" si="13"/>
        <v>161940</v>
      </c>
    </row>
    <row r="90" spans="1:10" ht="15" customHeight="1">
      <c r="A90" t="s">
        <v>21</v>
      </c>
      <c r="B90" t="s">
        <v>25</v>
      </c>
      <c r="C90" s="4">
        <v>162214</v>
      </c>
      <c r="D90" s="2">
        <v>105</v>
      </c>
      <c r="E90" s="22">
        <f t="shared" si="16"/>
        <v>162214</v>
      </c>
      <c r="F90" s="23">
        <v>0</v>
      </c>
      <c r="G90" s="2">
        <v>0</v>
      </c>
      <c r="H90" s="2">
        <v>0</v>
      </c>
      <c r="I90" s="20">
        <f t="shared" si="12"/>
        <v>0</v>
      </c>
      <c r="J90" s="24">
        <f t="shared" si="13"/>
        <v>162214</v>
      </c>
    </row>
    <row r="91" spans="1:10" ht="15" customHeight="1">
      <c r="A91" t="s">
        <v>22</v>
      </c>
      <c r="B91" t="s">
        <v>25</v>
      </c>
      <c r="C91" s="4">
        <v>121852</v>
      </c>
      <c r="D91" s="2">
        <v>114</v>
      </c>
      <c r="E91" s="22">
        <f t="shared" si="16"/>
        <v>121852</v>
      </c>
      <c r="F91" s="23">
        <v>0</v>
      </c>
      <c r="G91" s="2">
        <v>0</v>
      </c>
      <c r="H91" s="2">
        <v>0</v>
      </c>
      <c r="I91" s="20">
        <f t="shared" si="12"/>
        <v>0</v>
      </c>
      <c r="J91" s="24">
        <f t="shared" si="13"/>
        <v>121852</v>
      </c>
    </row>
    <row r="92" spans="1:10" ht="15" customHeight="1">
      <c r="A92" t="s">
        <v>23</v>
      </c>
      <c r="B92" t="s">
        <v>25</v>
      </c>
      <c r="C92" s="4">
        <v>154703</v>
      </c>
      <c r="D92" s="2">
        <v>98</v>
      </c>
      <c r="E92" s="22">
        <f t="shared" si="16"/>
        <v>154703</v>
      </c>
      <c r="F92" s="23">
        <v>0</v>
      </c>
      <c r="G92" s="2">
        <v>0</v>
      </c>
      <c r="H92" s="2">
        <v>0</v>
      </c>
      <c r="I92" s="20">
        <f t="shared" si="12"/>
        <v>0</v>
      </c>
      <c r="J92" s="24">
        <f t="shared" si="13"/>
        <v>154703</v>
      </c>
    </row>
    <row r="93" spans="1:10" ht="15" customHeight="1">
      <c r="A93" t="s">
        <v>24</v>
      </c>
      <c r="B93" t="s">
        <v>25</v>
      </c>
      <c r="C93" s="4">
        <v>158981</v>
      </c>
      <c r="D93" s="2">
        <v>110</v>
      </c>
      <c r="E93" s="22">
        <f t="shared" si="16"/>
        <v>158981</v>
      </c>
      <c r="F93" s="23">
        <v>0</v>
      </c>
      <c r="G93" s="2">
        <v>0</v>
      </c>
      <c r="H93" s="2">
        <v>0</v>
      </c>
      <c r="I93" s="20">
        <f t="shared" si="12"/>
        <v>0</v>
      </c>
      <c r="J93" s="24">
        <f t="shared" si="13"/>
        <v>158981</v>
      </c>
    </row>
    <row r="94" spans="1:10" ht="15" customHeight="1">
      <c r="A94" t="s">
        <v>26</v>
      </c>
      <c r="B94" t="s">
        <v>25</v>
      </c>
      <c r="C94" s="4">
        <v>152802</v>
      </c>
      <c r="D94" s="2">
        <v>99</v>
      </c>
      <c r="E94" s="22">
        <f t="shared" si="16"/>
        <v>152802</v>
      </c>
      <c r="F94" s="23">
        <v>0</v>
      </c>
      <c r="G94" s="2">
        <v>0</v>
      </c>
      <c r="H94" s="2">
        <v>0</v>
      </c>
      <c r="I94" s="20">
        <f t="shared" si="12"/>
        <v>0</v>
      </c>
      <c r="J94" s="24">
        <f t="shared" si="13"/>
        <v>152802</v>
      </c>
    </row>
    <row r="95" spans="1:10" ht="15" customHeight="1">
      <c r="A95" t="s">
        <v>27</v>
      </c>
      <c r="B95" t="s">
        <v>25</v>
      </c>
      <c r="C95" s="4">
        <v>167892</v>
      </c>
      <c r="D95" s="2">
        <v>114</v>
      </c>
      <c r="E95" s="22">
        <f t="shared" si="16"/>
        <v>167892</v>
      </c>
      <c r="F95" s="23">
        <v>0</v>
      </c>
      <c r="G95" s="2">
        <v>0</v>
      </c>
      <c r="H95" s="2">
        <v>0</v>
      </c>
      <c r="I95" s="20">
        <f t="shared" si="12"/>
        <v>0</v>
      </c>
      <c r="J95" s="24">
        <f t="shared" si="13"/>
        <v>167892</v>
      </c>
    </row>
    <row r="96" spans="1:10" ht="15" customHeight="1">
      <c r="A96" t="s">
        <v>28</v>
      </c>
      <c r="B96" t="s">
        <v>25</v>
      </c>
      <c r="C96" s="4">
        <v>166883</v>
      </c>
      <c r="D96" s="2">
        <v>112</v>
      </c>
      <c r="E96" s="22">
        <f>+C96</f>
        <v>166883</v>
      </c>
      <c r="F96" s="23">
        <v>0</v>
      </c>
      <c r="G96" s="2">
        <v>0</v>
      </c>
      <c r="H96" s="2">
        <v>0</v>
      </c>
      <c r="I96" s="20">
        <f t="shared" si="12"/>
        <v>0</v>
      </c>
      <c r="J96" s="24">
        <f t="shared" si="13"/>
        <v>166883</v>
      </c>
    </row>
    <row r="97" spans="1:10" ht="15" customHeight="1">
      <c r="A97" t="s">
        <v>29</v>
      </c>
      <c r="B97" t="s">
        <v>25</v>
      </c>
      <c r="C97" s="4">
        <v>145301</v>
      </c>
      <c r="D97" s="2">
        <v>94</v>
      </c>
      <c r="E97" s="22">
        <f t="shared" si="16"/>
        <v>145301</v>
      </c>
      <c r="F97" s="23">
        <v>0</v>
      </c>
      <c r="G97" s="2">
        <v>0</v>
      </c>
      <c r="H97" s="2">
        <v>0</v>
      </c>
      <c r="I97" s="20">
        <f t="shared" si="12"/>
        <v>0</v>
      </c>
      <c r="J97" s="24">
        <f t="shared" si="13"/>
        <v>145301</v>
      </c>
    </row>
  </sheetData>
  <autoFilter ref="A1:K61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894A-7422-423B-AB8B-B1ADC2764694}">
  <dimension ref="A1:N15"/>
  <sheetViews>
    <sheetView topLeftCell="A3" workbookViewId="0">
      <selection activeCell="A2" sqref="A2:B15"/>
    </sheetView>
  </sheetViews>
  <sheetFormatPr baseColWidth="10" defaultRowHeight="15"/>
  <cols>
    <col min="1" max="1" width="27.42578125" customWidth="1"/>
    <col min="2" max="2" width="17.85546875" customWidth="1"/>
    <col min="3" max="3" width="14.28515625" bestFit="1" customWidth="1"/>
    <col min="4" max="4" width="14.140625" bestFit="1" customWidth="1"/>
    <col min="5" max="5" width="14.28515625" bestFit="1" customWidth="1"/>
    <col min="6" max="6" width="14.140625" bestFit="1" customWidth="1"/>
    <col min="7" max="7" width="14.28515625" bestFit="1" customWidth="1"/>
    <col min="8" max="8" width="14.140625" bestFit="1" customWidth="1"/>
    <col min="9" max="12" width="14.28515625" bestFit="1" customWidth="1"/>
    <col min="13" max="13" width="14.140625" bestFit="1" customWidth="1"/>
    <col min="14" max="14" width="14.28515625" bestFit="1" customWidth="1"/>
  </cols>
  <sheetData>
    <row r="1" spans="1:14">
      <c r="A1" s="30" t="s">
        <v>46</v>
      </c>
      <c r="B1" s="31" t="s">
        <v>34</v>
      </c>
      <c r="C1" s="32">
        <v>45658</v>
      </c>
      <c r="D1" s="32">
        <v>45689</v>
      </c>
      <c r="E1" s="32">
        <v>45717</v>
      </c>
      <c r="F1" s="32">
        <v>45748</v>
      </c>
      <c r="G1" s="32">
        <v>45778</v>
      </c>
      <c r="H1" s="32">
        <v>45809</v>
      </c>
      <c r="I1" s="32">
        <v>45839</v>
      </c>
      <c r="J1" s="32">
        <v>45870</v>
      </c>
      <c r="K1" s="32">
        <v>45901</v>
      </c>
      <c r="L1" s="32">
        <v>45931</v>
      </c>
      <c r="M1" s="32">
        <v>45962</v>
      </c>
      <c r="N1" s="32">
        <v>45992</v>
      </c>
    </row>
    <row r="2" spans="1:14">
      <c r="A2" s="29" t="s">
        <v>30</v>
      </c>
      <c r="B2" s="29" t="s">
        <v>31</v>
      </c>
      <c r="C2">
        <v>284</v>
      </c>
      <c r="D2">
        <v>283</v>
      </c>
      <c r="E2">
        <v>291</v>
      </c>
      <c r="F2">
        <v>277</v>
      </c>
      <c r="G2">
        <v>305</v>
      </c>
      <c r="H2">
        <v>65</v>
      </c>
      <c r="I2">
        <v>298</v>
      </c>
      <c r="J2">
        <v>69</v>
      </c>
      <c r="K2">
        <v>74</v>
      </c>
      <c r="L2">
        <v>73</v>
      </c>
      <c r="M2">
        <v>59</v>
      </c>
      <c r="N2">
        <v>100</v>
      </c>
    </row>
    <row r="3" spans="1:14">
      <c r="A3" s="29" t="s">
        <v>33</v>
      </c>
      <c r="B3" s="29" t="s">
        <v>32</v>
      </c>
      <c r="C3">
        <v>5130</v>
      </c>
      <c r="D3">
        <v>4292</v>
      </c>
      <c r="E3">
        <v>4991</v>
      </c>
      <c r="F3">
        <v>4565</v>
      </c>
      <c r="G3">
        <v>4638</v>
      </c>
      <c r="H3">
        <v>4682</v>
      </c>
      <c r="I3">
        <v>4875</v>
      </c>
      <c r="J3">
        <v>4808</v>
      </c>
      <c r="K3">
        <v>5152</v>
      </c>
      <c r="L3">
        <v>5142</v>
      </c>
      <c r="M3">
        <v>4740</v>
      </c>
      <c r="N3">
        <v>4607</v>
      </c>
    </row>
    <row r="4" spans="1:14">
      <c r="A4" s="29" t="s">
        <v>30</v>
      </c>
      <c r="B4" s="29" t="s">
        <v>40</v>
      </c>
      <c r="C4" s="26">
        <v>1187548</v>
      </c>
      <c r="D4" s="26">
        <v>968562</v>
      </c>
      <c r="E4" s="26">
        <v>1048553</v>
      </c>
      <c r="F4" s="26">
        <v>874776</v>
      </c>
      <c r="G4" s="26">
        <v>1262411</v>
      </c>
      <c r="H4" s="26">
        <v>956521</v>
      </c>
      <c r="I4" s="26">
        <v>1172620</v>
      </c>
      <c r="J4" s="26">
        <v>1021072</v>
      </c>
      <c r="K4" s="26">
        <v>1079423</v>
      </c>
      <c r="L4" s="26">
        <v>1066578</v>
      </c>
      <c r="M4" s="26">
        <v>917896</v>
      </c>
      <c r="N4" s="26">
        <v>1452264</v>
      </c>
    </row>
    <row r="5" spans="1:14">
      <c r="A5" s="29" t="s">
        <v>33</v>
      </c>
      <c r="B5" s="29" t="s">
        <v>40</v>
      </c>
      <c r="C5" s="26">
        <v>5356368</v>
      </c>
      <c r="D5" s="26">
        <v>4474373</v>
      </c>
      <c r="E5" s="26">
        <v>5278040</v>
      </c>
      <c r="F5" s="26">
        <v>4864938</v>
      </c>
      <c r="G5" s="26">
        <v>4845306</v>
      </c>
      <c r="H5" s="26">
        <v>4759853</v>
      </c>
      <c r="I5" s="26">
        <v>4366100</v>
      </c>
      <c r="J5" s="26">
        <v>4660476</v>
      </c>
      <c r="K5" s="26">
        <v>5220486</v>
      </c>
      <c r="L5" s="26">
        <v>5382369</v>
      </c>
      <c r="M5" s="26">
        <v>4842971</v>
      </c>
      <c r="N5" s="26">
        <v>4628981</v>
      </c>
    </row>
    <row r="6" spans="1:14" ht="45">
      <c r="A6" s="29" t="s">
        <v>44</v>
      </c>
      <c r="B6" s="28" t="s">
        <v>45</v>
      </c>
      <c r="C6" s="33" t="s">
        <v>49</v>
      </c>
      <c r="D6" s="33" t="s">
        <v>50</v>
      </c>
      <c r="E6" s="33" t="s">
        <v>51</v>
      </c>
      <c r="F6" s="33" t="s">
        <v>51</v>
      </c>
      <c r="G6" s="33" t="s">
        <v>52</v>
      </c>
      <c r="H6" s="33" t="s">
        <v>52</v>
      </c>
      <c r="I6" s="33" t="s">
        <v>51</v>
      </c>
      <c r="J6" s="33" t="s">
        <v>51</v>
      </c>
      <c r="K6" s="33" t="s">
        <v>49</v>
      </c>
      <c r="L6" s="33" t="s">
        <v>49</v>
      </c>
      <c r="M6" s="33" t="s">
        <v>53</v>
      </c>
      <c r="N6" s="33" t="s">
        <v>54</v>
      </c>
    </row>
    <row r="7" spans="1:14" ht="45">
      <c r="A7" s="29" t="s">
        <v>47</v>
      </c>
      <c r="B7" s="28" t="s">
        <v>48</v>
      </c>
      <c r="C7" s="33">
        <v>748</v>
      </c>
      <c r="D7" s="33">
        <v>708</v>
      </c>
      <c r="E7" s="33">
        <v>736</v>
      </c>
      <c r="F7" s="33">
        <v>746</v>
      </c>
      <c r="G7" s="33">
        <v>750</v>
      </c>
      <c r="H7" s="33">
        <v>733</v>
      </c>
      <c r="I7" s="33">
        <v>709</v>
      </c>
      <c r="J7" s="33">
        <v>702</v>
      </c>
      <c r="K7" s="33">
        <v>703</v>
      </c>
      <c r="L7" s="33">
        <v>728</v>
      </c>
      <c r="M7" s="33">
        <v>743</v>
      </c>
      <c r="N7" s="33">
        <v>715</v>
      </c>
    </row>
    <row r="8" spans="1:14" ht="30">
      <c r="A8" s="28" t="s">
        <v>55</v>
      </c>
      <c r="B8" s="29" t="s">
        <v>31</v>
      </c>
      <c r="C8" s="34">
        <f>C2/C6</f>
        <v>3.3023255813953489</v>
      </c>
      <c r="D8" s="34">
        <f t="shared" ref="D8:N8" si="0">D2/D6</f>
        <v>3.4096385542168677</v>
      </c>
      <c r="E8" s="34">
        <f t="shared" si="0"/>
        <v>3.4235294117647057</v>
      </c>
      <c r="F8" s="34">
        <f t="shared" si="0"/>
        <v>3.2588235294117647</v>
      </c>
      <c r="G8" s="34">
        <f t="shared" si="0"/>
        <v>3.6309523809523809</v>
      </c>
      <c r="H8" s="34">
        <f t="shared" si="0"/>
        <v>0.77380952380952384</v>
      </c>
      <c r="I8" s="34">
        <f t="shared" si="0"/>
        <v>3.5058823529411764</v>
      </c>
      <c r="J8" s="34">
        <f t="shared" si="0"/>
        <v>0.81176470588235294</v>
      </c>
      <c r="K8" s="34">
        <f t="shared" si="0"/>
        <v>0.86046511627906974</v>
      </c>
      <c r="L8" s="34">
        <f t="shared" si="0"/>
        <v>0.84883720930232553</v>
      </c>
      <c r="M8" s="34">
        <f t="shared" si="0"/>
        <v>0.65555555555555556</v>
      </c>
      <c r="N8" s="34">
        <f t="shared" si="0"/>
        <v>1.098901098901099</v>
      </c>
    </row>
    <row r="9" spans="1:14" ht="30">
      <c r="A9" s="28" t="s">
        <v>56</v>
      </c>
      <c r="B9" s="29" t="s">
        <v>31</v>
      </c>
      <c r="C9" s="35">
        <f>C2/C7</f>
        <v>0.37967914438502676</v>
      </c>
      <c r="D9" s="35">
        <f t="shared" ref="D9:N9" si="1">D2/D7</f>
        <v>0.39971751412429379</v>
      </c>
      <c r="E9" s="35">
        <f t="shared" si="1"/>
        <v>0.3953804347826087</v>
      </c>
      <c r="F9" s="35">
        <f t="shared" si="1"/>
        <v>0.37131367292225204</v>
      </c>
      <c r="G9" s="35">
        <f t="shared" si="1"/>
        <v>0.40666666666666668</v>
      </c>
      <c r="H9" s="35">
        <f t="shared" si="1"/>
        <v>8.8676671214188263E-2</v>
      </c>
      <c r="I9" s="35">
        <f t="shared" si="1"/>
        <v>0.42031029619181948</v>
      </c>
      <c r="J9" s="35">
        <f t="shared" si="1"/>
        <v>9.8290598290598288E-2</v>
      </c>
      <c r="K9" s="35">
        <f t="shared" si="1"/>
        <v>0.10526315789473684</v>
      </c>
      <c r="L9" s="35">
        <f t="shared" si="1"/>
        <v>0.10027472527472528</v>
      </c>
      <c r="M9" s="35">
        <f t="shared" si="1"/>
        <v>7.9407806191117092E-2</v>
      </c>
      <c r="N9" s="35">
        <f t="shared" si="1"/>
        <v>0.13986013986013987</v>
      </c>
    </row>
    <row r="10" spans="1:14" ht="30">
      <c r="A10" s="28" t="s">
        <v>57</v>
      </c>
      <c r="B10" s="29" t="s">
        <v>32</v>
      </c>
      <c r="C10" s="35">
        <f>C3/C6</f>
        <v>59.651162790697676</v>
      </c>
      <c r="D10" s="35">
        <f t="shared" ref="D10:N10" si="2">D3/D6</f>
        <v>51.710843373493979</v>
      </c>
      <c r="E10" s="35">
        <f t="shared" si="2"/>
        <v>58.71764705882353</v>
      </c>
      <c r="F10" s="35">
        <f t="shared" si="2"/>
        <v>53.705882352941174</v>
      </c>
      <c r="G10" s="35">
        <f t="shared" si="2"/>
        <v>55.214285714285715</v>
      </c>
      <c r="H10" s="35">
        <f t="shared" si="2"/>
        <v>55.738095238095241</v>
      </c>
      <c r="I10" s="35">
        <f t="shared" si="2"/>
        <v>57.352941176470587</v>
      </c>
      <c r="J10" s="35">
        <f t="shared" si="2"/>
        <v>56.564705882352939</v>
      </c>
      <c r="K10" s="35">
        <f t="shared" si="2"/>
        <v>59.906976744186046</v>
      </c>
      <c r="L10" s="35">
        <f t="shared" si="2"/>
        <v>59.790697674418603</v>
      </c>
      <c r="M10" s="35">
        <f t="shared" si="2"/>
        <v>52.666666666666664</v>
      </c>
      <c r="N10" s="35">
        <f t="shared" si="2"/>
        <v>50.626373626373628</v>
      </c>
    </row>
    <row r="11" spans="1:14" ht="45">
      <c r="A11" s="28" t="s">
        <v>58</v>
      </c>
      <c r="B11" s="29" t="s">
        <v>32</v>
      </c>
      <c r="C11" s="35">
        <f>C3/C7</f>
        <v>6.858288770053476</v>
      </c>
      <c r="D11" s="35">
        <f t="shared" ref="D11:N11" si="3">D3/D7</f>
        <v>6.0621468926553677</v>
      </c>
      <c r="E11" s="35">
        <f t="shared" si="3"/>
        <v>6.78125</v>
      </c>
      <c r="F11" s="35">
        <f t="shared" si="3"/>
        <v>6.1193029490616624</v>
      </c>
      <c r="G11" s="35">
        <f t="shared" si="3"/>
        <v>6.1840000000000002</v>
      </c>
      <c r="H11" s="35">
        <f t="shared" si="3"/>
        <v>6.3874488403819916</v>
      </c>
      <c r="I11" s="35">
        <f t="shared" si="3"/>
        <v>6.8758815232722146</v>
      </c>
      <c r="J11" s="35">
        <f t="shared" si="3"/>
        <v>6.8490028490028489</v>
      </c>
      <c r="K11" s="35">
        <f t="shared" si="3"/>
        <v>7.3285917496443815</v>
      </c>
      <c r="L11" s="35">
        <f t="shared" si="3"/>
        <v>7.063186813186813</v>
      </c>
      <c r="M11" s="35">
        <f t="shared" si="3"/>
        <v>6.3795423956931359</v>
      </c>
      <c r="N11" s="35">
        <f t="shared" si="3"/>
        <v>6.4433566433566432</v>
      </c>
    </row>
    <row r="12" spans="1:14" ht="30">
      <c r="A12" s="28" t="s">
        <v>55</v>
      </c>
      <c r="B12" s="29" t="s">
        <v>40</v>
      </c>
      <c r="C12" s="36">
        <f>C4/C6</f>
        <v>13808.697674418605</v>
      </c>
      <c r="D12" s="36">
        <f t="shared" ref="D12:N12" si="4">D4/D6</f>
        <v>11669.421686746988</v>
      </c>
      <c r="E12" s="36">
        <f t="shared" si="4"/>
        <v>12335.917647058823</v>
      </c>
      <c r="F12" s="36">
        <f t="shared" si="4"/>
        <v>10291.482352941177</v>
      </c>
      <c r="G12" s="36">
        <f t="shared" si="4"/>
        <v>15028.702380952382</v>
      </c>
      <c r="H12" s="36">
        <f t="shared" si="4"/>
        <v>11387.154761904761</v>
      </c>
      <c r="I12" s="36">
        <f t="shared" si="4"/>
        <v>13795.529411764706</v>
      </c>
      <c r="J12" s="36">
        <f t="shared" si="4"/>
        <v>12012.611764705882</v>
      </c>
      <c r="K12" s="36">
        <f t="shared" si="4"/>
        <v>12551.430232558139</v>
      </c>
      <c r="L12" s="36">
        <f t="shared" si="4"/>
        <v>12402.069767441861</v>
      </c>
      <c r="M12" s="36">
        <f t="shared" si="4"/>
        <v>10198.844444444445</v>
      </c>
      <c r="N12" s="36">
        <f t="shared" si="4"/>
        <v>15958.945054945056</v>
      </c>
    </row>
    <row r="13" spans="1:14" ht="30">
      <c r="A13" s="28" t="s">
        <v>56</v>
      </c>
      <c r="B13" s="29" t="s">
        <v>40</v>
      </c>
      <c r="C13" s="36">
        <f>C4/C7</f>
        <v>1587.6310160427809</v>
      </c>
      <c r="D13" s="36">
        <f t="shared" ref="D13:N13" si="5">D4/D7</f>
        <v>1368.0254237288136</v>
      </c>
      <c r="E13" s="36">
        <f t="shared" si="5"/>
        <v>1424.664402173913</v>
      </c>
      <c r="F13" s="36">
        <f t="shared" si="5"/>
        <v>1172.6219839142091</v>
      </c>
      <c r="G13" s="36">
        <f t="shared" si="5"/>
        <v>1683.2146666666667</v>
      </c>
      <c r="H13" s="36">
        <f t="shared" si="5"/>
        <v>1304.9399727148705</v>
      </c>
      <c r="I13" s="36">
        <f t="shared" si="5"/>
        <v>1653.9069111424542</v>
      </c>
      <c r="J13" s="36">
        <f t="shared" si="5"/>
        <v>1454.5185185185185</v>
      </c>
      <c r="K13" s="36">
        <f t="shared" si="5"/>
        <v>1535.452347083926</v>
      </c>
      <c r="L13" s="36">
        <f t="shared" si="5"/>
        <v>1465.0796703296703</v>
      </c>
      <c r="M13" s="36">
        <f t="shared" si="5"/>
        <v>1235.3916554508749</v>
      </c>
      <c r="N13" s="36">
        <f t="shared" si="5"/>
        <v>2031.1384615384616</v>
      </c>
    </row>
    <row r="14" spans="1:14" ht="30">
      <c r="A14" s="28" t="s">
        <v>57</v>
      </c>
      <c r="B14" s="29" t="s">
        <v>40</v>
      </c>
      <c r="C14" s="36">
        <f>C5/C6</f>
        <v>62283.348837209305</v>
      </c>
      <c r="D14" s="36">
        <f t="shared" ref="D14:N14" si="6">D5/D6</f>
        <v>53908.108433734938</v>
      </c>
      <c r="E14" s="36">
        <f t="shared" si="6"/>
        <v>62094.588235294119</v>
      </c>
      <c r="F14" s="36">
        <f t="shared" si="6"/>
        <v>57234.564705882352</v>
      </c>
      <c r="G14" s="36">
        <f t="shared" si="6"/>
        <v>57682.214285714283</v>
      </c>
      <c r="H14" s="36">
        <f t="shared" si="6"/>
        <v>56664.916666666664</v>
      </c>
      <c r="I14" s="36">
        <f t="shared" si="6"/>
        <v>51365.882352941175</v>
      </c>
      <c r="J14" s="36">
        <f t="shared" si="6"/>
        <v>54829.129411764705</v>
      </c>
      <c r="K14" s="36">
        <f t="shared" si="6"/>
        <v>60703.325581395351</v>
      </c>
      <c r="L14" s="36">
        <f t="shared" si="6"/>
        <v>62585.686046511626</v>
      </c>
      <c r="M14" s="36">
        <f t="shared" si="6"/>
        <v>53810.788888888892</v>
      </c>
      <c r="N14" s="36">
        <f t="shared" si="6"/>
        <v>50867.923076923078</v>
      </c>
    </row>
    <row r="15" spans="1:14" ht="45">
      <c r="A15" s="28" t="s">
        <v>58</v>
      </c>
      <c r="B15" s="29" t="s">
        <v>40</v>
      </c>
      <c r="C15" s="36">
        <f>C5/C7</f>
        <v>7160.9197860962568</v>
      </c>
      <c r="D15" s="36">
        <f t="shared" ref="D15:N15" si="7">D5/D7</f>
        <v>6319.7358757062148</v>
      </c>
      <c r="E15" s="36">
        <f t="shared" si="7"/>
        <v>7171.25</v>
      </c>
      <c r="F15" s="36">
        <f t="shared" si="7"/>
        <v>6521.3646112600536</v>
      </c>
      <c r="G15" s="36">
        <f t="shared" si="7"/>
        <v>6460.4080000000004</v>
      </c>
      <c r="H15" s="36">
        <f t="shared" si="7"/>
        <v>6493.6603001364256</v>
      </c>
      <c r="I15" s="36">
        <f t="shared" si="7"/>
        <v>6158.1100141043726</v>
      </c>
      <c r="J15" s="36">
        <f t="shared" si="7"/>
        <v>6638.8547008547012</v>
      </c>
      <c r="K15" s="36">
        <f t="shared" si="7"/>
        <v>7426.0113798008533</v>
      </c>
      <c r="L15" s="36">
        <f t="shared" si="7"/>
        <v>7393.3640109890111</v>
      </c>
      <c r="M15" s="36">
        <f t="shared" si="7"/>
        <v>6518.1305518169584</v>
      </c>
      <c r="N15" s="36">
        <f t="shared" si="7"/>
        <v>6474.0993006993003</v>
      </c>
    </row>
  </sheetData>
  <pageMargins left="0.7" right="0.7" top="0.75" bottom="0.75" header="0.3" footer="0.3"/>
  <ignoredErrors>
    <ignoredError sqref="C6:N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3980-55E9-400E-B6EE-EEDF5B351DE4}">
  <dimension ref="A1:K105"/>
  <sheetViews>
    <sheetView topLeftCell="A76" workbookViewId="0">
      <selection activeCell="G103" sqref="G103"/>
    </sheetView>
  </sheetViews>
  <sheetFormatPr baseColWidth="10" defaultRowHeight="15"/>
  <cols>
    <col min="1" max="1" width="21" customWidth="1"/>
    <col min="2" max="2" width="23.28515625" bestFit="1" customWidth="1"/>
    <col min="3" max="3" width="15.140625" bestFit="1" customWidth="1"/>
    <col min="4" max="4" width="11.42578125" bestFit="1" customWidth="1"/>
    <col min="5" max="5" width="16.42578125" bestFit="1" customWidth="1"/>
    <col min="6" max="6" width="16" customWidth="1"/>
    <col min="7" max="7" width="13.42578125" bestFit="1" customWidth="1"/>
    <col min="8" max="8" width="15.85546875" bestFit="1" customWidth="1"/>
    <col min="9" max="9" width="12.5703125" bestFit="1" customWidth="1"/>
    <col min="10" max="10" width="17.85546875" bestFit="1" customWidth="1"/>
    <col min="11" max="11" width="14.28515625" customWidth="1"/>
  </cols>
  <sheetData>
    <row r="1" spans="1:11">
      <c r="A1" s="37" t="s">
        <v>59</v>
      </c>
      <c r="B1" s="38" t="s">
        <v>0</v>
      </c>
      <c r="C1" s="39" t="s">
        <v>18</v>
      </c>
      <c r="D1" s="38" t="s">
        <v>7</v>
      </c>
      <c r="E1" s="40" t="s">
        <v>16</v>
      </c>
      <c r="F1" s="41" t="s">
        <v>8</v>
      </c>
      <c r="G1" s="42" t="s">
        <v>10</v>
      </c>
      <c r="H1" s="43" t="s">
        <v>9</v>
      </c>
      <c r="I1" s="44" t="s">
        <v>17</v>
      </c>
      <c r="J1" s="45" t="s">
        <v>6</v>
      </c>
      <c r="K1" s="46" t="s">
        <v>5</v>
      </c>
    </row>
    <row r="2" spans="1:11">
      <c r="A2" s="47" t="s">
        <v>1</v>
      </c>
      <c r="B2" s="47" t="s">
        <v>4</v>
      </c>
      <c r="C2" s="62">
        <v>628325</v>
      </c>
      <c r="D2" s="48">
        <v>661</v>
      </c>
      <c r="E2" s="62">
        <f t="shared" ref="E2:E29" si="0">C2</f>
        <v>628325</v>
      </c>
      <c r="F2" s="62">
        <v>193916</v>
      </c>
      <c r="G2" s="48">
        <v>13</v>
      </c>
      <c r="H2" s="48">
        <v>13</v>
      </c>
      <c r="I2" s="66">
        <f>F2</f>
        <v>193916</v>
      </c>
      <c r="J2" s="67">
        <f>E2+I2</f>
        <v>822241</v>
      </c>
      <c r="K2" s="50"/>
    </row>
    <row r="3" spans="1:11">
      <c r="A3" s="47" t="s">
        <v>1</v>
      </c>
      <c r="B3" s="47" t="s">
        <v>11</v>
      </c>
      <c r="C3" s="62">
        <v>747239</v>
      </c>
      <c r="D3" s="48">
        <v>730</v>
      </c>
      <c r="E3" s="62">
        <f t="shared" si="0"/>
        <v>747239</v>
      </c>
      <c r="F3" s="62">
        <v>75785</v>
      </c>
      <c r="G3" s="48">
        <v>4</v>
      </c>
      <c r="H3" s="48">
        <v>4</v>
      </c>
      <c r="I3" s="66">
        <v>75785</v>
      </c>
      <c r="J3" s="67">
        <f>E3+I3</f>
        <v>823024</v>
      </c>
      <c r="K3" s="50"/>
    </row>
    <row r="4" spans="1:11">
      <c r="A4" s="47" t="s">
        <v>1</v>
      </c>
      <c r="B4" s="47" t="s">
        <v>14</v>
      </c>
      <c r="C4" s="62">
        <v>409695</v>
      </c>
      <c r="D4" s="48">
        <v>431</v>
      </c>
      <c r="E4" s="62">
        <f t="shared" si="0"/>
        <v>409695</v>
      </c>
      <c r="F4" s="62">
        <v>102036</v>
      </c>
      <c r="G4" s="48">
        <v>6</v>
      </c>
      <c r="H4" s="48">
        <v>6</v>
      </c>
      <c r="I4" s="66">
        <f>F4</f>
        <v>102036</v>
      </c>
      <c r="J4" s="67">
        <f>E4+I4</f>
        <v>511731</v>
      </c>
      <c r="K4" s="50"/>
    </row>
    <row r="5" spans="1:11">
      <c r="A5" s="47" t="s">
        <v>1</v>
      </c>
      <c r="B5" s="47" t="s">
        <v>12</v>
      </c>
      <c r="C5" s="62">
        <v>656843</v>
      </c>
      <c r="D5" s="48">
        <v>691</v>
      </c>
      <c r="E5" s="62">
        <f t="shared" si="0"/>
        <v>656843</v>
      </c>
      <c r="F5" s="62">
        <v>141413</v>
      </c>
      <c r="G5" s="48">
        <v>9</v>
      </c>
      <c r="H5" s="48">
        <v>9</v>
      </c>
      <c r="I5" s="66">
        <f>F5</f>
        <v>141413</v>
      </c>
      <c r="J5" s="67">
        <f>E5+I5</f>
        <v>798256</v>
      </c>
      <c r="K5" s="50"/>
    </row>
    <row r="6" spans="1:11">
      <c r="A6" s="47" t="s">
        <v>1</v>
      </c>
      <c r="B6" s="47" t="s">
        <v>13</v>
      </c>
      <c r="C6" s="62">
        <v>233840</v>
      </c>
      <c r="D6" s="48">
        <v>246</v>
      </c>
      <c r="E6" s="62">
        <f t="shared" si="0"/>
        <v>233840</v>
      </c>
      <c r="F6" s="62">
        <v>128288</v>
      </c>
      <c r="G6" s="48">
        <v>8</v>
      </c>
      <c r="H6" s="48">
        <v>8</v>
      </c>
      <c r="I6" s="66">
        <f>F6</f>
        <v>128288</v>
      </c>
      <c r="J6" s="67">
        <f>E6+I6</f>
        <v>362128</v>
      </c>
      <c r="K6" s="50"/>
    </row>
    <row r="7" spans="1:11">
      <c r="A7" s="47" t="s">
        <v>1</v>
      </c>
      <c r="B7" s="47" t="s">
        <v>15</v>
      </c>
      <c r="C7" s="62">
        <v>1678703</v>
      </c>
      <c r="D7" s="48">
        <v>1766</v>
      </c>
      <c r="E7" s="62">
        <f t="shared" si="0"/>
        <v>1678703</v>
      </c>
      <c r="F7" s="62">
        <v>482683</v>
      </c>
      <c r="G7" s="48">
        <v>35</v>
      </c>
      <c r="H7" s="48">
        <v>35</v>
      </c>
      <c r="I7" s="62">
        <f>+F7</f>
        <v>482683</v>
      </c>
      <c r="J7" s="62">
        <f>+E7+I7</f>
        <v>2161386</v>
      </c>
      <c r="K7" s="47"/>
    </row>
    <row r="8" spans="1:11">
      <c r="A8" s="47" t="s">
        <v>1</v>
      </c>
      <c r="B8" s="47" t="s">
        <v>3</v>
      </c>
      <c r="C8" s="63">
        <v>112550</v>
      </c>
      <c r="D8" s="48">
        <v>116</v>
      </c>
      <c r="E8" s="57">
        <f t="shared" si="0"/>
        <v>112550</v>
      </c>
      <c r="F8" s="57">
        <v>0</v>
      </c>
      <c r="G8" s="48"/>
      <c r="H8" s="48"/>
      <c r="I8" s="67">
        <f t="shared" ref="I8:I15" si="1">F8</f>
        <v>0</v>
      </c>
      <c r="J8" s="62">
        <f t="shared" ref="J8:J15" si="2">E8+I8</f>
        <v>112550</v>
      </c>
      <c r="K8" s="55"/>
    </row>
    <row r="9" spans="1:11">
      <c r="A9" s="47" t="s">
        <v>1</v>
      </c>
      <c r="B9" s="47" t="s">
        <v>25</v>
      </c>
      <c r="C9" s="62">
        <v>100823</v>
      </c>
      <c r="D9" s="48">
        <v>98</v>
      </c>
      <c r="E9" s="57">
        <f t="shared" si="0"/>
        <v>100823</v>
      </c>
      <c r="F9" s="57">
        <v>0</v>
      </c>
      <c r="G9" s="48"/>
      <c r="H9" s="48"/>
      <c r="I9" s="67">
        <f t="shared" si="1"/>
        <v>0</v>
      </c>
      <c r="J9" s="62">
        <f t="shared" si="2"/>
        <v>100823</v>
      </c>
      <c r="K9" s="56"/>
    </row>
    <row r="10" spans="1:11">
      <c r="A10" s="47" t="s">
        <v>2</v>
      </c>
      <c r="B10" s="47" t="s">
        <v>4</v>
      </c>
      <c r="C10" s="62">
        <v>520775</v>
      </c>
      <c r="D10" s="48">
        <v>549</v>
      </c>
      <c r="E10" s="62">
        <f t="shared" si="0"/>
        <v>520775</v>
      </c>
      <c r="F10" s="62">
        <v>128288</v>
      </c>
      <c r="G10" s="48">
        <v>8</v>
      </c>
      <c r="H10" s="2">
        <v>8</v>
      </c>
      <c r="I10" s="66">
        <f t="shared" si="1"/>
        <v>128288</v>
      </c>
      <c r="J10" s="67">
        <f t="shared" si="2"/>
        <v>649063</v>
      </c>
      <c r="K10" s="50"/>
    </row>
    <row r="11" spans="1:11">
      <c r="A11" s="47" t="s">
        <v>2</v>
      </c>
      <c r="B11" s="47" t="s">
        <v>11</v>
      </c>
      <c r="C11" s="62">
        <v>576705</v>
      </c>
      <c r="D11" s="48">
        <v>548</v>
      </c>
      <c r="E11" s="62">
        <f t="shared" si="0"/>
        <v>576705</v>
      </c>
      <c r="F11" s="62">
        <v>75785</v>
      </c>
      <c r="G11" s="48">
        <v>4</v>
      </c>
      <c r="H11" s="48">
        <v>4</v>
      </c>
      <c r="I11" s="66">
        <f t="shared" si="1"/>
        <v>75785</v>
      </c>
      <c r="J11" s="67">
        <f t="shared" si="2"/>
        <v>652490</v>
      </c>
      <c r="K11" s="50"/>
    </row>
    <row r="12" spans="1:11">
      <c r="A12" s="47" t="s">
        <v>2</v>
      </c>
      <c r="B12" s="47" t="s">
        <v>60</v>
      </c>
      <c r="C12" s="62">
        <v>361503</v>
      </c>
      <c r="D12" s="48">
        <v>381</v>
      </c>
      <c r="E12" s="62">
        <f t="shared" si="0"/>
        <v>361503</v>
      </c>
      <c r="F12" s="62">
        <v>88956</v>
      </c>
      <c r="G12" s="48">
        <v>5</v>
      </c>
      <c r="H12" s="48">
        <v>5</v>
      </c>
      <c r="I12" s="66">
        <f t="shared" si="1"/>
        <v>88956</v>
      </c>
      <c r="J12" s="67">
        <f t="shared" si="2"/>
        <v>450459</v>
      </c>
      <c r="K12" s="50"/>
    </row>
    <row r="13" spans="1:11">
      <c r="A13" s="47" t="s">
        <v>2</v>
      </c>
      <c r="B13" s="47" t="s">
        <v>14</v>
      </c>
      <c r="C13" s="62">
        <v>311137</v>
      </c>
      <c r="D13" s="48">
        <v>328</v>
      </c>
      <c r="E13" s="62">
        <f t="shared" si="0"/>
        <v>311137</v>
      </c>
      <c r="F13" s="62">
        <v>102036</v>
      </c>
      <c r="G13" s="48">
        <v>6</v>
      </c>
      <c r="H13" s="48">
        <v>6</v>
      </c>
      <c r="I13" s="66">
        <f t="shared" si="1"/>
        <v>102036</v>
      </c>
      <c r="J13" s="67">
        <f t="shared" si="2"/>
        <v>413173</v>
      </c>
      <c r="K13" s="50"/>
    </row>
    <row r="14" spans="1:11">
      <c r="A14" s="47" t="s">
        <v>2</v>
      </c>
      <c r="B14" s="47" t="s">
        <v>12</v>
      </c>
      <c r="C14" s="62">
        <v>613736</v>
      </c>
      <c r="D14" s="48">
        <v>647</v>
      </c>
      <c r="E14" s="62">
        <f t="shared" si="0"/>
        <v>613736</v>
      </c>
      <c r="F14" s="62">
        <v>115162</v>
      </c>
      <c r="G14" s="48">
        <v>7</v>
      </c>
      <c r="H14" s="48">
        <v>7</v>
      </c>
      <c r="I14" s="66">
        <f t="shared" si="1"/>
        <v>115162</v>
      </c>
      <c r="J14" s="67">
        <f t="shared" si="2"/>
        <v>728898</v>
      </c>
      <c r="K14" s="50"/>
    </row>
    <row r="15" spans="1:11">
      <c r="A15" s="47" t="s">
        <v>2</v>
      </c>
      <c r="B15" s="47" t="s">
        <v>13</v>
      </c>
      <c r="C15" s="62">
        <v>229558</v>
      </c>
      <c r="D15" s="48">
        <v>242</v>
      </c>
      <c r="E15" s="62">
        <f t="shared" si="0"/>
        <v>229558</v>
      </c>
      <c r="F15" s="62">
        <v>115162</v>
      </c>
      <c r="G15" s="48">
        <v>7</v>
      </c>
      <c r="H15" s="48">
        <v>7</v>
      </c>
      <c r="I15" s="66">
        <f t="shared" si="1"/>
        <v>115162</v>
      </c>
      <c r="J15" s="67">
        <f t="shared" si="2"/>
        <v>344720</v>
      </c>
      <c r="K15" s="50"/>
    </row>
    <row r="16" spans="1:11">
      <c r="A16" s="47" t="s">
        <v>2</v>
      </c>
      <c r="B16" s="47" t="s">
        <v>15</v>
      </c>
      <c r="C16" s="62">
        <v>1263519</v>
      </c>
      <c r="D16" s="48">
        <v>1332</v>
      </c>
      <c r="E16" s="62">
        <f t="shared" si="0"/>
        <v>1263519</v>
      </c>
      <c r="F16" s="62">
        <v>430180</v>
      </c>
      <c r="G16" s="48">
        <v>31</v>
      </c>
      <c r="H16" s="48">
        <v>31</v>
      </c>
      <c r="I16" s="62">
        <f>+F16</f>
        <v>430180</v>
      </c>
      <c r="J16" s="62">
        <f>+E16+I16</f>
        <v>1693699</v>
      </c>
      <c r="K16" s="47"/>
    </row>
    <row r="17" spans="1:11">
      <c r="A17" s="47" t="s">
        <v>2</v>
      </c>
      <c r="B17" s="47" t="s">
        <v>3</v>
      </c>
      <c r="C17" s="57">
        <v>107608</v>
      </c>
      <c r="D17" s="48">
        <v>111</v>
      </c>
      <c r="E17" s="57">
        <f t="shared" si="0"/>
        <v>107608</v>
      </c>
      <c r="F17" s="57">
        <v>0</v>
      </c>
      <c r="G17" s="48"/>
      <c r="H17" s="48"/>
      <c r="I17" s="67">
        <f t="shared" ref="I17:I24" si="3">F17</f>
        <v>0</v>
      </c>
      <c r="J17" s="62">
        <f t="shared" ref="J17:J24" si="4">E17+I17</f>
        <v>107608</v>
      </c>
      <c r="K17" s="55"/>
    </row>
    <row r="18" spans="1:11">
      <c r="A18" s="51" t="s">
        <v>2</v>
      </c>
      <c r="B18" s="47" t="s">
        <v>25</v>
      </c>
      <c r="C18" s="62">
        <v>93850</v>
      </c>
      <c r="D18" s="48">
        <v>91</v>
      </c>
      <c r="E18" s="57">
        <f t="shared" si="0"/>
        <v>93850</v>
      </c>
      <c r="F18" s="57">
        <v>0</v>
      </c>
      <c r="G18" s="48"/>
      <c r="H18" s="48"/>
      <c r="I18" s="67">
        <f t="shared" si="3"/>
        <v>0</v>
      </c>
      <c r="J18" s="62">
        <f t="shared" si="4"/>
        <v>93850</v>
      </c>
      <c r="K18" s="56"/>
    </row>
    <row r="19" spans="1:11">
      <c r="A19" s="47" t="s">
        <v>19</v>
      </c>
      <c r="B19" s="47" t="s">
        <v>4</v>
      </c>
      <c r="C19" s="62">
        <v>507495</v>
      </c>
      <c r="D19" s="48">
        <v>535</v>
      </c>
      <c r="E19" s="62">
        <f t="shared" si="0"/>
        <v>507495</v>
      </c>
      <c r="F19" s="62">
        <v>154539</v>
      </c>
      <c r="G19" s="48">
        <v>10</v>
      </c>
      <c r="H19" s="48">
        <v>10</v>
      </c>
      <c r="I19" s="66">
        <f t="shared" si="3"/>
        <v>154539</v>
      </c>
      <c r="J19" s="67">
        <f t="shared" si="4"/>
        <v>662034</v>
      </c>
      <c r="K19" s="50"/>
    </row>
    <row r="20" spans="1:11">
      <c r="A20" s="47" t="s">
        <v>19</v>
      </c>
      <c r="B20" s="47" t="s">
        <v>11</v>
      </c>
      <c r="C20" s="62">
        <v>611951</v>
      </c>
      <c r="D20" s="48">
        <v>585</v>
      </c>
      <c r="E20" s="62">
        <f t="shared" si="0"/>
        <v>611951</v>
      </c>
      <c r="F20" s="62">
        <v>88910</v>
      </c>
      <c r="G20" s="48">
        <v>5</v>
      </c>
      <c r="H20" s="48">
        <v>5</v>
      </c>
      <c r="I20" s="66">
        <f t="shared" si="3"/>
        <v>88910</v>
      </c>
      <c r="J20" s="67">
        <f t="shared" si="4"/>
        <v>700861</v>
      </c>
      <c r="K20" s="50"/>
    </row>
    <row r="21" spans="1:11">
      <c r="A21" s="47" t="s">
        <v>19</v>
      </c>
      <c r="B21" s="47" t="s">
        <v>14</v>
      </c>
      <c r="C21" s="62">
        <v>370000</v>
      </c>
      <c r="D21" s="48">
        <v>389</v>
      </c>
      <c r="E21" s="62">
        <f t="shared" si="0"/>
        <v>370000</v>
      </c>
      <c r="F21" s="62">
        <v>102036</v>
      </c>
      <c r="G21" s="48">
        <v>6</v>
      </c>
      <c r="H21" s="48">
        <v>6</v>
      </c>
      <c r="I21" s="66">
        <f t="shared" si="3"/>
        <v>102036</v>
      </c>
      <c r="J21" s="67">
        <f t="shared" si="4"/>
        <v>472036</v>
      </c>
      <c r="K21" s="50"/>
    </row>
    <row r="22" spans="1:11">
      <c r="A22" s="47" t="s">
        <v>19</v>
      </c>
      <c r="B22" s="47" t="s">
        <v>60</v>
      </c>
      <c r="C22" s="62">
        <v>620377</v>
      </c>
      <c r="D22" s="48">
        <v>654</v>
      </c>
      <c r="E22" s="62">
        <f t="shared" si="0"/>
        <v>620377</v>
      </c>
      <c r="F22" s="62">
        <v>128288</v>
      </c>
      <c r="G22" s="48">
        <v>8</v>
      </c>
      <c r="H22" s="48">
        <v>8</v>
      </c>
      <c r="I22" s="66">
        <f t="shared" si="3"/>
        <v>128288</v>
      </c>
      <c r="J22" s="67">
        <f t="shared" si="4"/>
        <v>748665</v>
      </c>
      <c r="K22" s="50"/>
    </row>
    <row r="23" spans="1:11">
      <c r="A23" s="47" t="s">
        <v>19</v>
      </c>
      <c r="B23" s="47" t="s">
        <v>12</v>
      </c>
      <c r="C23" s="62">
        <v>706698</v>
      </c>
      <c r="D23" s="48">
        <v>745</v>
      </c>
      <c r="E23" s="62">
        <f t="shared" si="0"/>
        <v>706698</v>
      </c>
      <c r="F23" s="62">
        <v>128288</v>
      </c>
      <c r="G23" s="48">
        <v>8</v>
      </c>
      <c r="H23" s="48">
        <v>8</v>
      </c>
      <c r="I23" s="66">
        <f t="shared" si="3"/>
        <v>128288</v>
      </c>
      <c r="J23" s="67">
        <f t="shared" si="4"/>
        <v>834986</v>
      </c>
      <c r="K23" s="50"/>
    </row>
    <row r="24" spans="1:11">
      <c r="A24" s="47" t="s">
        <v>19</v>
      </c>
      <c r="B24" s="47" t="s">
        <v>13</v>
      </c>
      <c r="C24" s="62">
        <v>260862</v>
      </c>
      <c r="D24" s="48">
        <v>275</v>
      </c>
      <c r="E24" s="62">
        <f t="shared" si="0"/>
        <v>260862</v>
      </c>
      <c r="F24" s="62">
        <v>115162</v>
      </c>
      <c r="G24" s="48">
        <v>7</v>
      </c>
      <c r="H24" s="48">
        <v>7</v>
      </c>
      <c r="I24" s="66">
        <f t="shared" si="3"/>
        <v>115162</v>
      </c>
      <c r="J24" s="67">
        <f t="shared" si="4"/>
        <v>376024</v>
      </c>
      <c r="K24" s="50"/>
    </row>
    <row r="25" spans="1:11">
      <c r="A25" s="47" t="s">
        <v>19</v>
      </c>
      <c r="B25" s="47" t="s">
        <v>15</v>
      </c>
      <c r="C25" s="62">
        <v>1529124</v>
      </c>
      <c r="D25" s="48">
        <v>1612</v>
      </c>
      <c r="E25" s="62">
        <f t="shared" si="0"/>
        <v>1529124</v>
      </c>
      <c r="F25" s="62">
        <v>797701</v>
      </c>
      <c r="G25" s="48">
        <v>59</v>
      </c>
      <c r="H25" s="48">
        <v>59</v>
      </c>
      <c r="I25" s="62">
        <f>+F25</f>
        <v>797701</v>
      </c>
      <c r="J25" s="62">
        <f>+E25+I25</f>
        <v>2326825</v>
      </c>
      <c r="K25" s="47"/>
    </row>
    <row r="26" spans="1:11">
      <c r="A26" s="47" t="s">
        <v>19</v>
      </c>
      <c r="B26" s="47" t="s">
        <v>3</v>
      </c>
      <c r="C26" s="57">
        <v>41686</v>
      </c>
      <c r="D26" s="48">
        <v>43</v>
      </c>
      <c r="E26" s="57">
        <f t="shared" si="0"/>
        <v>41686</v>
      </c>
      <c r="F26" s="57">
        <v>0</v>
      </c>
      <c r="G26" s="48"/>
      <c r="H26" s="48"/>
      <c r="I26" s="67">
        <f>F26</f>
        <v>0</v>
      </c>
      <c r="J26" s="62">
        <f t="shared" ref="J26:J33" si="5">E26+I26</f>
        <v>41686</v>
      </c>
      <c r="K26" s="55"/>
    </row>
    <row r="27" spans="1:11">
      <c r="A27" s="47" t="s">
        <v>19</v>
      </c>
      <c r="B27" s="47" t="s">
        <v>25</v>
      </c>
      <c r="C27" s="62">
        <v>103214</v>
      </c>
      <c r="D27" s="48">
        <v>104</v>
      </c>
      <c r="E27" s="57">
        <f t="shared" si="0"/>
        <v>103214</v>
      </c>
      <c r="F27" s="57">
        <v>0</v>
      </c>
      <c r="G27" s="48"/>
      <c r="H27" s="48"/>
      <c r="I27" s="67">
        <f>F27</f>
        <v>0</v>
      </c>
      <c r="J27" s="62">
        <f t="shared" si="5"/>
        <v>103214</v>
      </c>
      <c r="K27" s="56"/>
    </row>
    <row r="28" spans="1:11">
      <c r="A28" s="58" t="s">
        <v>20</v>
      </c>
      <c r="B28" s="59" t="s">
        <v>4</v>
      </c>
      <c r="C28" s="64">
        <v>488724</v>
      </c>
      <c r="D28" s="60">
        <v>556</v>
      </c>
      <c r="E28" s="62">
        <f t="shared" si="0"/>
        <v>488724</v>
      </c>
      <c r="F28" s="62">
        <v>128288</v>
      </c>
      <c r="G28" s="60">
        <v>8</v>
      </c>
      <c r="H28" s="48">
        <v>8</v>
      </c>
      <c r="I28" s="68">
        <f>F28</f>
        <v>128288</v>
      </c>
      <c r="J28" s="20">
        <f t="shared" si="5"/>
        <v>617012</v>
      </c>
      <c r="K28" s="3"/>
    </row>
    <row r="29" spans="1:11">
      <c r="A29" s="47" t="s">
        <v>20</v>
      </c>
      <c r="B29" s="47" t="s">
        <v>11</v>
      </c>
      <c r="C29" s="62">
        <v>617303</v>
      </c>
      <c r="D29" s="48">
        <v>646</v>
      </c>
      <c r="E29" s="62">
        <f t="shared" si="0"/>
        <v>617303</v>
      </c>
      <c r="F29" s="62">
        <v>88910</v>
      </c>
      <c r="G29" s="48">
        <v>5</v>
      </c>
      <c r="H29" s="48">
        <v>5</v>
      </c>
      <c r="I29" s="66">
        <f>F29</f>
        <v>88910</v>
      </c>
      <c r="J29" s="67">
        <f t="shared" si="5"/>
        <v>706213</v>
      </c>
      <c r="K29" s="49"/>
    </row>
    <row r="30" spans="1:11">
      <c r="A30" s="47" t="s">
        <v>20</v>
      </c>
      <c r="B30" s="47" t="s">
        <v>14</v>
      </c>
      <c r="C30" s="62">
        <v>325230</v>
      </c>
      <c r="D30" s="48">
        <v>370</v>
      </c>
      <c r="E30" s="62">
        <f>+C30</f>
        <v>325230</v>
      </c>
      <c r="F30" s="62">
        <v>88910</v>
      </c>
      <c r="G30" s="48">
        <v>5</v>
      </c>
      <c r="H30" s="48">
        <v>5</v>
      </c>
      <c r="I30" s="66">
        <f>+F30</f>
        <v>88910</v>
      </c>
      <c r="J30" s="67">
        <f t="shared" si="5"/>
        <v>414140</v>
      </c>
      <c r="K30" s="50"/>
    </row>
    <row r="31" spans="1:11">
      <c r="A31" s="47" t="s">
        <v>20</v>
      </c>
      <c r="B31" s="47" t="s">
        <v>60</v>
      </c>
      <c r="C31" s="62">
        <v>620574</v>
      </c>
      <c r="D31" s="48">
        <v>706</v>
      </c>
      <c r="E31" s="62">
        <f>+C31</f>
        <v>620574</v>
      </c>
      <c r="F31" s="62">
        <v>128288</v>
      </c>
      <c r="G31" s="48">
        <v>8</v>
      </c>
      <c r="H31" s="48">
        <v>8</v>
      </c>
      <c r="I31" s="66">
        <f>+F31</f>
        <v>128288</v>
      </c>
      <c r="J31" s="67">
        <f t="shared" si="5"/>
        <v>748862</v>
      </c>
      <c r="K31" s="50"/>
    </row>
    <row r="32" spans="1:11">
      <c r="A32" s="47" t="s">
        <v>20</v>
      </c>
      <c r="B32" s="47" t="s">
        <v>12</v>
      </c>
      <c r="C32" s="62">
        <v>673314</v>
      </c>
      <c r="D32" s="48">
        <v>766</v>
      </c>
      <c r="E32" s="62">
        <f>+C32</f>
        <v>673314</v>
      </c>
      <c r="F32" s="62">
        <v>128288</v>
      </c>
      <c r="G32" s="48">
        <v>8</v>
      </c>
      <c r="H32" s="48">
        <v>8</v>
      </c>
      <c r="I32" s="66">
        <f>+F32</f>
        <v>128288</v>
      </c>
      <c r="J32" s="67">
        <f t="shared" si="5"/>
        <v>801602</v>
      </c>
      <c r="K32" s="50"/>
    </row>
    <row r="33" spans="1:11">
      <c r="A33" s="47" t="s">
        <v>20</v>
      </c>
      <c r="B33" s="47" t="s">
        <v>13</v>
      </c>
      <c r="C33" s="62">
        <v>217992</v>
      </c>
      <c r="D33" s="48">
        <v>248</v>
      </c>
      <c r="E33" s="62">
        <f>+C33</f>
        <v>217992</v>
      </c>
      <c r="F33" s="62">
        <v>115162</v>
      </c>
      <c r="G33" s="48">
        <v>7</v>
      </c>
      <c r="H33" s="48">
        <v>7</v>
      </c>
      <c r="I33" s="66">
        <f>+F33</f>
        <v>115162</v>
      </c>
      <c r="J33" s="67">
        <f t="shared" si="5"/>
        <v>333154</v>
      </c>
      <c r="K33" s="50"/>
    </row>
    <row r="34" spans="1:11">
      <c r="A34" s="47" t="s">
        <v>20</v>
      </c>
      <c r="B34" s="47" t="s">
        <v>15</v>
      </c>
      <c r="C34" s="24">
        <v>1382667</v>
      </c>
      <c r="D34" s="48">
        <v>1573</v>
      </c>
      <c r="E34" s="62">
        <f>C34</f>
        <v>1382667</v>
      </c>
      <c r="F34" s="62">
        <v>377677</v>
      </c>
      <c r="G34" s="2">
        <v>27</v>
      </c>
      <c r="H34" s="2">
        <v>27</v>
      </c>
      <c r="I34" s="62">
        <f>+F34</f>
        <v>377677</v>
      </c>
      <c r="J34" s="62">
        <f>+E34+I34</f>
        <v>1760344</v>
      </c>
      <c r="K34" s="47"/>
    </row>
    <row r="35" spans="1:11">
      <c r="A35" s="47" t="s">
        <v>20</v>
      </c>
      <c r="B35" s="47" t="s">
        <v>3</v>
      </c>
      <c r="C35" s="57">
        <v>6659</v>
      </c>
      <c r="D35" s="48">
        <v>7</v>
      </c>
      <c r="E35" s="57">
        <f>C35</f>
        <v>6659</v>
      </c>
      <c r="F35" s="57">
        <v>0</v>
      </c>
      <c r="G35" s="48"/>
      <c r="H35" s="48"/>
      <c r="I35" s="67">
        <f>F35</f>
        <v>0</v>
      </c>
      <c r="J35" s="62">
        <f t="shared" ref="J35:J42" si="6">E35+I35</f>
        <v>6659</v>
      </c>
      <c r="K35" s="56"/>
    </row>
    <row r="36" spans="1:11">
      <c r="A36" s="47" t="s">
        <v>20</v>
      </c>
      <c r="B36" s="47" t="s">
        <v>25</v>
      </c>
      <c r="C36" s="62">
        <v>121003</v>
      </c>
      <c r="D36" s="48">
        <v>118</v>
      </c>
      <c r="E36" s="57">
        <f>C36</f>
        <v>121003</v>
      </c>
      <c r="F36" s="57">
        <v>0</v>
      </c>
      <c r="G36" s="48"/>
      <c r="H36" s="48"/>
      <c r="I36" s="67">
        <f>F36</f>
        <v>0</v>
      </c>
      <c r="J36" s="62">
        <f t="shared" si="6"/>
        <v>121003</v>
      </c>
      <c r="K36" s="56"/>
    </row>
    <row r="37" spans="1:11">
      <c r="A37" s="51" t="s">
        <v>21</v>
      </c>
      <c r="B37" s="47" t="s">
        <v>4</v>
      </c>
      <c r="C37" s="62">
        <v>581355</v>
      </c>
      <c r="D37" s="48">
        <v>604</v>
      </c>
      <c r="E37" s="62">
        <f t="shared" ref="E37:E42" si="7">+C37</f>
        <v>581355</v>
      </c>
      <c r="F37" s="62">
        <v>141413</v>
      </c>
      <c r="G37" s="48">
        <v>9</v>
      </c>
      <c r="H37" s="48">
        <v>9</v>
      </c>
      <c r="I37" s="66">
        <f t="shared" ref="I37:I43" si="8">+F37</f>
        <v>141413</v>
      </c>
      <c r="J37" s="67">
        <f t="shared" si="6"/>
        <v>722768</v>
      </c>
      <c r="K37" s="50"/>
    </row>
    <row r="38" spans="1:11">
      <c r="A38" s="51" t="s">
        <v>21</v>
      </c>
      <c r="B38" s="47" t="s">
        <v>11</v>
      </c>
      <c r="C38" s="62">
        <v>710240</v>
      </c>
      <c r="D38" s="48">
        <v>686</v>
      </c>
      <c r="E38" s="62">
        <f t="shared" si="7"/>
        <v>710240</v>
      </c>
      <c r="F38" s="62">
        <v>88910</v>
      </c>
      <c r="G38" s="48">
        <v>5</v>
      </c>
      <c r="H38" s="48">
        <v>5</v>
      </c>
      <c r="I38" s="66">
        <f t="shared" si="8"/>
        <v>88910</v>
      </c>
      <c r="J38" s="67">
        <f t="shared" si="6"/>
        <v>799150</v>
      </c>
      <c r="K38" s="50"/>
    </row>
    <row r="39" spans="1:11">
      <c r="A39" s="51" t="s">
        <v>21</v>
      </c>
      <c r="B39" s="47" t="s">
        <v>14</v>
      </c>
      <c r="C39" s="62">
        <v>396553</v>
      </c>
      <c r="D39" s="48">
        <v>412</v>
      </c>
      <c r="E39" s="62">
        <f t="shared" si="7"/>
        <v>396553</v>
      </c>
      <c r="F39" s="65">
        <v>88910</v>
      </c>
      <c r="G39" s="52">
        <v>5</v>
      </c>
      <c r="H39" s="52">
        <v>5</v>
      </c>
      <c r="I39" s="66">
        <f t="shared" si="8"/>
        <v>88910</v>
      </c>
      <c r="J39" s="67">
        <f t="shared" si="6"/>
        <v>485463</v>
      </c>
      <c r="K39" s="61"/>
    </row>
    <row r="40" spans="1:11">
      <c r="A40" s="51" t="s">
        <v>21</v>
      </c>
      <c r="B40" s="47" t="s">
        <v>12</v>
      </c>
      <c r="C40" s="62">
        <v>835456</v>
      </c>
      <c r="D40" s="48">
        <v>868</v>
      </c>
      <c r="E40" s="62">
        <f t="shared" si="7"/>
        <v>835456</v>
      </c>
      <c r="F40" s="62">
        <v>128286</v>
      </c>
      <c r="G40" s="48">
        <v>8</v>
      </c>
      <c r="H40" s="48">
        <v>8</v>
      </c>
      <c r="I40" s="66">
        <f t="shared" si="8"/>
        <v>128286</v>
      </c>
      <c r="J40" s="67">
        <f t="shared" si="6"/>
        <v>963742</v>
      </c>
      <c r="K40" s="49"/>
    </row>
    <row r="41" spans="1:11">
      <c r="A41" s="51" t="s">
        <v>21</v>
      </c>
      <c r="B41" s="47" t="s">
        <v>13</v>
      </c>
      <c r="C41" s="62">
        <v>258915</v>
      </c>
      <c r="D41" s="48">
        <v>269</v>
      </c>
      <c r="E41" s="62">
        <f t="shared" si="7"/>
        <v>258915</v>
      </c>
      <c r="F41" s="62">
        <v>115162</v>
      </c>
      <c r="G41" s="48">
        <v>7</v>
      </c>
      <c r="H41" s="48">
        <v>7</v>
      </c>
      <c r="I41" s="66">
        <f t="shared" si="8"/>
        <v>115162</v>
      </c>
      <c r="J41" s="67">
        <f t="shared" si="6"/>
        <v>374077</v>
      </c>
      <c r="K41" s="50"/>
    </row>
    <row r="42" spans="1:11">
      <c r="A42" s="47" t="s">
        <v>21</v>
      </c>
      <c r="B42" s="47" t="s">
        <v>60</v>
      </c>
      <c r="C42" s="62">
        <v>659318</v>
      </c>
      <c r="D42" s="48">
        <v>685</v>
      </c>
      <c r="E42" s="62">
        <f t="shared" si="7"/>
        <v>659318</v>
      </c>
      <c r="F42" s="62">
        <v>115162</v>
      </c>
      <c r="G42" s="48">
        <v>7</v>
      </c>
      <c r="H42" s="48">
        <v>7</v>
      </c>
      <c r="I42" s="66">
        <f t="shared" si="8"/>
        <v>115162</v>
      </c>
      <c r="J42" s="67">
        <f t="shared" si="6"/>
        <v>774480</v>
      </c>
      <c r="K42" s="50"/>
    </row>
    <row r="43" spans="1:11">
      <c r="A43" s="47" t="s">
        <v>21</v>
      </c>
      <c r="B43" s="47" t="s">
        <v>15</v>
      </c>
      <c r="C43" s="62">
        <v>1453387</v>
      </c>
      <c r="D43" s="48">
        <v>1510</v>
      </c>
      <c r="E43" s="62">
        <f>C43</f>
        <v>1453387</v>
      </c>
      <c r="F43" s="62">
        <v>403929</v>
      </c>
      <c r="G43" s="48">
        <v>29</v>
      </c>
      <c r="H43" s="48">
        <v>29</v>
      </c>
      <c r="I43" s="62">
        <f t="shared" si="8"/>
        <v>403929</v>
      </c>
      <c r="J43" s="62">
        <f>+E43+I43</f>
        <v>1857316</v>
      </c>
      <c r="K43" s="47"/>
    </row>
    <row r="44" spans="1:11">
      <c r="A44" s="47" t="s">
        <v>21</v>
      </c>
      <c r="B44" s="47" t="s">
        <v>25</v>
      </c>
      <c r="C44" s="62">
        <v>108354</v>
      </c>
      <c r="D44" s="48">
        <v>103</v>
      </c>
      <c r="E44" s="57">
        <f>C44</f>
        <v>108354</v>
      </c>
      <c r="F44" s="57">
        <v>0</v>
      </c>
      <c r="G44" s="48"/>
      <c r="H44" s="48"/>
      <c r="I44" s="67">
        <f>F44</f>
        <v>0</v>
      </c>
      <c r="J44" s="62">
        <f t="shared" ref="J44:J50" si="9">E44+I44</f>
        <v>108354</v>
      </c>
      <c r="K44" s="56"/>
    </row>
    <row r="45" spans="1:11">
      <c r="A45" s="47" t="s">
        <v>22</v>
      </c>
      <c r="B45" s="47" t="s">
        <v>4</v>
      </c>
      <c r="C45" s="62">
        <v>534034</v>
      </c>
      <c r="D45" s="48">
        <v>556</v>
      </c>
      <c r="E45" s="62">
        <f t="shared" ref="E45:E50" si="10">+C45</f>
        <v>534034</v>
      </c>
      <c r="F45" s="62">
        <v>146089</v>
      </c>
      <c r="G45" s="48">
        <v>9</v>
      </c>
      <c r="H45" s="48">
        <v>9</v>
      </c>
      <c r="I45" s="66">
        <f t="shared" ref="I45:I51" si="11">+F45</f>
        <v>146089</v>
      </c>
      <c r="J45" s="67">
        <f t="shared" si="9"/>
        <v>680123</v>
      </c>
      <c r="K45" s="50"/>
    </row>
    <row r="46" spans="1:11">
      <c r="A46" s="47" t="s">
        <v>22</v>
      </c>
      <c r="B46" s="47" t="s">
        <v>11</v>
      </c>
      <c r="C46" s="62">
        <v>756648</v>
      </c>
      <c r="D46" s="48">
        <v>744</v>
      </c>
      <c r="E46" s="62">
        <f t="shared" si="10"/>
        <v>756648</v>
      </c>
      <c r="F46" s="62">
        <v>91852</v>
      </c>
      <c r="G46" s="48">
        <v>5</v>
      </c>
      <c r="H46" s="48">
        <v>5</v>
      </c>
      <c r="I46" s="66">
        <f t="shared" si="11"/>
        <v>91852</v>
      </c>
      <c r="J46" s="67">
        <f t="shared" si="9"/>
        <v>848500</v>
      </c>
      <c r="K46" s="50"/>
    </row>
    <row r="47" spans="1:11">
      <c r="A47" s="47" t="s">
        <v>22</v>
      </c>
      <c r="B47" s="47" t="s">
        <v>14</v>
      </c>
      <c r="C47" s="62">
        <v>429339</v>
      </c>
      <c r="D47" s="48">
        <v>447</v>
      </c>
      <c r="E47" s="62">
        <f t="shared" si="10"/>
        <v>429339</v>
      </c>
      <c r="F47" s="62">
        <v>91852</v>
      </c>
      <c r="G47" s="48">
        <v>5</v>
      </c>
      <c r="H47" s="48">
        <v>5</v>
      </c>
      <c r="I47" s="66">
        <f t="shared" si="11"/>
        <v>91852</v>
      </c>
      <c r="J47" s="67">
        <f t="shared" si="9"/>
        <v>521191</v>
      </c>
      <c r="K47" s="50"/>
    </row>
    <row r="48" spans="1:11">
      <c r="A48" s="47" t="s">
        <v>22</v>
      </c>
      <c r="B48" s="47" t="s">
        <v>12</v>
      </c>
      <c r="C48" s="62"/>
      <c r="D48" s="48"/>
      <c r="E48" s="62">
        <f t="shared" si="10"/>
        <v>0</v>
      </c>
      <c r="F48" s="62">
        <v>0</v>
      </c>
      <c r="G48" s="48"/>
      <c r="H48" s="48"/>
      <c r="I48" s="66">
        <f t="shared" si="11"/>
        <v>0</v>
      </c>
      <c r="J48" s="67">
        <f t="shared" si="9"/>
        <v>0</v>
      </c>
      <c r="K48" s="50"/>
    </row>
    <row r="49" spans="1:11">
      <c r="A49" s="47" t="s">
        <v>22</v>
      </c>
      <c r="B49" s="47" t="s">
        <v>13</v>
      </c>
      <c r="C49" s="62">
        <v>219953</v>
      </c>
      <c r="D49" s="48">
        <v>229</v>
      </c>
      <c r="E49" s="62">
        <f t="shared" si="10"/>
        <v>219953</v>
      </c>
      <c r="F49" s="62">
        <v>105411</v>
      </c>
      <c r="G49" s="48">
        <v>6</v>
      </c>
      <c r="H49" s="48">
        <v>6</v>
      </c>
      <c r="I49" s="66">
        <f t="shared" si="11"/>
        <v>105411</v>
      </c>
      <c r="J49" s="67">
        <f t="shared" si="9"/>
        <v>325364</v>
      </c>
      <c r="K49" s="50"/>
    </row>
    <row r="50" spans="1:11">
      <c r="A50" s="47" t="s">
        <v>22</v>
      </c>
      <c r="B50" s="47" t="s">
        <v>60</v>
      </c>
      <c r="C50" s="62">
        <v>651214</v>
      </c>
      <c r="D50" s="48">
        <v>678</v>
      </c>
      <c r="E50" s="62">
        <f t="shared" si="10"/>
        <v>651214</v>
      </c>
      <c r="F50" s="62">
        <v>118970</v>
      </c>
      <c r="G50" s="48">
        <v>7</v>
      </c>
      <c r="H50" s="48">
        <v>7</v>
      </c>
      <c r="I50" s="66">
        <f t="shared" si="11"/>
        <v>118970</v>
      </c>
      <c r="J50" s="67">
        <f t="shared" si="9"/>
        <v>770184</v>
      </c>
      <c r="K50" s="50"/>
    </row>
    <row r="51" spans="1:11">
      <c r="A51" s="47" t="s">
        <v>22</v>
      </c>
      <c r="B51" s="47" t="s">
        <v>15</v>
      </c>
      <c r="C51" s="62">
        <v>1588654</v>
      </c>
      <c r="D51" s="48">
        <v>1654</v>
      </c>
      <c r="E51" s="62">
        <f>C51</f>
        <v>1588654</v>
      </c>
      <c r="F51" s="62">
        <v>485066</v>
      </c>
      <c r="G51" s="48">
        <v>34</v>
      </c>
      <c r="H51" s="48">
        <v>34</v>
      </c>
      <c r="I51" s="62">
        <f t="shared" si="11"/>
        <v>485066</v>
      </c>
      <c r="J51" s="62">
        <f>+E51+I51</f>
        <v>2073720</v>
      </c>
      <c r="K51" s="47"/>
    </row>
    <row r="52" spans="1:11">
      <c r="A52" s="47" t="s">
        <v>22</v>
      </c>
      <c r="B52" s="47" t="s">
        <v>25</v>
      </c>
      <c r="C52" s="62">
        <v>113429</v>
      </c>
      <c r="D52" s="48">
        <v>106</v>
      </c>
      <c r="E52" s="57">
        <f>C52</f>
        <v>113429</v>
      </c>
      <c r="F52" s="57">
        <v>0</v>
      </c>
      <c r="G52" s="48">
        <v>0</v>
      </c>
      <c r="H52" s="48">
        <v>0</v>
      </c>
      <c r="I52" s="67">
        <f>F52</f>
        <v>0</v>
      </c>
      <c r="J52" s="62">
        <f>E52+I52</f>
        <v>113429</v>
      </c>
      <c r="K52" s="56"/>
    </row>
    <row r="53" spans="1:11">
      <c r="A53" s="51" t="s">
        <v>23</v>
      </c>
      <c r="B53" s="47" t="s">
        <v>4</v>
      </c>
      <c r="C53" s="62"/>
      <c r="D53" s="48"/>
      <c r="E53" s="62"/>
      <c r="F53" s="62"/>
      <c r="G53" s="48"/>
      <c r="H53" s="48"/>
      <c r="I53" s="66"/>
      <c r="J53" s="67"/>
      <c r="K53" s="50"/>
    </row>
    <row r="54" spans="1:11">
      <c r="A54" s="51" t="s">
        <v>23</v>
      </c>
      <c r="B54" s="47" t="s">
        <v>11</v>
      </c>
      <c r="C54" s="62"/>
      <c r="D54" s="48"/>
      <c r="E54" s="62"/>
      <c r="F54" s="62"/>
      <c r="G54" s="48"/>
      <c r="H54" s="48"/>
      <c r="I54" s="66"/>
      <c r="J54" s="67"/>
      <c r="K54" s="50"/>
    </row>
    <row r="55" spans="1:11">
      <c r="A55" s="51" t="s">
        <v>23</v>
      </c>
      <c r="B55" s="47" t="s">
        <v>14</v>
      </c>
      <c r="C55" s="62"/>
      <c r="D55" s="48"/>
      <c r="E55" s="62"/>
      <c r="F55" s="62"/>
      <c r="G55" s="48"/>
      <c r="H55" s="48"/>
      <c r="I55" s="66"/>
      <c r="J55" s="67"/>
      <c r="K55" s="50"/>
    </row>
    <row r="56" spans="1:11">
      <c r="A56" s="51" t="s">
        <v>23</v>
      </c>
      <c r="B56" s="47" t="s">
        <v>12</v>
      </c>
      <c r="C56" s="62"/>
      <c r="D56" s="48"/>
      <c r="E56" s="62"/>
      <c r="F56" s="62"/>
      <c r="G56" s="48"/>
      <c r="H56" s="48"/>
      <c r="I56" s="66"/>
      <c r="J56" s="67"/>
      <c r="K56" s="50"/>
    </row>
    <row r="57" spans="1:11">
      <c r="A57" s="47" t="s">
        <v>23</v>
      </c>
      <c r="B57" s="47" t="s">
        <v>13</v>
      </c>
      <c r="C57" s="62"/>
      <c r="D57" s="48"/>
      <c r="E57" s="62"/>
      <c r="F57" s="62"/>
      <c r="G57" s="48"/>
      <c r="H57" s="48"/>
      <c r="I57" s="66"/>
      <c r="J57" s="67"/>
      <c r="K57" s="50"/>
    </row>
    <row r="58" spans="1:11">
      <c r="A58" s="47" t="s">
        <v>23</v>
      </c>
      <c r="B58" s="47" t="s">
        <v>60</v>
      </c>
      <c r="C58" s="62"/>
      <c r="D58" s="48"/>
      <c r="E58" s="62"/>
      <c r="F58" s="62"/>
      <c r="G58" s="48"/>
      <c r="H58" s="48"/>
      <c r="I58" s="66"/>
      <c r="J58" s="67"/>
      <c r="K58" s="50"/>
    </row>
    <row r="59" spans="1:11">
      <c r="A59" s="47" t="s">
        <v>23</v>
      </c>
      <c r="B59" s="47" t="s">
        <v>15</v>
      </c>
      <c r="C59" s="62"/>
      <c r="D59" s="48"/>
      <c r="E59" s="62"/>
      <c r="F59" s="62"/>
      <c r="G59" s="48"/>
      <c r="H59" s="48"/>
      <c r="I59" s="62"/>
      <c r="J59" s="62"/>
      <c r="K59" s="47"/>
    </row>
    <row r="60" spans="1:11">
      <c r="A60" s="47" t="s">
        <v>23</v>
      </c>
      <c r="B60" s="47" t="s">
        <v>25</v>
      </c>
      <c r="C60" s="62"/>
      <c r="D60" s="48"/>
      <c r="E60" s="57"/>
      <c r="F60" s="57"/>
      <c r="G60" s="48"/>
      <c r="H60" s="48"/>
      <c r="I60" s="67"/>
      <c r="J60" s="62"/>
      <c r="K60" s="56"/>
    </row>
    <row r="61" spans="1:11">
      <c r="A61" s="47" t="s">
        <v>24</v>
      </c>
      <c r="B61" s="47" t="s">
        <v>4</v>
      </c>
      <c r="C61" s="62"/>
      <c r="D61" s="48"/>
      <c r="E61" s="62"/>
      <c r="F61" s="62"/>
      <c r="G61" s="48"/>
      <c r="H61" s="48"/>
      <c r="I61" s="66"/>
      <c r="J61" s="67"/>
      <c r="K61" s="50"/>
    </row>
    <row r="62" spans="1:11">
      <c r="A62" s="47" t="s">
        <v>24</v>
      </c>
      <c r="B62" s="47" t="s">
        <v>11</v>
      </c>
      <c r="C62" s="62"/>
      <c r="D62" s="48"/>
      <c r="E62" s="62"/>
      <c r="F62" s="62"/>
      <c r="G62" s="48"/>
      <c r="H62" s="48"/>
      <c r="I62" s="66"/>
      <c r="J62" s="67"/>
      <c r="K62" s="50"/>
    </row>
    <row r="63" spans="1:11">
      <c r="A63" s="47" t="s">
        <v>24</v>
      </c>
      <c r="B63" s="47" t="s">
        <v>14</v>
      </c>
      <c r="C63" s="62"/>
      <c r="D63" s="48"/>
      <c r="E63" s="62"/>
      <c r="F63" s="62"/>
      <c r="G63" s="48"/>
      <c r="H63" s="48"/>
      <c r="I63" s="66"/>
      <c r="J63" s="67"/>
      <c r="K63" s="50"/>
    </row>
    <row r="64" spans="1:11">
      <c r="A64" s="47" t="s">
        <v>24</v>
      </c>
      <c r="B64" s="47" t="s">
        <v>12</v>
      </c>
      <c r="C64" s="62"/>
      <c r="D64" s="48"/>
      <c r="E64" s="62"/>
      <c r="F64" s="62"/>
      <c r="G64" s="48"/>
      <c r="H64" s="48"/>
      <c r="I64" s="66"/>
      <c r="J64" s="67"/>
      <c r="K64" s="50"/>
    </row>
    <row r="65" spans="1:11">
      <c r="A65" s="47" t="s">
        <v>24</v>
      </c>
      <c r="B65" s="47" t="s">
        <v>13</v>
      </c>
      <c r="C65" s="62"/>
      <c r="D65" s="48"/>
      <c r="E65" s="62"/>
      <c r="F65" s="62"/>
      <c r="G65" s="48"/>
      <c r="H65" s="48"/>
      <c r="I65" s="66"/>
      <c r="J65" s="67"/>
      <c r="K65" s="50"/>
    </row>
    <row r="66" spans="1:11">
      <c r="A66" s="47" t="s">
        <v>24</v>
      </c>
      <c r="B66" s="47" t="s">
        <v>60</v>
      </c>
      <c r="C66" s="62"/>
      <c r="D66" s="48"/>
      <c r="E66" s="62"/>
      <c r="F66" s="62"/>
      <c r="G66" s="48"/>
      <c r="H66" s="48"/>
      <c r="I66" s="66"/>
      <c r="J66" s="67"/>
      <c r="K66" s="50"/>
    </row>
    <row r="67" spans="1:11">
      <c r="A67" s="47" t="s">
        <v>24</v>
      </c>
      <c r="B67" s="47" t="s">
        <v>15</v>
      </c>
      <c r="C67" s="62"/>
      <c r="D67" s="48"/>
      <c r="E67" s="62"/>
      <c r="F67" s="62"/>
      <c r="G67" s="48"/>
      <c r="H67" s="48"/>
      <c r="I67" s="62"/>
      <c r="J67" s="62"/>
      <c r="K67" s="47"/>
    </row>
    <row r="68" spans="1:11">
      <c r="A68" s="47" t="s">
        <v>24</v>
      </c>
      <c r="B68" s="47" t="s">
        <v>25</v>
      </c>
      <c r="C68" s="62"/>
      <c r="D68" s="48"/>
      <c r="E68" s="57"/>
      <c r="F68" s="57"/>
      <c r="G68" s="48"/>
      <c r="H68" s="48"/>
      <c r="I68" s="67"/>
      <c r="J68" s="62"/>
      <c r="K68" s="56"/>
    </row>
    <row r="69" spans="1:11">
      <c r="A69" s="47" t="s">
        <v>26</v>
      </c>
      <c r="B69" s="47" t="s">
        <v>4</v>
      </c>
      <c r="C69" s="62"/>
      <c r="D69" s="48"/>
      <c r="E69" s="62"/>
      <c r="F69" s="62"/>
      <c r="G69" s="48"/>
      <c r="H69" s="48"/>
      <c r="I69" s="66"/>
      <c r="J69" s="67"/>
      <c r="K69" s="50"/>
    </row>
    <row r="70" spans="1:11">
      <c r="A70" s="47" t="s">
        <v>26</v>
      </c>
      <c r="B70" s="47" t="s">
        <v>11</v>
      </c>
      <c r="C70" s="62"/>
      <c r="D70" s="48"/>
      <c r="E70" s="62"/>
      <c r="F70" s="62"/>
      <c r="G70" s="48"/>
      <c r="H70" s="48"/>
      <c r="I70" s="66"/>
      <c r="J70" s="67"/>
      <c r="K70" s="50"/>
    </row>
    <row r="71" spans="1:11">
      <c r="A71" s="47" t="s">
        <v>26</v>
      </c>
      <c r="B71" s="47" t="s">
        <v>14</v>
      </c>
      <c r="C71" s="62"/>
      <c r="D71" s="48"/>
      <c r="E71" s="62"/>
      <c r="F71" s="62"/>
      <c r="G71" s="48"/>
      <c r="H71" s="48"/>
      <c r="I71" s="66"/>
      <c r="J71" s="67"/>
      <c r="K71" s="50"/>
    </row>
    <row r="72" spans="1:11">
      <c r="A72" s="47" t="s">
        <v>26</v>
      </c>
      <c r="B72" s="47" t="s">
        <v>12</v>
      </c>
      <c r="C72" s="62"/>
      <c r="D72" s="48"/>
      <c r="E72" s="62"/>
      <c r="F72" s="62"/>
      <c r="G72" s="48"/>
      <c r="H72" s="48"/>
      <c r="I72" s="66"/>
      <c r="J72" s="67"/>
      <c r="K72" s="50"/>
    </row>
    <row r="73" spans="1:11">
      <c r="A73" s="47" t="s">
        <v>26</v>
      </c>
      <c r="B73" s="47" t="s">
        <v>13</v>
      </c>
      <c r="C73" s="62"/>
      <c r="D73" s="48"/>
      <c r="E73" s="62"/>
      <c r="F73" s="62"/>
      <c r="G73" s="48"/>
      <c r="H73" s="48"/>
      <c r="I73" s="66"/>
      <c r="J73" s="67"/>
      <c r="K73" s="50"/>
    </row>
    <row r="74" spans="1:11">
      <c r="A74" s="47" t="s">
        <v>26</v>
      </c>
      <c r="B74" s="47" t="s">
        <v>60</v>
      </c>
      <c r="C74" s="62"/>
      <c r="D74" s="48"/>
      <c r="E74" s="62"/>
      <c r="F74" s="62"/>
      <c r="G74" s="48"/>
      <c r="H74" s="48"/>
      <c r="I74" s="66"/>
      <c r="J74" s="67"/>
      <c r="K74" s="50"/>
    </row>
    <row r="75" spans="1:11">
      <c r="A75" s="47" t="s">
        <v>26</v>
      </c>
      <c r="B75" s="47" t="s">
        <v>15</v>
      </c>
      <c r="C75" s="62"/>
      <c r="D75" s="53"/>
      <c r="E75" s="62"/>
      <c r="F75" s="62"/>
      <c r="G75" s="48"/>
      <c r="H75" s="48"/>
      <c r="I75" s="63"/>
      <c r="J75" s="62"/>
      <c r="K75" s="47"/>
    </row>
    <row r="76" spans="1:11">
      <c r="A76" s="47" t="s">
        <v>26</v>
      </c>
      <c r="B76" s="47" t="s">
        <v>25</v>
      </c>
      <c r="C76" s="62"/>
      <c r="D76" s="48"/>
      <c r="E76" s="57"/>
      <c r="F76" s="57"/>
      <c r="G76" s="48"/>
      <c r="H76" s="48"/>
      <c r="I76" s="67"/>
      <c r="J76" s="62"/>
      <c r="K76" s="56"/>
    </row>
    <row r="77" spans="1:11">
      <c r="A77" s="47" t="s">
        <v>27</v>
      </c>
      <c r="B77" s="47" t="s">
        <v>4</v>
      </c>
      <c r="C77" s="62"/>
      <c r="D77" s="48"/>
      <c r="E77" s="62"/>
      <c r="F77" s="62"/>
      <c r="G77" s="48"/>
      <c r="H77" s="48"/>
      <c r="I77" s="66"/>
      <c r="J77" s="67"/>
      <c r="K77" s="50"/>
    </row>
    <row r="78" spans="1:11">
      <c r="A78" s="47" t="s">
        <v>27</v>
      </c>
      <c r="B78" s="47" t="s">
        <v>11</v>
      </c>
      <c r="C78" s="62"/>
      <c r="D78" s="48"/>
      <c r="E78" s="62"/>
      <c r="F78" s="62"/>
      <c r="G78" s="48"/>
      <c r="H78" s="48"/>
      <c r="I78" s="66"/>
      <c r="J78" s="67"/>
      <c r="K78" s="50"/>
    </row>
    <row r="79" spans="1:11">
      <c r="A79" s="47" t="s">
        <v>27</v>
      </c>
      <c r="B79" s="47" t="s">
        <v>14</v>
      </c>
      <c r="C79" s="62"/>
      <c r="D79" s="48"/>
      <c r="E79" s="62"/>
      <c r="F79" s="62"/>
      <c r="G79" s="48"/>
      <c r="H79" s="48"/>
      <c r="I79" s="66"/>
      <c r="J79" s="67"/>
      <c r="K79" s="50"/>
    </row>
    <row r="80" spans="1:11">
      <c r="A80" s="47" t="s">
        <v>27</v>
      </c>
      <c r="B80" s="47" t="s">
        <v>12</v>
      </c>
      <c r="C80" s="62"/>
      <c r="D80" s="48"/>
      <c r="E80" s="62"/>
      <c r="F80" s="62"/>
      <c r="G80" s="48"/>
      <c r="H80" s="48"/>
      <c r="I80" s="66"/>
      <c r="J80" s="67"/>
      <c r="K80" s="50"/>
    </row>
    <row r="81" spans="1:11">
      <c r="A81" s="47" t="s">
        <v>27</v>
      </c>
      <c r="B81" s="47" t="s">
        <v>13</v>
      </c>
      <c r="C81" s="62"/>
      <c r="D81" s="48"/>
      <c r="E81" s="62"/>
      <c r="F81" s="62"/>
      <c r="G81" s="48"/>
      <c r="H81" s="48"/>
      <c r="I81" s="66"/>
      <c r="J81" s="67"/>
      <c r="K81" s="50"/>
    </row>
    <row r="82" spans="1:11">
      <c r="A82" s="47" t="s">
        <v>27</v>
      </c>
      <c r="B82" s="47" t="s">
        <v>60</v>
      </c>
      <c r="C82" s="62"/>
      <c r="D82" s="48"/>
      <c r="E82" s="62"/>
      <c r="F82" s="62"/>
      <c r="G82" s="48"/>
      <c r="H82" s="48"/>
      <c r="I82" s="66"/>
      <c r="J82" s="67"/>
      <c r="K82" s="50"/>
    </row>
    <row r="83" spans="1:11">
      <c r="A83" s="47" t="s">
        <v>27</v>
      </c>
      <c r="B83" s="47" t="s">
        <v>15</v>
      </c>
      <c r="C83" s="62"/>
      <c r="D83" s="53"/>
      <c r="E83" s="62"/>
      <c r="F83" s="62"/>
      <c r="G83" s="54"/>
      <c r="H83" s="48"/>
      <c r="I83" s="62"/>
      <c r="J83" s="62"/>
      <c r="K83" s="47"/>
    </row>
    <row r="84" spans="1:11">
      <c r="A84" s="47" t="s">
        <v>27</v>
      </c>
      <c r="B84" s="47" t="s">
        <v>25</v>
      </c>
      <c r="C84" s="62"/>
      <c r="D84" s="48"/>
      <c r="E84" s="57"/>
      <c r="F84" s="57"/>
      <c r="G84" s="48"/>
      <c r="H84" s="48"/>
      <c r="I84" s="67"/>
      <c r="J84" s="62"/>
      <c r="K84" s="56"/>
    </row>
    <row r="85" spans="1:11">
      <c r="A85" s="47" t="s">
        <v>28</v>
      </c>
      <c r="B85" s="47" t="s">
        <v>4</v>
      </c>
      <c r="C85" s="62"/>
      <c r="D85" s="48"/>
      <c r="E85" s="62"/>
      <c r="F85" s="62"/>
      <c r="G85" s="48"/>
      <c r="H85" s="48"/>
      <c r="I85" s="66"/>
      <c r="J85" s="67"/>
      <c r="K85" s="50"/>
    </row>
    <row r="86" spans="1:11">
      <c r="A86" s="47" t="s">
        <v>28</v>
      </c>
      <c r="B86" s="47" t="s">
        <v>11</v>
      </c>
      <c r="C86" s="62"/>
      <c r="D86" s="48"/>
      <c r="E86" s="62"/>
      <c r="F86" s="62"/>
      <c r="G86" s="48"/>
      <c r="H86" s="48"/>
      <c r="I86" s="66"/>
      <c r="J86" s="67"/>
      <c r="K86" s="50"/>
    </row>
    <row r="87" spans="1:11">
      <c r="A87" s="47" t="s">
        <v>28</v>
      </c>
      <c r="B87" s="47" t="s">
        <v>14</v>
      </c>
      <c r="C87" s="62"/>
      <c r="D87" s="48"/>
      <c r="E87" s="62"/>
      <c r="F87" s="62"/>
      <c r="G87" s="48"/>
      <c r="H87" s="48"/>
      <c r="I87" s="66"/>
      <c r="J87" s="67"/>
      <c r="K87" s="50"/>
    </row>
    <row r="88" spans="1:11">
      <c r="A88" s="47" t="s">
        <v>28</v>
      </c>
      <c r="B88" s="47" t="s">
        <v>12</v>
      </c>
      <c r="C88" s="62"/>
      <c r="D88" s="48"/>
      <c r="E88" s="62"/>
      <c r="F88" s="62"/>
      <c r="G88" s="48"/>
      <c r="H88" s="48"/>
      <c r="I88" s="66"/>
      <c r="J88" s="67"/>
      <c r="K88" s="50"/>
    </row>
    <row r="89" spans="1:11">
      <c r="A89" s="47" t="s">
        <v>28</v>
      </c>
      <c r="B89" s="47" t="s">
        <v>13</v>
      </c>
      <c r="C89" s="62"/>
      <c r="D89" s="48"/>
      <c r="E89" s="62"/>
      <c r="F89" s="62"/>
      <c r="G89" s="48"/>
      <c r="H89" s="48"/>
      <c r="I89" s="66"/>
      <c r="J89" s="67"/>
      <c r="K89" s="50"/>
    </row>
    <row r="90" spans="1:11">
      <c r="A90" s="47" t="s">
        <v>28</v>
      </c>
      <c r="B90" s="47" t="s">
        <v>60</v>
      </c>
      <c r="C90" s="62"/>
      <c r="D90" s="48"/>
      <c r="E90" s="62"/>
      <c r="F90" s="62"/>
      <c r="G90" s="48"/>
      <c r="H90" s="48"/>
      <c r="I90" s="66"/>
      <c r="J90" s="67"/>
      <c r="K90" s="50"/>
    </row>
    <row r="91" spans="1:11">
      <c r="A91" s="47" t="s">
        <v>28</v>
      </c>
      <c r="B91" s="47" t="s">
        <v>15</v>
      </c>
      <c r="C91" s="62"/>
      <c r="D91" s="53"/>
      <c r="E91" s="62"/>
      <c r="F91" s="62"/>
      <c r="G91" s="48"/>
      <c r="H91" s="48"/>
      <c r="I91" s="62"/>
      <c r="J91" s="62"/>
      <c r="K91" s="47"/>
    </row>
    <row r="92" spans="1:11">
      <c r="A92" s="47" t="s">
        <v>28</v>
      </c>
      <c r="B92" s="47" t="s">
        <v>25</v>
      </c>
      <c r="C92" s="62"/>
      <c r="D92" s="48"/>
      <c r="E92" s="57"/>
      <c r="F92" s="57"/>
      <c r="G92" s="48"/>
      <c r="H92" s="48"/>
      <c r="I92" s="67"/>
      <c r="J92" s="62"/>
      <c r="K92" s="56"/>
    </row>
    <row r="93" spans="1:11">
      <c r="A93" s="47" t="s">
        <v>29</v>
      </c>
      <c r="B93" s="47" t="s">
        <v>4</v>
      </c>
      <c r="C93" s="62"/>
      <c r="D93" s="48"/>
      <c r="E93" s="62"/>
      <c r="F93" s="62"/>
      <c r="G93" s="48"/>
      <c r="H93" s="48"/>
      <c r="I93" s="66"/>
      <c r="J93" s="67"/>
      <c r="K93" s="50"/>
    </row>
    <row r="94" spans="1:11">
      <c r="A94" s="47" t="s">
        <v>29</v>
      </c>
      <c r="B94" s="47" t="s">
        <v>11</v>
      </c>
      <c r="C94" s="62"/>
      <c r="D94" s="48"/>
      <c r="E94" s="62"/>
      <c r="F94" s="62"/>
      <c r="G94" s="48"/>
      <c r="H94" s="48"/>
      <c r="I94" s="66"/>
      <c r="J94" s="67"/>
      <c r="K94" s="50"/>
    </row>
    <row r="95" spans="1:11">
      <c r="A95" s="47" t="s">
        <v>29</v>
      </c>
      <c r="B95" s="47" t="s">
        <v>14</v>
      </c>
      <c r="C95" s="62"/>
      <c r="D95" s="48"/>
      <c r="E95" s="62"/>
      <c r="F95" s="62"/>
      <c r="G95" s="48"/>
      <c r="H95" s="48"/>
      <c r="I95" s="66"/>
      <c r="J95" s="67"/>
      <c r="K95" s="50"/>
    </row>
    <row r="96" spans="1:11">
      <c r="A96" s="47" t="s">
        <v>29</v>
      </c>
      <c r="B96" s="47" t="s">
        <v>12</v>
      </c>
      <c r="C96" s="62"/>
      <c r="D96" s="48"/>
      <c r="E96" s="62"/>
      <c r="F96" s="62"/>
      <c r="G96" s="48"/>
      <c r="H96" s="48"/>
      <c r="I96" s="66"/>
      <c r="J96" s="67"/>
      <c r="K96" s="50"/>
    </row>
    <row r="97" spans="1:11">
      <c r="A97" s="47" t="s">
        <v>29</v>
      </c>
      <c r="B97" s="47" t="s">
        <v>13</v>
      </c>
      <c r="C97" s="62"/>
      <c r="D97" s="48"/>
      <c r="E97" s="62"/>
      <c r="F97" s="62"/>
      <c r="G97" s="48"/>
      <c r="H97" s="48"/>
      <c r="I97" s="66"/>
      <c r="J97" s="67"/>
      <c r="K97" s="50"/>
    </row>
    <row r="98" spans="1:11">
      <c r="A98" s="47" t="s">
        <v>29</v>
      </c>
      <c r="B98" s="47" t="s">
        <v>60</v>
      </c>
      <c r="C98" s="62"/>
      <c r="D98" s="48"/>
      <c r="E98" s="62"/>
      <c r="F98" s="62"/>
      <c r="G98" s="48"/>
      <c r="H98" s="48"/>
      <c r="I98" s="66"/>
      <c r="J98" s="67"/>
      <c r="K98" s="50"/>
    </row>
    <row r="99" spans="1:11">
      <c r="A99" s="47" t="s">
        <v>29</v>
      </c>
      <c r="B99" s="47" t="s">
        <v>15</v>
      </c>
      <c r="C99" s="62"/>
      <c r="D99" s="53"/>
      <c r="E99" s="62"/>
      <c r="F99" s="62"/>
      <c r="H99" s="47"/>
      <c r="I99" s="62"/>
      <c r="J99" s="62"/>
      <c r="K99" s="47"/>
    </row>
    <row r="100" spans="1:11">
      <c r="A100" s="47" t="s">
        <v>29</v>
      </c>
      <c r="B100" s="47" t="s">
        <v>25</v>
      </c>
      <c r="C100" s="62"/>
      <c r="D100" s="48"/>
      <c r="E100" s="57"/>
      <c r="F100" s="57"/>
      <c r="G100" s="48"/>
      <c r="H100" s="48"/>
      <c r="I100" s="67"/>
      <c r="J100" s="62"/>
      <c r="K100" s="56"/>
    </row>
    <row r="102" spans="1:11">
      <c r="D102">
        <f>SUM(D37:D44)</f>
        <v>5137</v>
      </c>
      <c r="E102">
        <f>SUM(E37:E44)</f>
        <v>5003578</v>
      </c>
      <c r="F102">
        <f>SUM(F37:F44)</f>
        <v>1081772</v>
      </c>
      <c r="G102">
        <f>SUM(G37:G44)</f>
        <v>70</v>
      </c>
    </row>
    <row r="105" spans="1:11">
      <c r="E105" s="70"/>
      <c r="F105" s="70"/>
    </row>
  </sheetData>
  <autoFilter ref="A1:K100" xr:uid="{C1023980-55E9-400E-B6EE-EEDF5B351DE4}"/>
  <sortState xmlns:xlrd2="http://schemas.microsoft.com/office/spreadsheetml/2017/richdata2" ref="A2:K92">
    <sortCondition ref="A2:A9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0880-7FEF-4075-AE85-48DF3A1B47BF}">
  <dimension ref="A1:N15"/>
  <sheetViews>
    <sheetView topLeftCell="A13" workbookViewId="0">
      <selection activeCell="E20" sqref="E20"/>
    </sheetView>
  </sheetViews>
  <sheetFormatPr baseColWidth="10" defaultRowHeight="15"/>
  <cols>
    <col min="1" max="1" width="28.7109375" style="27" customWidth="1"/>
    <col min="2" max="2" width="22.7109375" style="27" customWidth="1"/>
    <col min="3" max="3" width="20.7109375" style="27" customWidth="1"/>
    <col min="4" max="4" width="14.5703125" style="27" bestFit="1" customWidth="1"/>
    <col min="5" max="7" width="14.140625" style="27" bestFit="1" customWidth="1"/>
    <col min="8" max="16384" width="11.42578125" style="27"/>
  </cols>
  <sheetData>
    <row r="1" spans="1:14" ht="45">
      <c r="A1" s="30" t="s">
        <v>46</v>
      </c>
      <c r="B1" s="31" t="s">
        <v>34</v>
      </c>
      <c r="C1" s="32">
        <v>46023</v>
      </c>
      <c r="D1" s="32">
        <v>46054</v>
      </c>
      <c r="E1" s="32">
        <v>46082</v>
      </c>
      <c r="F1" s="32">
        <v>46113</v>
      </c>
      <c r="G1" s="32">
        <v>46143</v>
      </c>
      <c r="H1" s="32">
        <v>46174</v>
      </c>
      <c r="I1" s="32">
        <v>46204</v>
      </c>
      <c r="J1" s="32">
        <v>46235</v>
      </c>
      <c r="K1" s="32">
        <v>46266</v>
      </c>
      <c r="L1" s="32">
        <v>46296</v>
      </c>
      <c r="M1" s="32">
        <v>46327</v>
      </c>
      <c r="N1" s="32">
        <v>46357</v>
      </c>
    </row>
    <row r="2" spans="1:14">
      <c r="A2" s="29" t="s">
        <v>30</v>
      </c>
      <c r="B2" s="29" t="s">
        <v>31</v>
      </c>
      <c r="C2" s="33">
        <v>75</v>
      </c>
      <c r="D2" s="33">
        <v>68</v>
      </c>
      <c r="E2" s="33">
        <v>103</v>
      </c>
      <c r="F2" s="33">
        <v>68</v>
      </c>
      <c r="G2" s="33">
        <v>70</v>
      </c>
      <c r="H2" s="33"/>
      <c r="I2" s="33"/>
      <c r="J2" s="33"/>
      <c r="K2" s="33"/>
      <c r="L2" s="33"/>
      <c r="M2" s="33"/>
      <c r="N2" s="33"/>
    </row>
    <row r="3" spans="1:14">
      <c r="A3" s="29" t="s">
        <v>33</v>
      </c>
      <c r="B3" s="29" t="s">
        <v>32</v>
      </c>
      <c r="C3" s="33">
        <v>4739</v>
      </c>
      <c r="D3" s="33">
        <v>4229</v>
      </c>
      <c r="E3" s="33">
        <v>4942</v>
      </c>
      <c r="F3" s="33">
        <v>4990</v>
      </c>
      <c r="G3" s="33">
        <v>5137</v>
      </c>
      <c r="H3" s="33"/>
      <c r="I3" s="33"/>
      <c r="J3" s="33"/>
      <c r="K3" s="33"/>
      <c r="L3" s="33"/>
      <c r="M3" s="33"/>
      <c r="N3" s="33"/>
    </row>
    <row r="4" spans="1:14">
      <c r="A4" s="29" t="s">
        <v>30</v>
      </c>
      <c r="B4" s="29" t="s">
        <v>40</v>
      </c>
      <c r="C4" s="71">
        <v>1124121</v>
      </c>
      <c r="D4" s="71">
        <v>1055569</v>
      </c>
      <c r="E4" s="71">
        <v>1514924</v>
      </c>
      <c r="F4" s="71">
        <v>1055523</v>
      </c>
      <c r="G4" s="71">
        <v>1081772</v>
      </c>
      <c r="H4" s="33"/>
      <c r="I4" s="33"/>
      <c r="J4" s="33"/>
      <c r="K4" s="33"/>
      <c r="L4" s="33"/>
      <c r="M4" s="33"/>
      <c r="N4" s="33"/>
    </row>
    <row r="5" spans="1:14">
      <c r="A5" s="29" t="s">
        <v>33</v>
      </c>
      <c r="B5" s="29" t="s">
        <v>40</v>
      </c>
      <c r="C5" s="71">
        <v>4568018</v>
      </c>
      <c r="D5" s="71">
        <v>4078391</v>
      </c>
      <c r="E5" s="71">
        <v>4751407</v>
      </c>
      <c r="F5" s="71">
        <v>4453466</v>
      </c>
      <c r="G5" s="71">
        <v>5003578</v>
      </c>
      <c r="H5" s="33"/>
      <c r="I5" s="33"/>
      <c r="J5" s="33"/>
      <c r="K5" s="33"/>
      <c r="L5" s="33"/>
      <c r="M5" s="33"/>
      <c r="N5" s="33"/>
    </row>
    <row r="6" spans="1:14" ht="30">
      <c r="A6" s="29" t="s">
        <v>44</v>
      </c>
      <c r="B6" s="28" t="s">
        <v>45</v>
      </c>
      <c r="C6" s="33">
        <v>89</v>
      </c>
      <c r="D6" s="33">
        <v>90</v>
      </c>
      <c r="E6" s="69">
        <v>90</v>
      </c>
      <c r="F6" s="69">
        <v>92</v>
      </c>
      <c r="G6" s="69">
        <v>91</v>
      </c>
      <c r="H6" s="33"/>
      <c r="I6" s="33"/>
      <c r="J6" s="33"/>
      <c r="K6" s="33"/>
      <c r="L6" s="33"/>
      <c r="M6" s="33"/>
      <c r="N6" s="33"/>
    </row>
    <row r="7" spans="1:14" ht="30">
      <c r="A7" s="29" t="s">
        <v>47</v>
      </c>
      <c r="B7" s="28" t="s">
        <v>48</v>
      </c>
      <c r="C7" s="33">
        <v>714</v>
      </c>
      <c r="D7" s="33">
        <v>713</v>
      </c>
      <c r="E7" s="33">
        <v>698</v>
      </c>
      <c r="F7" s="33">
        <v>710</v>
      </c>
      <c r="G7" s="33">
        <v>688</v>
      </c>
      <c r="H7" s="33"/>
      <c r="I7" s="33"/>
      <c r="J7" s="33"/>
      <c r="K7" s="33"/>
      <c r="L7" s="33"/>
      <c r="M7" s="33"/>
      <c r="N7" s="33"/>
    </row>
    <row r="8" spans="1:14" ht="45">
      <c r="A8" s="28" t="s">
        <v>55</v>
      </c>
      <c r="B8" s="29" t="s">
        <v>31</v>
      </c>
      <c r="C8" s="35">
        <f>C6/C2</f>
        <v>1.1866666666666668</v>
      </c>
      <c r="D8" s="35">
        <f t="shared" ref="D8:G8" si="0">D6/D2</f>
        <v>1.3235294117647058</v>
      </c>
      <c r="E8" s="35">
        <f t="shared" si="0"/>
        <v>0.87378640776699024</v>
      </c>
      <c r="F8" s="35">
        <f t="shared" si="0"/>
        <v>1.3529411764705883</v>
      </c>
      <c r="G8" s="35">
        <f t="shared" si="0"/>
        <v>1.3</v>
      </c>
      <c r="H8" s="33"/>
      <c r="I8" s="33"/>
      <c r="J8" s="33"/>
      <c r="K8" s="33"/>
      <c r="L8" s="33"/>
      <c r="M8" s="33"/>
      <c r="N8" s="69"/>
    </row>
    <row r="9" spans="1:14" ht="60">
      <c r="A9" s="28" t="s">
        <v>56</v>
      </c>
      <c r="B9" s="29" t="s">
        <v>31</v>
      </c>
      <c r="C9" s="35">
        <f>C2/C7</f>
        <v>0.10504201680672269</v>
      </c>
      <c r="D9" s="35">
        <f t="shared" ref="D9:G9" si="1">D2/D7</f>
        <v>9.5371669004207571E-2</v>
      </c>
      <c r="E9" s="35">
        <f t="shared" si="1"/>
        <v>0.14756446991404013</v>
      </c>
      <c r="F9" s="35">
        <f t="shared" si="1"/>
        <v>9.5774647887323941E-2</v>
      </c>
      <c r="G9" s="35">
        <f t="shared" si="1"/>
        <v>0.10174418604651163</v>
      </c>
      <c r="H9" s="33"/>
      <c r="I9" s="33"/>
      <c r="J9" s="33"/>
      <c r="K9" s="33"/>
      <c r="L9" s="33"/>
      <c r="M9" s="33"/>
      <c r="N9" s="69"/>
    </row>
    <row r="10" spans="1:14" ht="60">
      <c r="A10" s="28" t="s">
        <v>57</v>
      </c>
      <c r="B10" s="29" t="s">
        <v>32</v>
      </c>
      <c r="C10" s="35">
        <f>C3/C6</f>
        <v>53.247191011235955</v>
      </c>
      <c r="D10" s="35">
        <f t="shared" ref="D10:G10" si="2">D3/D6</f>
        <v>46.988888888888887</v>
      </c>
      <c r="E10" s="35">
        <f t="shared" si="2"/>
        <v>54.911111111111111</v>
      </c>
      <c r="F10" s="35">
        <f t="shared" si="2"/>
        <v>54.239130434782609</v>
      </c>
      <c r="G10" s="35">
        <f t="shared" si="2"/>
        <v>56.450549450549453</v>
      </c>
      <c r="H10" s="33"/>
      <c r="I10" s="33"/>
      <c r="J10" s="33"/>
      <c r="K10" s="33"/>
      <c r="L10" s="33"/>
      <c r="M10" s="33"/>
      <c r="N10" s="69"/>
    </row>
    <row r="11" spans="1:14" ht="75">
      <c r="A11" s="28" t="s">
        <v>58</v>
      </c>
      <c r="B11" s="29" t="s">
        <v>32</v>
      </c>
      <c r="C11" s="35">
        <f>C3/C7</f>
        <v>6.6372549019607847</v>
      </c>
      <c r="D11" s="35">
        <f t="shared" ref="D11:G11" si="3">D3/D7</f>
        <v>5.9312762973352031</v>
      </c>
      <c r="E11" s="35">
        <f t="shared" si="3"/>
        <v>7.0802292263610314</v>
      </c>
      <c r="F11" s="35">
        <f t="shared" si="3"/>
        <v>7.028169014084507</v>
      </c>
      <c r="G11" s="35">
        <f t="shared" si="3"/>
        <v>7.4665697674418601</v>
      </c>
      <c r="H11" s="33"/>
      <c r="I11" s="33"/>
      <c r="J11" s="33"/>
      <c r="K11" s="33"/>
      <c r="L11" s="33"/>
      <c r="M11" s="33"/>
      <c r="N11" s="33"/>
    </row>
    <row r="12" spans="1:14" ht="45">
      <c r="A12" s="28" t="s">
        <v>55</v>
      </c>
      <c r="B12" s="29" t="s">
        <v>40</v>
      </c>
      <c r="C12" s="72">
        <f>C4/C6</f>
        <v>12630.573033707866</v>
      </c>
      <c r="D12" s="72">
        <f t="shared" ref="D12:G12" si="4">D4/D6</f>
        <v>11728.544444444444</v>
      </c>
      <c r="E12" s="72">
        <f t="shared" si="4"/>
        <v>16832.488888888889</v>
      </c>
      <c r="F12" s="72">
        <f t="shared" si="4"/>
        <v>11473.076086956522</v>
      </c>
      <c r="G12" s="72">
        <f t="shared" si="4"/>
        <v>11887.604395604396</v>
      </c>
      <c r="H12" s="33"/>
      <c r="I12" s="33"/>
      <c r="J12" s="33"/>
      <c r="K12" s="33"/>
      <c r="L12" s="33"/>
      <c r="M12" s="33"/>
      <c r="N12" s="33"/>
    </row>
    <row r="13" spans="1:14" ht="60">
      <c r="A13" s="28" t="s">
        <v>56</v>
      </c>
      <c r="B13" s="29" t="s">
        <v>40</v>
      </c>
      <c r="C13" s="72">
        <f>C4/C7</f>
        <v>1574.3991596638655</v>
      </c>
      <c r="D13" s="72">
        <f t="shared" ref="D13:G13" si="5">D4/D7</f>
        <v>1480.4614305750351</v>
      </c>
      <c r="E13" s="72">
        <f t="shared" si="5"/>
        <v>2170.3782234957021</v>
      </c>
      <c r="F13" s="72">
        <f t="shared" si="5"/>
        <v>1486.6521126760563</v>
      </c>
      <c r="G13" s="72">
        <f t="shared" si="5"/>
        <v>1572.3430232558139</v>
      </c>
      <c r="H13" s="33"/>
      <c r="I13" s="33"/>
      <c r="J13" s="33"/>
      <c r="K13" s="33"/>
      <c r="L13" s="33"/>
      <c r="M13" s="33"/>
      <c r="N13" s="33"/>
    </row>
    <row r="14" spans="1:14" ht="60">
      <c r="A14" s="28" t="s">
        <v>57</v>
      </c>
      <c r="B14" s="29" t="s">
        <v>40</v>
      </c>
      <c r="C14" s="72">
        <f>C5/C6</f>
        <v>51326.044943820227</v>
      </c>
      <c r="D14" s="72">
        <f t="shared" ref="D14:G14" si="6">D5/D6</f>
        <v>45315.455555555556</v>
      </c>
      <c r="E14" s="72">
        <f t="shared" si="6"/>
        <v>52793.411111111112</v>
      </c>
      <c r="F14" s="72">
        <f t="shared" si="6"/>
        <v>48407.239130434784</v>
      </c>
      <c r="G14" s="72">
        <f t="shared" si="6"/>
        <v>54984.373626373628</v>
      </c>
      <c r="H14" s="33"/>
      <c r="I14" s="33"/>
      <c r="J14" s="33"/>
      <c r="K14" s="33"/>
      <c r="L14" s="33"/>
      <c r="M14" s="33"/>
      <c r="N14" s="33"/>
    </row>
    <row r="15" spans="1:14" ht="75">
      <c r="A15" s="28" t="s">
        <v>58</v>
      </c>
      <c r="B15" s="29" t="s">
        <v>40</v>
      </c>
      <c r="C15" s="72">
        <f>C5/C7</f>
        <v>6397.7843137254904</v>
      </c>
      <c r="D15" s="72">
        <f t="shared" ref="D15:G15" si="7">D5/D7</f>
        <v>5720.04347826087</v>
      </c>
      <c r="E15" s="72">
        <f t="shared" si="7"/>
        <v>6807.1733524355304</v>
      </c>
      <c r="F15" s="72">
        <f t="shared" si="7"/>
        <v>6272.487323943662</v>
      </c>
      <c r="G15" s="72">
        <f t="shared" si="7"/>
        <v>7272.6424418604647</v>
      </c>
      <c r="H15" s="33"/>
      <c r="I15" s="33"/>
      <c r="J15" s="33"/>
      <c r="K15" s="33"/>
      <c r="L15" s="33"/>
      <c r="M15" s="33"/>
      <c r="N15" s="3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F2FA-9D0B-4B62-8E85-38E193CEB354}">
  <dimension ref="A1:D3"/>
  <sheetViews>
    <sheetView tabSelected="1" workbookViewId="0">
      <selection activeCell="H2" sqref="H2"/>
    </sheetView>
  </sheetViews>
  <sheetFormatPr baseColWidth="10" defaultRowHeight="15"/>
  <cols>
    <col min="1" max="1" width="20.42578125" customWidth="1"/>
    <col min="2" max="2" width="26.140625" customWidth="1"/>
    <col min="3" max="3" width="25" bestFit="1" customWidth="1"/>
  </cols>
  <sheetData>
    <row r="1" spans="1:4">
      <c r="A1" t="s">
        <v>70</v>
      </c>
      <c r="B1" t="s">
        <v>69</v>
      </c>
      <c r="C1" t="s">
        <v>68</v>
      </c>
    </row>
    <row r="2" spans="1:4" ht="114">
      <c r="A2" s="73" t="s">
        <v>61</v>
      </c>
      <c r="B2" s="74" t="s">
        <v>62</v>
      </c>
      <c r="C2" s="75" t="s">
        <v>63</v>
      </c>
      <c r="D2" s="75" t="s">
        <v>64</v>
      </c>
    </row>
    <row r="3" spans="1:4" ht="114">
      <c r="A3" s="73" t="s">
        <v>65</v>
      </c>
      <c r="B3" s="74" t="s">
        <v>66</v>
      </c>
      <c r="C3" s="75" t="s">
        <v>67</v>
      </c>
      <c r="D3" s="75" t="s">
        <v>64</v>
      </c>
    </row>
  </sheetData>
  <hyperlinks>
    <hyperlink ref="A2" display="Consumo de Energia" xr:uid="{481CD9A5-94F3-4397-A37B-EF0F81C4F2BA}"/>
    <hyperlink ref="A3" display="Consumo de Agua" xr:uid="{E2B5476C-1BDC-4184-BF71-129B816AB7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td 2025</vt:lpstr>
      <vt:lpstr>consolidado 2025</vt:lpstr>
      <vt:lpstr>Indicadores 2025</vt:lpstr>
      <vt:lpstr>Consolidado 2026</vt:lpstr>
      <vt:lpstr>Indicadores 2026</vt:lpstr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Chavarria</dc:creator>
  <cp:lastModifiedBy>Alejandra Betancur</cp:lastModifiedBy>
  <dcterms:created xsi:type="dcterms:W3CDTF">2022-01-31T17:23:45Z</dcterms:created>
  <dcterms:modified xsi:type="dcterms:W3CDTF">2026-07-28T23:26:46Z</dcterms:modified>
</cp:coreProperties>
</file>