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jandra.betancur\Desktop\TABLERO DE CONTROL GERENCIA 2026\PARA TRABAJAR TABLERO\"/>
    </mc:Choice>
  </mc:AlternateContent>
  <xr:revisionPtr revIDLastSave="0" documentId="13_ncr:1_{CFF879BF-B9DD-4726-93DA-6F724CE5D1BB}" xr6:coauthVersionLast="47" xr6:coauthVersionMax="47" xr10:uidLastSave="{00000000-0000-0000-0000-000000000000}"/>
  <bookViews>
    <workbookView xWindow="-120" yWindow="-120" windowWidth="20730" windowHeight="11040" tabRatio="791" xr2:uid="{00000000-000D-0000-FFFF-FFFF00000000}"/>
  </bookViews>
  <sheets>
    <sheet name="2026 INFRACCIONES " sheetId="5" r:id="rId1"/>
    <sheet name="CORRESPONDENCIA" sheetId="7" r:id="rId2"/>
    <sheet name="VALIDACIONES" sheetId="4" r:id="rId3"/>
    <sheet name="INFRACCIONES 2017-2024" sheetId="1" r:id="rId4"/>
  </sheets>
  <externalReferences>
    <externalReference r:id="rId5"/>
  </externalReferences>
  <definedNames>
    <definedName name="_xlnm._FilterDatabase" localSheetId="0" hidden="1">'2026 INFRACCIONES '!$A$1:$W$75</definedName>
    <definedName name="_xlnm._FilterDatabase" localSheetId="3" hidden="1">'INFRACCIONES 2017-2024'!$A$1:$P$425</definedName>
    <definedName name="_xlnm._FilterDatabase" localSheetId="2" hidden="1">VALIDACIONES!$A$1:$G$2</definedName>
    <definedName name="Z_8E53735F_36F0_42F4_A48C_203EA167752A_.wvu.FilterData" localSheetId="3" hidden="1">'INFRACCIONES 2017-2024'!$A$1:$P$425</definedName>
  </definedNames>
  <calcPr calcId="191028"/>
  <customWorkbookViews>
    <customWorkbookView name="Filtro 1" guid="{8E53735F-36F0-42F4-A48C-203EA167752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5" l="1"/>
  <c r="L74" i="5"/>
  <c r="M74" i="5"/>
  <c r="L75" i="5"/>
  <c r="M75" i="5"/>
  <c r="J74" i="5"/>
  <c r="J75" i="5"/>
  <c r="L65" i="5"/>
  <c r="M65" i="5"/>
  <c r="L66" i="5"/>
  <c r="M66" i="5"/>
  <c r="L67" i="5"/>
  <c r="M67" i="5"/>
  <c r="L68" i="5"/>
  <c r="M68" i="5"/>
  <c r="L69" i="5"/>
  <c r="M69" i="5"/>
  <c r="L70" i="5"/>
  <c r="M70" i="5"/>
  <c r="L71" i="5"/>
  <c r="M71" i="5"/>
  <c r="L72" i="5"/>
  <c r="M72" i="5"/>
  <c r="L73" i="5"/>
  <c r="M73" i="5"/>
  <c r="J65" i="5"/>
  <c r="J66" i="5"/>
  <c r="J67" i="5"/>
  <c r="J68" i="5"/>
  <c r="J69" i="5"/>
  <c r="J70" i="5"/>
  <c r="J71" i="5"/>
  <c r="J72" i="5"/>
  <c r="J73" i="5"/>
  <c r="L61" i="5"/>
  <c r="M61" i="5"/>
  <c r="L62" i="5"/>
  <c r="M62" i="5"/>
  <c r="L63" i="5"/>
  <c r="M63" i="5"/>
  <c r="L64" i="5"/>
  <c r="M64" i="5"/>
  <c r="J61" i="5"/>
  <c r="J62" i="5"/>
  <c r="J63" i="5"/>
  <c r="J64" i="5"/>
  <c r="M49" i="5"/>
  <c r="L49" i="5"/>
  <c r="J49" i="5"/>
  <c r="L51" i="5"/>
  <c r="M51" i="5"/>
  <c r="J51" i="5"/>
  <c r="M47" i="5"/>
  <c r="L47" i="5"/>
  <c r="J47" i="5"/>
  <c r="L50" i="5"/>
  <c r="M50" i="5"/>
  <c r="L52" i="5"/>
  <c r="M52" i="5"/>
  <c r="L53" i="5"/>
  <c r="M53" i="5"/>
  <c r="L54" i="5"/>
  <c r="M54" i="5"/>
  <c r="L55" i="5"/>
  <c r="M55" i="5"/>
  <c r="J50" i="5"/>
  <c r="J52" i="5"/>
  <c r="J53" i="5"/>
  <c r="J54" i="5"/>
  <c r="J55" i="5"/>
  <c r="L56" i="5"/>
  <c r="M56" i="5"/>
  <c r="L57" i="5"/>
  <c r="M57" i="5"/>
  <c r="L58" i="5"/>
  <c r="M58" i="5"/>
  <c r="L59" i="5"/>
  <c r="M59" i="5"/>
  <c r="L60" i="5"/>
  <c r="M60" i="5"/>
  <c r="J56" i="5"/>
  <c r="J58" i="5"/>
  <c r="J59" i="5"/>
  <c r="J60" i="5"/>
  <c r="L45" i="5"/>
  <c r="M45" i="5"/>
  <c r="L46" i="5"/>
  <c r="M46" i="5"/>
  <c r="L48" i="5"/>
  <c r="M48" i="5"/>
  <c r="J45" i="5" l="1"/>
  <c r="J46" i="5"/>
  <c r="J48" i="5"/>
  <c r="L35" i="5"/>
  <c r="M35" i="5"/>
  <c r="L36" i="5"/>
  <c r="M36" i="5"/>
  <c r="L37" i="5"/>
  <c r="M37" i="5"/>
  <c r="L38" i="5"/>
  <c r="M38" i="5"/>
  <c r="L39" i="5"/>
  <c r="M39" i="5"/>
  <c r="L40" i="5"/>
  <c r="M40" i="5"/>
  <c r="L41" i="5"/>
  <c r="M41" i="5"/>
  <c r="L42" i="5"/>
  <c r="M42" i="5"/>
  <c r="L43" i="5"/>
  <c r="M43" i="5"/>
  <c r="L44" i="5"/>
  <c r="M44" i="5"/>
  <c r="J35" i="5"/>
  <c r="J36" i="5"/>
  <c r="J37" i="5"/>
  <c r="J38" i="5"/>
  <c r="J39" i="5"/>
  <c r="J40" i="5"/>
  <c r="J41" i="5"/>
  <c r="J42" i="5"/>
  <c r="J43" i="5"/>
  <c r="J44" i="5"/>
  <c r="L32" i="5"/>
  <c r="M32" i="5"/>
  <c r="L33" i="5"/>
  <c r="M33" i="5"/>
  <c r="L34" i="5"/>
  <c r="M34" i="5"/>
  <c r="J32" i="5"/>
  <c r="J33" i="5"/>
  <c r="J34" i="5"/>
  <c r="J31" i="5"/>
  <c r="J30" i="5"/>
  <c r="J29" i="5"/>
  <c r="J28" i="5"/>
  <c r="J27" i="5"/>
  <c r="J26" i="5"/>
  <c r="J25" i="5"/>
  <c r="J24" i="5"/>
  <c r="L27" i="5"/>
  <c r="M25" i="5"/>
  <c r="M27" i="5"/>
  <c r="M28" i="5"/>
  <c r="M29" i="5"/>
  <c r="M30" i="5"/>
  <c r="M31" i="5"/>
  <c r="L25" i="5"/>
  <c r="L28" i="5"/>
  <c r="L29" i="5"/>
  <c r="L30" i="5"/>
  <c r="L31" i="5"/>
  <c r="L24" i="5"/>
  <c r="M24" i="5"/>
  <c r="L23" i="5"/>
  <c r="M23" i="5"/>
  <c r="J23" i="5"/>
  <c r="J21" i="5"/>
  <c r="M18" i="5"/>
  <c r="M19" i="5"/>
  <c r="M20" i="5"/>
  <c r="M21" i="5"/>
  <c r="M22" i="5"/>
  <c r="L18" i="5"/>
  <c r="L19" i="5"/>
  <c r="L20" i="5"/>
  <c r="L21" i="5"/>
  <c r="L22" i="5"/>
  <c r="J18" i="5" l="1"/>
  <c r="J19" i="5"/>
  <c r="J20" i="5"/>
  <c r="J22" i="5"/>
  <c r="L3" i="5" l="1"/>
  <c r="M3" i="5"/>
  <c r="L4" i="5"/>
  <c r="M4" i="5"/>
  <c r="L5" i="5"/>
  <c r="M5" i="5"/>
  <c r="L6" i="5"/>
  <c r="M6" i="5"/>
  <c r="L7" i="5"/>
  <c r="M7" i="5"/>
  <c r="L8" i="5"/>
  <c r="M8" i="5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16" i="5"/>
  <c r="M16" i="5"/>
  <c r="L17" i="5"/>
  <c r="M17" i="5"/>
  <c r="M2" i="5"/>
  <c r="L2" i="5"/>
  <c r="B14" i="5"/>
  <c r="J12" i="5" l="1"/>
  <c r="J13" i="5"/>
  <c r="J14" i="5"/>
  <c r="J15" i="5"/>
  <c r="J16" i="5"/>
  <c r="J17" i="5"/>
  <c r="J9" i="5"/>
  <c r="J10" i="5"/>
  <c r="J11" i="5"/>
  <c r="J7" i="5"/>
  <c r="J6" i="5"/>
  <c r="B3" i="5"/>
  <c r="B4" i="5"/>
  <c r="B5" i="5"/>
  <c r="B6" i="5"/>
  <c r="B7" i="5"/>
  <c r="B8" i="5"/>
  <c r="B9" i="5"/>
  <c r="B11" i="5"/>
  <c r="B13" i="5"/>
  <c r="B15" i="5"/>
  <c r="B16" i="5"/>
  <c r="B17" i="5"/>
  <c r="B2" i="5"/>
  <c r="J2" i="5"/>
  <c r="J3" i="5"/>
  <c r="J4" i="5"/>
  <c r="J5" i="5"/>
  <c r="N444" i="1"/>
  <c r="N445" i="1"/>
  <c r="N446" i="1"/>
  <c r="N447" i="1"/>
  <c r="N448" i="1"/>
  <c r="N449" i="1"/>
  <c r="N450" i="1"/>
  <c r="N451" i="1"/>
  <c r="N452" i="1"/>
  <c r="N453" i="1"/>
  <c r="N443" i="1"/>
  <c r="I454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I455" i="1"/>
  <c r="I453" i="1"/>
  <c r="I452" i="1"/>
  <c r="I451" i="1"/>
  <c r="I450" i="1"/>
  <c r="I449" i="1"/>
  <c r="I448" i="1"/>
  <c r="I447" i="1"/>
  <c r="I446" i="1"/>
  <c r="I445" i="1"/>
  <c r="I444" i="1"/>
  <c r="O438" i="1"/>
  <c r="O439" i="1"/>
  <c r="O440" i="1"/>
  <c r="O441" i="1"/>
  <c r="O442" i="1"/>
  <c r="O443" i="1"/>
  <c r="N438" i="1"/>
  <c r="N439" i="1"/>
  <c r="N440" i="1"/>
  <c r="N441" i="1"/>
  <c r="N442" i="1"/>
  <c r="I443" i="1"/>
  <c r="I442" i="1"/>
  <c r="I441" i="1"/>
  <c r="I440" i="1"/>
  <c r="I439" i="1"/>
  <c r="I438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O436" i="1"/>
  <c r="O437" i="1"/>
  <c r="O429" i="1"/>
  <c r="O430" i="1"/>
  <c r="O431" i="1"/>
  <c r="O432" i="1"/>
  <c r="O433" i="1"/>
  <c r="O434" i="1"/>
  <c r="O435" i="1"/>
  <c r="O422" i="1"/>
  <c r="O423" i="1"/>
  <c r="O424" i="1"/>
  <c r="O425" i="1"/>
  <c r="O426" i="1"/>
  <c r="O427" i="1"/>
  <c r="O428" i="1"/>
  <c r="O416" i="1"/>
  <c r="O417" i="1"/>
  <c r="O418" i="1"/>
  <c r="O419" i="1"/>
  <c r="O420" i="1"/>
  <c r="O421" i="1"/>
  <c r="O412" i="1"/>
  <c r="O413" i="1"/>
  <c r="O414" i="1"/>
  <c r="O41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I422" i="1"/>
  <c r="I423" i="1"/>
  <c r="I425" i="1"/>
  <c r="O385" i="1"/>
  <c r="O376" i="1"/>
  <c r="O377" i="1"/>
  <c r="O378" i="1"/>
  <c r="O379" i="1"/>
  <c r="O380" i="1"/>
  <c r="O381" i="1"/>
  <c r="O382" i="1"/>
  <c r="O383" i="1"/>
  <c r="O384" i="1"/>
  <c r="O371" i="1"/>
  <c r="O372" i="1"/>
  <c r="O373" i="1"/>
  <c r="O374" i="1"/>
  <c r="O375" i="1"/>
  <c r="O369" i="1"/>
  <c r="O370" i="1"/>
  <c r="O365" i="1"/>
  <c r="O366" i="1"/>
  <c r="O367" i="1"/>
  <c r="O368" i="1"/>
  <c r="O360" i="1"/>
  <c r="O361" i="1"/>
  <c r="O362" i="1"/>
  <c r="O363" i="1"/>
  <c r="O364" i="1"/>
  <c r="O359" i="1"/>
  <c r="O355" i="1"/>
  <c r="O356" i="1"/>
  <c r="O357" i="1"/>
  <c r="O358" i="1"/>
  <c r="O354" i="1"/>
  <c r="N354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I327" i="1"/>
  <c r="I328" i="1"/>
  <c r="I329" i="1"/>
  <c r="I313" i="1"/>
  <c r="I311" i="1"/>
  <c r="I310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2" i="1"/>
  <c r="I309" i="1"/>
  <c r="I308" i="1"/>
  <c r="I307" i="1"/>
  <c r="I306" i="1"/>
  <c r="I305" i="1"/>
  <c r="I304" i="1"/>
  <c r="I303" i="1"/>
  <c r="O302" i="1"/>
  <c r="N302" i="1"/>
  <c r="I302" i="1"/>
  <c r="O301" i="1"/>
  <c r="N301" i="1"/>
  <c r="I301" i="1"/>
  <c r="O300" i="1"/>
  <c r="N300" i="1"/>
  <c r="I300" i="1"/>
  <c r="O299" i="1"/>
  <c r="N299" i="1"/>
  <c r="I299" i="1"/>
  <c r="O298" i="1"/>
  <c r="N298" i="1"/>
  <c r="I298" i="1"/>
  <c r="O297" i="1"/>
  <c r="N297" i="1"/>
  <c r="I297" i="1"/>
  <c r="O296" i="1"/>
  <c r="N296" i="1"/>
  <c r="I296" i="1"/>
  <c r="O295" i="1"/>
  <c r="N295" i="1"/>
  <c r="I295" i="1"/>
  <c r="O294" i="1"/>
  <c r="N294" i="1"/>
  <c r="I294" i="1"/>
  <c r="O293" i="1"/>
  <c r="N293" i="1"/>
  <c r="I293" i="1"/>
  <c r="O292" i="1"/>
  <c r="N292" i="1"/>
  <c r="I292" i="1"/>
  <c r="O291" i="1"/>
  <c r="N291" i="1"/>
  <c r="I291" i="1"/>
  <c r="O290" i="1"/>
  <c r="N290" i="1"/>
  <c r="I290" i="1"/>
  <c r="O289" i="1"/>
  <c r="N289" i="1"/>
  <c r="I289" i="1"/>
  <c r="O288" i="1"/>
  <c r="N288" i="1"/>
  <c r="I288" i="1"/>
  <c r="O287" i="1"/>
  <c r="N287" i="1"/>
  <c r="I287" i="1"/>
  <c r="O286" i="1"/>
  <c r="N286" i="1"/>
  <c r="I286" i="1"/>
  <c r="O285" i="1"/>
  <c r="N285" i="1"/>
  <c r="I285" i="1"/>
  <c r="O284" i="1"/>
  <c r="N284" i="1"/>
  <c r="I284" i="1"/>
  <c r="O283" i="1"/>
  <c r="N283" i="1"/>
  <c r="I283" i="1"/>
  <c r="O282" i="1"/>
  <c r="N282" i="1"/>
  <c r="I282" i="1"/>
  <c r="O281" i="1"/>
  <c r="N281" i="1"/>
  <c r="I281" i="1"/>
  <c r="O280" i="1"/>
  <c r="N280" i="1"/>
  <c r="I280" i="1"/>
  <c r="O279" i="1"/>
  <c r="N279" i="1"/>
  <c r="I279" i="1"/>
  <c r="O278" i="1"/>
  <c r="N278" i="1"/>
  <c r="I278" i="1"/>
  <c r="O277" i="1"/>
  <c r="N277" i="1"/>
  <c r="I277" i="1"/>
  <c r="O276" i="1"/>
  <c r="N276" i="1"/>
  <c r="I276" i="1"/>
  <c r="O275" i="1"/>
  <c r="N275" i="1"/>
  <c r="I275" i="1"/>
  <c r="O274" i="1"/>
  <c r="N274" i="1"/>
  <c r="I274" i="1"/>
  <c r="O273" i="1"/>
  <c r="N273" i="1"/>
  <c r="I273" i="1"/>
  <c r="O272" i="1"/>
  <c r="N272" i="1"/>
  <c r="I272" i="1"/>
  <c r="O271" i="1"/>
  <c r="N271" i="1"/>
  <c r="I271" i="1"/>
  <c r="O270" i="1"/>
  <c r="N270" i="1"/>
  <c r="I270" i="1"/>
  <c r="O269" i="1"/>
  <c r="N269" i="1"/>
  <c r="I269" i="1"/>
  <c r="O268" i="1"/>
  <c r="N268" i="1"/>
  <c r="I268" i="1"/>
  <c r="O267" i="1"/>
  <c r="N267" i="1"/>
  <c r="I267" i="1"/>
  <c r="O266" i="1"/>
  <c r="N266" i="1"/>
  <c r="I266" i="1"/>
  <c r="O265" i="1"/>
  <c r="N265" i="1"/>
  <c r="I265" i="1"/>
  <c r="O264" i="1"/>
  <c r="N264" i="1"/>
  <c r="I264" i="1"/>
  <c r="O263" i="1"/>
  <c r="N263" i="1"/>
  <c r="I263" i="1"/>
  <c r="O262" i="1"/>
  <c r="N262" i="1"/>
  <c r="I262" i="1"/>
  <c r="O261" i="1"/>
  <c r="N261" i="1"/>
  <c r="I261" i="1"/>
  <c r="O260" i="1"/>
  <c r="N260" i="1"/>
  <c r="I260" i="1"/>
  <c r="O259" i="1"/>
  <c r="N259" i="1"/>
  <c r="I259" i="1"/>
  <c r="O258" i="1"/>
  <c r="N258" i="1"/>
  <c r="I258" i="1"/>
  <c r="O257" i="1"/>
  <c r="N257" i="1"/>
  <c r="I257" i="1"/>
  <c r="O256" i="1"/>
  <c r="N256" i="1"/>
  <c r="I256" i="1"/>
  <c r="O255" i="1"/>
  <c r="N255" i="1"/>
  <c r="I255" i="1"/>
  <c r="O254" i="1"/>
  <c r="N254" i="1"/>
  <c r="I254" i="1"/>
  <c r="O253" i="1"/>
  <c r="N253" i="1"/>
  <c r="I253" i="1"/>
  <c r="O252" i="1"/>
  <c r="N252" i="1"/>
  <c r="I252" i="1"/>
  <c r="O251" i="1"/>
  <c r="N251" i="1"/>
  <c r="I251" i="1"/>
  <c r="O250" i="1"/>
  <c r="N250" i="1"/>
  <c r="I250" i="1"/>
  <c r="O249" i="1"/>
  <c r="N249" i="1"/>
  <c r="I249" i="1"/>
  <c r="O248" i="1"/>
  <c r="N248" i="1"/>
  <c r="I248" i="1"/>
  <c r="O247" i="1"/>
  <c r="N247" i="1"/>
  <c r="I247" i="1"/>
  <c r="O246" i="1"/>
  <c r="N246" i="1"/>
  <c r="I246" i="1"/>
  <c r="O245" i="1"/>
  <c r="N245" i="1"/>
  <c r="I245" i="1"/>
  <c r="O244" i="1"/>
  <c r="N244" i="1"/>
  <c r="I244" i="1"/>
  <c r="O243" i="1"/>
  <c r="N243" i="1"/>
  <c r="I243" i="1"/>
  <c r="O242" i="1"/>
  <c r="N242" i="1"/>
  <c r="I242" i="1"/>
  <c r="O241" i="1"/>
  <c r="N241" i="1"/>
  <c r="I241" i="1"/>
  <c r="O240" i="1"/>
  <c r="N240" i="1"/>
  <c r="I240" i="1"/>
  <c r="O239" i="1"/>
  <c r="N239" i="1"/>
  <c r="I239" i="1"/>
  <c r="O238" i="1"/>
  <c r="N238" i="1"/>
  <c r="I238" i="1"/>
  <c r="O237" i="1"/>
  <c r="N237" i="1"/>
  <c r="I237" i="1"/>
  <c r="O236" i="1"/>
  <c r="N236" i="1"/>
  <c r="I236" i="1"/>
  <c r="O235" i="1"/>
  <c r="N235" i="1"/>
  <c r="I235" i="1"/>
  <c r="O234" i="1"/>
  <c r="N234" i="1"/>
  <c r="I234" i="1"/>
  <c r="O233" i="1"/>
  <c r="N233" i="1"/>
  <c r="I233" i="1"/>
  <c r="O232" i="1"/>
  <c r="N232" i="1"/>
  <c r="I232" i="1"/>
  <c r="O231" i="1"/>
  <c r="N231" i="1"/>
  <c r="I231" i="1"/>
  <c r="O230" i="1"/>
  <c r="N230" i="1"/>
  <c r="I230" i="1"/>
  <c r="O229" i="1"/>
  <c r="N229" i="1"/>
  <c r="I229" i="1"/>
  <c r="O228" i="1"/>
  <c r="N228" i="1"/>
  <c r="I228" i="1"/>
  <c r="O227" i="1"/>
  <c r="N227" i="1"/>
  <c r="I227" i="1"/>
  <c r="O226" i="1"/>
  <c r="N226" i="1"/>
  <c r="I226" i="1"/>
  <c r="O225" i="1"/>
  <c r="N225" i="1"/>
  <c r="I225" i="1"/>
  <c r="O224" i="1"/>
  <c r="N224" i="1"/>
  <c r="I224" i="1"/>
  <c r="O223" i="1"/>
  <c r="N223" i="1"/>
  <c r="I223" i="1"/>
  <c r="O222" i="1"/>
  <c r="N222" i="1"/>
  <c r="I222" i="1"/>
  <c r="O221" i="1"/>
  <c r="N221" i="1"/>
  <c r="I221" i="1"/>
  <c r="O220" i="1"/>
  <c r="N220" i="1"/>
  <c r="I220" i="1"/>
  <c r="O219" i="1"/>
  <c r="N219" i="1"/>
  <c r="I219" i="1"/>
  <c r="O218" i="1"/>
  <c r="N218" i="1"/>
  <c r="I218" i="1"/>
  <c r="O217" i="1"/>
  <c r="N217" i="1"/>
  <c r="I217" i="1"/>
  <c r="O216" i="1"/>
  <c r="N216" i="1"/>
  <c r="I216" i="1"/>
  <c r="O215" i="1"/>
  <c r="N215" i="1"/>
  <c r="I215" i="1"/>
  <c r="O214" i="1"/>
  <c r="N214" i="1"/>
  <c r="I214" i="1"/>
  <c r="O213" i="1"/>
  <c r="N213" i="1"/>
  <c r="I213" i="1"/>
  <c r="O212" i="1"/>
  <c r="N212" i="1"/>
  <c r="I212" i="1"/>
  <c r="O211" i="1"/>
  <c r="N211" i="1"/>
  <c r="I211" i="1"/>
  <c r="O210" i="1"/>
  <c r="N210" i="1"/>
  <c r="I210" i="1"/>
  <c r="O209" i="1"/>
  <c r="N209" i="1"/>
  <c r="I209" i="1"/>
  <c r="O208" i="1"/>
  <c r="N208" i="1"/>
  <c r="I208" i="1"/>
  <c r="O207" i="1"/>
  <c r="N207" i="1"/>
  <c r="I207" i="1"/>
  <c r="O206" i="1"/>
  <c r="N206" i="1"/>
  <c r="I206" i="1"/>
  <c r="O205" i="1"/>
  <c r="N205" i="1"/>
  <c r="I205" i="1"/>
  <c r="O204" i="1"/>
  <c r="N204" i="1"/>
  <c r="I204" i="1"/>
  <c r="O203" i="1"/>
  <c r="N203" i="1"/>
  <c r="I203" i="1"/>
  <c r="O202" i="1"/>
  <c r="N202" i="1"/>
  <c r="I202" i="1"/>
  <c r="O201" i="1"/>
  <c r="N201" i="1"/>
  <c r="I201" i="1"/>
  <c r="O200" i="1"/>
  <c r="N200" i="1"/>
  <c r="I200" i="1"/>
  <c r="O199" i="1"/>
  <c r="N199" i="1"/>
  <c r="I199" i="1"/>
  <c r="O198" i="1"/>
  <c r="N198" i="1"/>
  <c r="I198" i="1"/>
  <c r="O197" i="1"/>
  <c r="N197" i="1"/>
  <c r="I197" i="1"/>
  <c r="O196" i="1"/>
  <c r="N196" i="1"/>
  <c r="I196" i="1"/>
  <c r="O195" i="1"/>
  <c r="N195" i="1"/>
  <c r="I195" i="1"/>
  <c r="O194" i="1"/>
  <c r="N194" i="1"/>
  <c r="I194" i="1"/>
  <c r="O193" i="1"/>
  <c r="N193" i="1"/>
  <c r="I193" i="1"/>
  <c r="O192" i="1"/>
  <c r="N192" i="1"/>
  <c r="I192" i="1"/>
  <c r="O191" i="1"/>
  <c r="N191" i="1"/>
  <c r="I191" i="1"/>
  <c r="O190" i="1"/>
  <c r="N190" i="1"/>
  <c r="I190" i="1"/>
  <c r="O189" i="1"/>
  <c r="N189" i="1"/>
  <c r="I189" i="1"/>
  <c r="O188" i="1"/>
  <c r="N188" i="1"/>
  <c r="I188" i="1"/>
  <c r="O187" i="1"/>
  <c r="N187" i="1"/>
  <c r="I187" i="1"/>
  <c r="O186" i="1"/>
  <c r="N186" i="1"/>
  <c r="I186" i="1"/>
  <c r="O185" i="1"/>
  <c r="N185" i="1"/>
  <c r="I185" i="1"/>
  <c r="O184" i="1"/>
  <c r="N184" i="1"/>
  <c r="I184" i="1"/>
  <c r="O183" i="1"/>
  <c r="N183" i="1"/>
  <c r="I183" i="1"/>
  <c r="O182" i="1"/>
  <c r="N182" i="1"/>
  <c r="I182" i="1"/>
  <c r="O181" i="1"/>
  <c r="N181" i="1"/>
  <c r="I181" i="1"/>
  <c r="O180" i="1"/>
  <c r="N180" i="1"/>
  <c r="I180" i="1"/>
  <c r="O179" i="1"/>
  <c r="N179" i="1"/>
  <c r="I179" i="1"/>
  <c r="O178" i="1"/>
  <c r="N178" i="1"/>
  <c r="I178" i="1"/>
  <c r="O177" i="1"/>
  <c r="N177" i="1"/>
  <c r="I177" i="1"/>
  <c r="O176" i="1"/>
  <c r="N176" i="1"/>
  <c r="I176" i="1"/>
  <c r="O175" i="1"/>
  <c r="N175" i="1"/>
  <c r="I175" i="1"/>
  <c r="O174" i="1"/>
  <c r="N174" i="1"/>
  <c r="I174" i="1"/>
  <c r="O173" i="1"/>
  <c r="N173" i="1"/>
  <c r="I173" i="1"/>
  <c r="O172" i="1"/>
  <c r="N172" i="1"/>
  <c r="I172" i="1"/>
  <c r="O171" i="1"/>
  <c r="N171" i="1"/>
  <c r="I171" i="1"/>
  <c r="O170" i="1"/>
  <c r="N170" i="1"/>
  <c r="I170" i="1"/>
  <c r="O169" i="1"/>
  <c r="N169" i="1"/>
  <c r="I169" i="1"/>
  <c r="O168" i="1"/>
  <c r="N168" i="1"/>
  <c r="I168" i="1"/>
  <c r="O167" i="1"/>
  <c r="N167" i="1"/>
  <c r="I167" i="1"/>
  <c r="O166" i="1"/>
  <c r="N166" i="1"/>
  <c r="I166" i="1"/>
  <c r="O165" i="1"/>
  <c r="N165" i="1"/>
  <c r="I165" i="1"/>
  <c r="O164" i="1"/>
  <c r="N164" i="1"/>
  <c r="I164" i="1"/>
  <c r="O163" i="1"/>
  <c r="N163" i="1"/>
  <c r="I163" i="1"/>
  <c r="O162" i="1"/>
  <c r="N162" i="1"/>
  <c r="I162" i="1"/>
  <c r="O161" i="1"/>
  <c r="N161" i="1"/>
  <c r="I161" i="1"/>
  <c r="O160" i="1"/>
  <c r="N160" i="1"/>
  <c r="I160" i="1"/>
  <c r="O159" i="1"/>
  <c r="N159" i="1"/>
  <c r="I159" i="1"/>
  <c r="O158" i="1"/>
  <c r="N158" i="1"/>
  <c r="I158" i="1"/>
  <c r="O157" i="1"/>
  <c r="N157" i="1"/>
  <c r="I157" i="1"/>
  <c r="O156" i="1"/>
  <c r="N156" i="1"/>
  <c r="I156" i="1"/>
  <c r="O155" i="1"/>
  <c r="N155" i="1"/>
  <c r="I155" i="1"/>
  <c r="O154" i="1"/>
  <c r="N154" i="1"/>
  <c r="I154" i="1"/>
  <c r="O153" i="1"/>
  <c r="N153" i="1"/>
  <c r="I153" i="1"/>
  <c r="O152" i="1"/>
  <c r="N152" i="1"/>
  <c r="I152" i="1"/>
  <c r="O151" i="1"/>
  <c r="N151" i="1"/>
  <c r="I151" i="1"/>
  <c r="O150" i="1"/>
  <c r="N150" i="1"/>
  <c r="I150" i="1"/>
  <c r="O149" i="1"/>
  <c r="N149" i="1"/>
  <c r="I149" i="1"/>
  <c r="O148" i="1"/>
  <c r="N148" i="1"/>
  <c r="I148" i="1"/>
  <c r="O147" i="1"/>
  <c r="N147" i="1"/>
  <c r="I147" i="1"/>
  <c r="O146" i="1"/>
  <c r="N146" i="1"/>
  <c r="I146" i="1"/>
  <c r="O145" i="1"/>
  <c r="N145" i="1"/>
  <c r="I145" i="1"/>
  <c r="O144" i="1"/>
  <c r="N144" i="1"/>
  <c r="I144" i="1"/>
  <c r="O143" i="1"/>
  <c r="N143" i="1"/>
  <c r="I143" i="1"/>
  <c r="O142" i="1"/>
  <c r="N142" i="1"/>
  <c r="I142" i="1"/>
  <c r="O141" i="1"/>
  <c r="N141" i="1"/>
  <c r="I141" i="1"/>
  <c r="O140" i="1"/>
  <c r="N140" i="1"/>
  <c r="I140" i="1"/>
  <c r="O139" i="1"/>
  <c r="N139" i="1"/>
  <c r="I139" i="1"/>
  <c r="O138" i="1"/>
  <c r="N138" i="1"/>
  <c r="I138" i="1"/>
  <c r="O137" i="1"/>
  <c r="N137" i="1"/>
  <c r="I137" i="1"/>
  <c r="O136" i="1"/>
  <c r="N136" i="1"/>
  <c r="I136" i="1"/>
  <c r="O135" i="1"/>
  <c r="N135" i="1"/>
  <c r="I135" i="1"/>
  <c r="O134" i="1"/>
  <c r="N134" i="1"/>
  <c r="I134" i="1"/>
  <c r="O133" i="1"/>
  <c r="N133" i="1"/>
  <c r="I133" i="1"/>
  <c r="O132" i="1"/>
  <c r="N132" i="1"/>
  <c r="I132" i="1"/>
  <c r="O131" i="1"/>
  <c r="N131" i="1"/>
  <c r="I131" i="1"/>
  <c r="O130" i="1"/>
  <c r="N130" i="1"/>
  <c r="I130" i="1"/>
  <c r="O129" i="1"/>
  <c r="N129" i="1"/>
  <c r="I129" i="1"/>
  <c r="O128" i="1"/>
  <c r="N128" i="1"/>
  <c r="I128" i="1"/>
  <c r="O127" i="1"/>
  <c r="N127" i="1"/>
  <c r="I127" i="1"/>
  <c r="O126" i="1"/>
  <c r="N126" i="1"/>
  <c r="I126" i="1"/>
  <c r="O125" i="1"/>
  <c r="N125" i="1"/>
  <c r="I125" i="1"/>
  <c r="O124" i="1"/>
  <c r="N124" i="1"/>
  <c r="I124" i="1"/>
  <c r="O123" i="1"/>
  <c r="N123" i="1"/>
  <c r="I123" i="1"/>
  <c r="O122" i="1"/>
  <c r="N122" i="1"/>
  <c r="I122" i="1"/>
  <c r="O121" i="1"/>
  <c r="N121" i="1"/>
  <c r="I121" i="1"/>
  <c r="O120" i="1"/>
  <c r="N120" i="1"/>
  <c r="I120" i="1"/>
  <c r="O119" i="1"/>
  <c r="N119" i="1"/>
  <c r="I119" i="1"/>
  <c r="O118" i="1"/>
  <c r="N118" i="1"/>
  <c r="I118" i="1"/>
  <c r="O117" i="1"/>
  <c r="N117" i="1"/>
  <c r="I117" i="1"/>
  <c r="O116" i="1"/>
  <c r="N116" i="1"/>
  <c r="I116" i="1"/>
  <c r="O115" i="1"/>
  <c r="N115" i="1"/>
  <c r="I115" i="1"/>
  <c r="O114" i="1"/>
  <c r="N114" i="1"/>
  <c r="I114" i="1"/>
  <c r="O113" i="1"/>
  <c r="N113" i="1"/>
  <c r="I113" i="1"/>
  <c r="O112" i="1"/>
  <c r="N112" i="1"/>
  <c r="I112" i="1"/>
  <c r="O111" i="1"/>
  <c r="N111" i="1"/>
  <c r="I111" i="1"/>
  <c r="O110" i="1"/>
  <c r="N110" i="1"/>
  <c r="I110" i="1"/>
  <c r="O109" i="1"/>
  <c r="N109" i="1"/>
  <c r="I109" i="1"/>
  <c r="O108" i="1"/>
  <c r="N108" i="1"/>
  <c r="I108" i="1"/>
  <c r="O107" i="1"/>
  <c r="N107" i="1"/>
  <c r="I107" i="1"/>
  <c r="O106" i="1"/>
  <c r="N106" i="1"/>
  <c r="I106" i="1"/>
  <c r="O105" i="1"/>
  <c r="N105" i="1"/>
  <c r="I105" i="1"/>
  <c r="O104" i="1"/>
  <c r="N104" i="1"/>
  <c r="I104" i="1"/>
  <c r="O103" i="1"/>
  <c r="N103" i="1"/>
  <c r="I103" i="1"/>
  <c r="O102" i="1"/>
  <c r="N102" i="1"/>
  <c r="I102" i="1"/>
  <c r="O101" i="1"/>
  <c r="N101" i="1"/>
  <c r="I101" i="1"/>
  <c r="O100" i="1"/>
  <c r="N100" i="1"/>
  <c r="I100" i="1"/>
  <c r="O99" i="1"/>
  <c r="N99" i="1"/>
  <c r="I99" i="1"/>
  <c r="O98" i="1"/>
  <c r="N98" i="1"/>
  <c r="I98" i="1"/>
  <c r="O97" i="1"/>
  <c r="N97" i="1"/>
  <c r="I97" i="1"/>
  <c r="O96" i="1"/>
  <c r="N96" i="1"/>
  <c r="I96" i="1"/>
  <c r="O95" i="1"/>
  <c r="N95" i="1"/>
  <c r="I95" i="1"/>
  <c r="O94" i="1"/>
  <c r="N94" i="1"/>
  <c r="I94" i="1"/>
  <c r="O93" i="1"/>
  <c r="N93" i="1"/>
  <c r="I93" i="1"/>
  <c r="O92" i="1"/>
  <c r="N92" i="1"/>
  <c r="I92" i="1"/>
  <c r="O91" i="1"/>
  <c r="N91" i="1"/>
  <c r="I91" i="1"/>
  <c r="O90" i="1"/>
  <c r="N90" i="1"/>
  <c r="I90" i="1"/>
  <c r="O89" i="1"/>
  <c r="N89" i="1"/>
  <c r="I89" i="1"/>
  <c r="O88" i="1"/>
  <c r="N88" i="1"/>
  <c r="I88" i="1"/>
  <c r="O87" i="1"/>
  <c r="N87" i="1"/>
  <c r="I87" i="1"/>
  <c r="O86" i="1"/>
  <c r="N86" i="1"/>
  <c r="I86" i="1"/>
  <c r="O85" i="1"/>
  <c r="N85" i="1"/>
  <c r="I85" i="1"/>
  <c r="O84" i="1"/>
  <c r="N84" i="1"/>
  <c r="I84" i="1"/>
  <c r="O83" i="1"/>
  <c r="N83" i="1"/>
  <c r="I83" i="1"/>
  <c r="O82" i="1"/>
  <c r="N82" i="1"/>
  <c r="I82" i="1"/>
  <c r="O81" i="1"/>
  <c r="I81" i="1"/>
  <c r="O80" i="1"/>
  <c r="I80" i="1"/>
  <c r="O79" i="1"/>
  <c r="I79" i="1"/>
  <c r="O78" i="1"/>
  <c r="I78" i="1"/>
  <c r="O77" i="1"/>
  <c r="I77" i="1"/>
  <c r="O76" i="1"/>
  <c r="I76" i="1"/>
  <c r="O75" i="1"/>
  <c r="I75" i="1"/>
  <c r="O74" i="1"/>
  <c r="I74" i="1"/>
  <c r="O73" i="1"/>
  <c r="I73" i="1"/>
  <c r="O72" i="1"/>
  <c r="I72" i="1"/>
  <c r="O71" i="1"/>
  <c r="I71" i="1"/>
  <c r="O70" i="1"/>
  <c r="I70" i="1"/>
  <c r="O69" i="1"/>
  <c r="I69" i="1"/>
  <c r="O68" i="1"/>
  <c r="I68" i="1"/>
  <c r="O67" i="1"/>
  <c r="I67" i="1"/>
  <c r="O66" i="1"/>
  <c r="I66" i="1"/>
  <c r="O65" i="1"/>
  <c r="I65" i="1"/>
  <c r="O64" i="1"/>
  <c r="I64" i="1"/>
  <c r="O63" i="1"/>
  <c r="N63" i="1"/>
  <c r="I63" i="1"/>
  <c r="O62" i="1"/>
  <c r="N62" i="1"/>
  <c r="I62" i="1"/>
  <c r="O61" i="1"/>
  <c r="N61" i="1"/>
  <c r="I61" i="1"/>
  <c r="O60" i="1"/>
  <c r="N60" i="1"/>
  <c r="I60" i="1"/>
  <c r="O59" i="1"/>
  <c r="N59" i="1"/>
  <c r="I59" i="1"/>
  <c r="O58" i="1"/>
  <c r="N58" i="1"/>
  <c r="I58" i="1"/>
  <c r="O57" i="1"/>
  <c r="N57" i="1"/>
  <c r="I57" i="1"/>
  <c r="O56" i="1"/>
  <c r="N56" i="1"/>
  <c r="I56" i="1"/>
  <c r="O55" i="1"/>
  <c r="N55" i="1"/>
  <c r="I55" i="1"/>
  <c r="O54" i="1"/>
  <c r="N54" i="1"/>
  <c r="I54" i="1"/>
  <c r="O53" i="1"/>
  <c r="N53" i="1"/>
  <c r="I53" i="1"/>
  <c r="O52" i="1"/>
  <c r="N52" i="1"/>
  <c r="I52" i="1"/>
  <c r="O51" i="1"/>
  <c r="N51" i="1"/>
  <c r="I51" i="1"/>
  <c r="O50" i="1"/>
  <c r="N50" i="1"/>
  <c r="I50" i="1"/>
  <c r="O49" i="1"/>
  <c r="N49" i="1"/>
  <c r="I49" i="1"/>
  <c r="O48" i="1"/>
  <c r="N48" i="1"/>
  <c r="I48" i="1"/>
  <c r="O47" i="1"/>
  <c r="N47" i="1"/>
  <c r="I47" i="1"/>
  <c r="O46" i="1"/>
  <c r="N46" i="1"/>
  <c r="I46" i="1"/>
  <c r="O45" i="1"/>
  <c r="N45" i="1"/>
  <c r="I45" i="1"/>
  <c r="O44" i="1"/>
  <c r="N44" i="1"/>
  <c r="I44" i="1"/>
  <c r="O43" i="1"/>
  <c r="N43" i="1"/>
  <c r="I43" i="1"/>
  <c r="O42" i="1"/>
  <c r="N42" i="1"/>
  <c r="I42" i="1"/>
  <c r="O41" i="1"/>
  <c r="N41" i="1"/>
  <c r="I41" i="1"/>
  <c r="O40" i="1"/>
  <c r="N40" i="1"/>
  <c r="I40" i="1"/>
  <c r="O39" i="1"/>
  <c r="N39" i="1"/>
  <c r="I39" i="1"/>
  <c r="O38" i="1"/>
  <c r="N38" i="1"/>
  <c r="I38" i="1"/>
  <c r="O37" i="1"/>
  <c r="N37" i="1"/>
  <c r="I37" i="1"/>
  <c r="O36" i="1"/>
  <c r="N36" i="1"/>
  <c r="I36" i="1"/>
  <c r="O35" i="1"/>
  <c r="N35" i="1"/>
  <c r="I35" i="1"/>
  <c r="O34" i="1"/>
  <c r="N34" i="1"/>
  <c r="I34" i="1"/>
  <c r="O33" i="1"/>
  <c r="N33" i="1"/>
  <c r="I33" i="1"/>
  <c r="O32" i="1"/>
  <c r="N32" i="1"/>
  <c r="I32" i="1"/>
  <c r="O31" i="1"/>
  <c r="N31" i="1"/>
  <c r="I31" i="1"/>
  <c r="O30" i="1"/>
  <c r="N30" i="1"/>
  <c r="I30" i="1"/>
  <c r="O29" i="1"/>
  <c r="N29" i="1"/>
  <c r="I29" i="1"/>
  <c r="O28" i="1"/>
  <c r="N28" i="1"/>
  <c r="I28" i="1"/>
  <c r="O27" i="1"/>
  <c r="N27" i="1"/>
  <c r="I27" i="1"/>
  <c r="O26" i="1"/>
  <c r="N26" i="1"/>
  <c r="I26" i="1"/>
  <c r="O25" i="1"/>
  <c r="N25" i="1"/>
  <c r="I25" i="1"/>
  <c r="O24" i="1"/>
  <c r="N24" i="1"/>
  <c r="I24" i="1"/>
  <c r="O23" i="1"/>
  <c r="N23" i="1"/>
  <c r="I23" i="1"/>
  <c r="O22" i="1"/>
  <c r="N22" i="1"/>
  <c r="I22" i="1"/>
  <c r="O21" i="1"/>
  <c r="N21" i="1"/>
  <c r="I21" i="1"/>
  <c r="O20" i="1"/>
  <c r="N20" i="1"/>
  <c r="I20" i="1"/>
  <c r="O19" i="1"/>
  <c r="N19" i="1"/>
  <c r="I19" i="1"/>
  <c r="O18" i="1"/>
  <c r="N18" i="1"/>
  <c r="I18" i="1"/>
  <c r="O17" i="1"/>
  <c r="N17" i="1"/>
  <c r="I17" i="1"/>
  <c r="O16" i="1"/>
  <c r="N16" i="1"/>
  <c r="I16" i="1"/>
  <c r="O15" i="1"/>
  <c r="N15" i="1"/>
  <c r="I15" i="1"/>
  <c r="O14" i="1"/>
  <c r="N14" i="1"/>
  <c r="I14" i="1"/>
  <c r="O13" i="1"/>
  <c r="N13" i="1"/>
  <c r="I13" i="1"/>
  <c r="O12" i="1"/>
  <c r="N12" i="1"/>
  <c r="I12" i="1"/>
  <c r="O11" i="1"/>
  <c r="N11" i="1"/>
  <c r="I11" i="1"/>
  <c r="O10" i="1"/>
  <c r="N10" i="1"/>
  <c r="I10" i="1"/>
  <c r="O9" i="1"/>
  <c r="N9" i="1"/>
  <c r="I9" i="1"/>
  <c r="O8" i="1"/>
  <c r="N8" i="1"/>
  <c r="I8" i="1"/>
  <c r="O7" i="1"/>
  <c r="N7" i="1"/>
  <c r="I7" i="1"/>
  <c r="O6" i="1"/>
  <c r="N6" i="1"/>
  <c r="I6" i="1"/>
  <c r="O5" i="1"/>
  <c r="N5" i="1"/>
  <c r="I5" i="1"/>
  <c r="O4" i="1"/>
  <c r="N4" i="1"/>
  <c r="I4" i="1"/>
  <c r="O3" i="1"/>
  <c r="N3" i="1"/>
  <c r="I3" i="1"/>
  <c r="O2" i="1"/>
  <c r="N2" i="1"/>
  <c r="I2" i="1"/>
</calcChain>
</file>

<file path=xl/sharedStrings.xml><?xml version="1.0" encoding="utf-8"?>
<sst xmlns="http://schemas.openxmlformats.org/spreadsheetml/2006/main" count="4996" uniqueCount="1072">
  <si>
    <t>Año</t>
  </si>
  <si>
    <t>Mes</t>
  </si>
  <si>
    <t>Cedula</t>
  </si>
  <si>
    <t>B15</t>
  </si>
  <si>
    <t>C02</t>
  </si>
  <si>
    <t>C06</t>
  </si>
  <si>
    <t>C11</t>
  </si>
  <si>
    <t>C14</t>
  </si>
  <si>
    <t>C24</t>
  </si>
  <si>
    <t>C26</t>
  </si>
  <si>
    <t>C29</t>
  </si>
  <si>
    <t>C35</t>
  </si>
  <si>
    <t>D02</t>
  </si>
  <si>
    <t>D03</t>
  </si>
  <si>
    <t>D04</t>
  </si>
  <si>
    <t>H13</t>
  </si>
  <si>
    <t>Estacionar un vehículo en los sitios prohibidos por el Código Nacional de Tránsito, reglamentado por la Res.3027.</t>
  </si>
  <si>
    <t>Conducir motocicleta sin observar las siguientes normas.(verlistadodesituaciones)</t>
  </si>
  <si>
    <t>Conducir un vehículo a velocidad superior a la máxima permitida, la cual deberá estar señalizada en forma sectorizada, no obstante esta no podrá ser superior a (verlistado)</t>
  </si>
  <si>
    <t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t>
  </si>
  <si>
    <t>Centros de Costos</t>
  </si>
  <si>
    <t>ADMINISTRATIVO</t>
  </si>
  <si>
    <t>CHEC</t>
  </si>
  <si>
    <t xml:space="preserve">CORPORACION AYUDA HUMANITARIA </t>
  </si>
  <si>
    <t xml:space="preserve">EPM NUEVO                     </t>
  </si>
  <si>
    <t>FLOTA PROPIA</t>
  </si>
  <si>
    <t>FUNDACION EPM</t>
  </si>
  <si>
    <t>GRUPO SURA</t>
  </si>
  <si>
    <t xml:space="preserve">ISAGEN - JAGUAS               </t>
  </si>
  <si>
    <t xml:space="preserve">JARDIN BOTANICO               </t>
  </si>
  <si>
    <t>UT MEJIA Y ACEVEDO SYE VOLQUET</t>
  </si>
  <si>
    <t>B10</t>
  </si>
  <si>
    <t>C31</t>
  </si>
  <si>
    <t>AGUIRRE OSORIO JUAN CAMILO</t>
  </si>
  <si>
    <t>ARENAS GALVIS KEVIN</t>
  </si>
  <si>
    <t>BOLIVAR IBARRA YOVAN ESTEBAN</t>
  </si>
  <si>
    <t>BURITICA ROJAS LUIS FELIPE</t>
  </si>
  <si>
    <t>CORREA GUZMAN JULIO EDUARDO</t>
  </si>
  <si>
    <t>ESPINOZA GUZMAN JUAN BAUTISTA</t>
  </si>
  <si>
    <t>GALLO MONTOYA JUAN PABLO</t>
  </si>
  <si>
    <t>GUTIERREZ  JHON JAIRO</t>
  </si>
  <si>
    <t>GUZMAN LOTERO CARLOS MARIO</t>
  </si>
  <si>
    <t>HOLGUIN LOPEZ HERMIS DE JESUS</t>
  </si>
  <si>
    <t>IZQUIERDO ACEVEDO DANIEL</t>
  </si>
  <si>
    <t>LEON MEJIA DARIO</t>
  </si>
  <si>
    <t>LLANO PEREZ ARMANDO ELADIO</t>
  </si>
  <si>
    <t>LOPEZ ECHEVERRY HECTOR RAMIRO</t>
  </si>
  <si>
    <t>LOPEZ VALENCIA YOJANA</t>
  </si>
  <si>
    <t>MURCIA OROZCO JOHN HAWER</t>
  </si>
  <si>
    <t>OSPINA LOPEZ JHON FREDY</t>
  </si>
  <si>
    <t>PEREZ GIRALDO RUBIEL</t>
  </si>
  <si>
    <t>PULGARIN CHALARCA JESUS ALBERTO</t>
  </si>
  <si>
    <t>RODRIGUEZ CASTANO SERGIO</t>
  </si>
  <si>
    <t>SANCHEZ  AGUDELO DEISY MIRELLA</t>
  </si>
  <si>
    <t>SANCHEZ JARAMILLO GUSTAVO DE JESUS</t>
  </si>
  <si>
    <t>SIERRA PEREZ ALEX JAMILTON</t>
  </si>
  <si>
    <t>TAMAYO PEREZ GUILLERMO LEON</t>
  </si>
  <si>
    <t>TORO LONDONO ANDRES ANTONIO</t>
  </si>
  <si>
    <t>UGHETTI ECHEVERRIA DAVID</t>
  </si>
  <si>
    <t>URIBE PULGARIN JOHN HENRY</t>
  </si>
  <si>
    <t>VALENCIA GIRALDO JOHN MARIO</t>
  </si>
  <si>
    <t>VELEZ VELEZ LUIS ORLANDO</t>
  </si>
  <si>
    <t>ZULUAGA VASQUEZ STIVEN</t>
  </si>
  <si>
    <t>Nombre completo</t>
  </si>
  <si>
    <t>Tipo de Contrato</t>
  </si>
  <si>
    <t>Ciudad</t>
  </si>
  <si>
    <t>Fecha Infracción</t>
  </si>
  <si>
    <t>Lugar de la Infraccion</t>
  </si>
  <si>
    <t>Código infracción</t>
  </si>
  <si>
    <t>Placa</t>
  </si>
  <si>
    <t>Descripción Infracciones</t>
  </si>
  <si>
    <t>Valor Infracción</t>
  </si>
  <si>
    <t>Tipo de Acción</t>
  </si>
  <si>
    <t>Fecha de Notificación</t>
  </si>
  <si>
    <t>Clase de Capacitación</t>
  </si>
  <si>
    <t>Control Infracciones</t>
  </si>
  <si>
    <t>ESTADO DEL EMPLEADO EN LA EMPRESA</t>
  </si>
  <si>
    <t>DEVOLUCION NOTIFICACION FIRMADA</t>
  </si>
  <si>
    <t>CAPACITACION Y EVALUACION</t>
  </si>
  <si>
    <t>INFRACCIÓN SE DA EN DESARROLLO DE LA LABOR</t>
  </si>
  <si>
    <t>ENTREGA COMPROBANTE DE PAGO</t>
  </si>
  <si>
    <t>Observaciones</t>
  </si>
  <si>
    <t>TERCEROS</t>
  </si>
  <si>
    <t>MEDELLIN</t>
  </si>
  <si>
    <t xml:space="preserve">Bello </t>
  </si>
  <si>
    <t>TAV412</t>
  </si>
  <si>
    <t>CAPACITACIÓN</t>
  </si>
  <si>
    <t>CAPACITACIÓN MANEJO DEFENSIVO</t>
  </si>
  <si>
    <t>NO PAGO</t>
  </si>
  <si>
    <t>ACTIVO</t>
  </si>
  <si>
    <t>NO</t>
  </si>
  <si>
    <t>SI</t>
  </si>
  <si>
    <t>Se le envia el mensaje los doccumenos pero solo contesta con un "OK", no se a podido tener una conversacion con el señor ya que no contesta llamadas</t>
  </si>
  <si>
    <t>Medellin</t>
  </si>
  <si>
    <t>PAGO</t>
  </si>
  <si>
    <t>el señor tiene una tutela por ese motivo no la  a pagado esperando que le quiten este informe, esta con el abogado.</t>
  </si>
  <si>
    <t>Santa Rosa de Osos</t>
  </si>
  <si>
    <t>F</t>
  </si>
  <si>
    <t>se refiere a la infracción de conducir bajo el influjo del alcohol o bajo los efectos de sustancias psicoactivas</t>
  </si>
  <si>
    <t>RETIRO</t>
  </si>
  <si>
    <t>MANIZALES</t>
  </si>
  <si>
    <t>Manizales</t>
  </si>
  <si>
    <t>AXC30E</t>
  </si>
  <si>
    <t>La Dorada</t>
  </si>
  <si>
    <t>Itagui</t>
  </si>
  <si>
    <t>FVY741</t>
  </si>
  <si>
    <t>ESL086</t>
  </si>
  <si>
    <t>JYY056</t>
  </si>
  <si>
    <t>Bello </t>
  </si>
  <si>
    <t>ABS962</t>
  </si>
  <si>
    <t>NQV89F</t>
  </si>
  <si>
    <t>Envigado</t>
  </si>
  <si>
    <t>EQX587</t>
  </si>
  <si>
    <t>JTY069</t>
  </si>
  <si>
    <t>CAPACITACION</t>
  </si>
  <si>
    <t>Barbosa</t>
  </si>
  <si>
    <t>NAH330</t>
  </si>
  <si>
    <t>CAPACITACIÓN EN NORMAS DE TRANSITO</t>
  </si>
  <si>
    <t>Bello</t>
  </si>
  <si>
    <t>TDK561</t>
  </si>
  <si>
    <t>ACUERDO DE PAGO</t>
  </si>
  <si>
    <t>Si</t>
  </si>
  <si>
    <t>No</t>
  </si>
  <si>
    <t>No tiene que realizar pago, solo curso</t>
  </si>
  <si>
    <t>WCQ092</t>
  </si>
  <si>
    <t>Sabaneta</t>
  </si>
  <si>
    <t>SLP053</t>
  </si>
  <si>
    <t>BUGALAGRANDE - DEPT VALLE</t>
  </si>
  <si>
    <t>YBE02E</t>
  </si>
  <si>
    <t>San Jeronimo - Dept Antioquia</t>
  </si>
  <si>
    <t>SNX263</t>
  </si>
  <si>
    <t>STE056</t>
  </si>
  <si>
    <t>CAPACITACIÓN POLITICAS DE SEGURIDAD VIAL</t>
  </si>
  <si>
    <t>Anserma</t>
  </si>
  <si>
    <t>GTU941</t>
  </si>
  <si>
    <t>ADMINISTRATIVOS</t>
  </si>
  <si>
    <t>ANV39H</t>
  </si>
  <si>
    <t>LKL764</t>
  </si>
  <si>
    <t>Itaguí</t>
  </si>
  <si>
    <t>JLM04H</t>
  </si>
  <si>
    <t>GDW677</t>
  </si>
  <si>
    <t>RAS977</t>
  </si>
  <si>
    <t>Guarne</t>
  </si>
  <si>
    <t>FCU876</t>
  </si>
  <si>
    <t>WCP673</t>
  </si>
  <si>
    <t>INACTIVO</t>
  </si>
  <si>
    <t>WLX424</t>
  </si>
  <si>
    <t>YAL23F</t>
  </si>
  <si>
    <t>STQ987</t>
  </si>
  <si>
    <t>La Estrella</t>
  </si>
  <si>
    <t>AVILEZ CRUZ JHAN CARLOS</t>
  </si>
  <si>
    <t>NNL198</t>
  </si>
  <si>
    <t>RUIZ GARCIA  FABIO LEON</t>
  </si>
  <si>
    <t xml:space="preserve">GRUPO SURA                    </t>
  </si>
  <si>
    <t>EOX592</t>
  </si>
  <si>
    <t>SANCHEZ  CASTANO  EMMANUEL</t>
  </si>
  <si>
    <t>WDZ203</t>
  </si>
  <si>
    <t>JKB54D</t>
  </si>
  <si>
    <t>TORRES GOMEZ FABIO ESTEBAN</t>
  </si>
  <si>
    <t>TKJ132</t>
  </si>
  <si>
    <t>GIRALDO CHALARCA DANIEL</t>
  </si>
  <si>
    <t>JARAMILLO USUGA BRANDON</t>
  </si>
  <si>
    <t>JYX641</t>
  </si>
  <si>
    <t>WILCHES BERRIO MOISES</t>
  </si>
  <si>
    <t>MEDICARTE</t>
  </si>
  <si>
    <t>D17</t>
  </si>
  <si>
    <t>CYX116</t>
  </si>
  <si>
    <t xml:space="preserve">ARBELAEZ SOTO LIZZETH </t>
  </si>
  <si>
    <t>WEO38G</t>
  </si>
  <si>
    <t xml:space="preserve">CADAVID GOMEZ FABIO NELSON </t>
  </si>
  <si>
    <t>Titiribi
VÍA NACIONA</t>
  </si>
  <si>
    <t>NNN114</t>
  </si>
  <si>
    <t>-</t>
  </si>
  <si>
    <t xml:space="preserve">DAVID BENJUMEA SIMON </t>
  </si>
  <si>
    <t>QJV19G</t>
  </si>
  <si>
    <t xml:space="preserve">GAVIRIA ESPINOSA CARLOS ARTURO </t>
  </si>
  <si>
    <t>EPM NUEVO</t>
  </si>
  <si>
    <t xml:space="preserve">Ya se encontraba paga y no quiso enviar comprobante de pago </t>
  </si>
  <si>
    <t xml:space="preserve">GOMEZ VIVEROS HENRY MARTIN </t>
  </si>
  <si>
    <t xml:space="preserve">CHEC                          </t>
  </si>
  <si>
    <t>C03</t>
  </si>
  <si>
    <t xml:space="preserve">IBARRA MONTALVO DAIVER ENRIQUE </t>
  </si>
  <si>
    <t>C07</t>
  </si>
  <si>
    <t>LKL968</t>
  </si>
  <si>
    <t xml:space="preserve">SANCHEZ CASTANO EMMANUEL </t>
  </si>
  <si>
    <t>SRJ25D</t>
  </si>
  <si>
    <t xml:space="preserve">SOLORZANO ARANGO CARLOS ANDRES </t>
  </si>
  <si>
    <t>Marinilla</t>
  </si>
  <si>
    <t xml:space="preserve">NNL532 </t>
  </si>
  <si>
    <t xml:space="preserve">Ya no labora </t>
  </si>
  <si>
    <t xml:space="preserve">VELEZ VELEZ LUIS ORLANDO </t>
  </si>
  <si>
    <t xml:space="preserve">JARAMILLO JARAMILLO ELKIN MAURICIO </t>
  </si>
  <si>
    <t xml:space="preserve">MARTINEZ PALOMO ZABDIEL </t>
  </si>
  <si>
    <t>GOY13F</t>
  </si>
  <si>
    <t>CEDULA</t>
  </si>
  <si>
    <t>NOMBRE</t>
  </si>
  <si>
    <t>MES</t>
  </si>
  <si>
    <t>AÑO</t>
  </si>
  <si>
    <t>CODIGO INFRACCIÓN</t>
  </si>
  <si>
    <t>TEXTO</t>
  </si>
  <si>
    <t>DESCRIPICIÓN</t>
  </si>
  <si>
    <t>VALOR LETRAS</t>
  </si>
  <si>
    <t>VALOR</t>
  </si>
  <si>
    <t>JHON FREDY CANO GOMEZ</t>
  </si>
  <si>
    <t>Diciembre</t>
  </si>
  <si>
    <t>Estacionar un vehículo en los sitios prohibidos</t>
  </si>
  <si>
    <t>Quinientos dos mil seiscientos veintiocho pesos moneda legal colombiana</t>
  </si>
  <si>
    <t xml:space="preserve"> $           572.628,00</t>
  </si>
  <si>
    <t>JHON JAIRO GUTIERREZ</t>
  </si>
  <si>
    <t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t>
  </si>
  <si>
    <t>No detenerse ante luz roja o PARE</t>
  </si>
  <si>
    <t xml:space="preserve"> $        1.145.029,00</t>
  </si>
  <si>
    <t>ALBERTO MUNOZ DIEZ</t>
  </si>
  <si>
    <t>ConducirsinportarelSeguroObligatoriodeAccidentesdetránsitoordenadoporlaley.Además,elvehículoseráinmovilizado.</t>
  </si>
  <si>
    <t>No portaba SOAT</t>
  </si>
  <si>
    <t xml:space="preserve"> $        1.145.040,00</t>
  </si>
  <si>
    <t xml:space="preserve">EDISON B SALDARRIAGA GUTIERREZ </t>
  </si>
  <si>
    <t>Excesos de velocidad</t>
  </si>
  <si>
    <t xml:space="preserve"> $           572.520,00</t>
  </si>
  <si>
    <t>JAIME ANDRES ZAPATA RUA</t>
  </si>
  <si>
    <t>MATEO GIRALDO GUTIERREZ</t>
  </si>
  <si>
    <t>JAIME ALBERTO ESCOBAR POSADA</t>
  </si>
  <si>
    <t xml:space="preserve"> $           572.498,00</t>
  </si>
  <si>
    <t>Código Infracción</t>
  </si>
  <si>
    <t>Infracción</t>
  </si>
  <si>
    <t>SMLDV</t>
  </si>
  <si>
    <t>Columna1</t>
  </si>
  <si>
    <t>Moto</t>
  </si>
  <si>
    <t>Carro</t>
  </si>
  <si>
    <t>NoAutomotor</t>
  </si>
  <si>
    <t>Tipo Contrato</t>
  </si>
  <si>
    <t>Capacitación</t>
  </si>
  <si>
    <t>Control infracciones</t>
  </si>
  <si>
    <t>Tipo de Accion</t>
  </si>
  <si>
    <t>ESTADO</t>
  </si>
  <si>
    <t>SI/NO</t>
  </si>
  <si>
    <t>A01</t>
  </si>
  <si>
    <t>No transitar por la derecha de la vía.</t>
  </si>
  <si>
    <t>$ 91,927</t>
  </si>
  <si>
    <t>ARMENIA</t>
  </si>
  <si>
    <t>CAPACITACIÓN SEGURIDAD VIAL Y MOVILIDAD</t>
  </si>
  <si>
    <t>A02</t>
  </si>
  <si>
    <t>Agarrarse de otro vehículo en movimiento.</t>
  </si>
  <si>
    <t>BOGOTA</t>
  </si>
  <si>
    <t>CAPACITACIÓN CONTROL DE EXCESOS DE VELOCIDAD</t>
  </si>
  <si>
    <t>SUSPENSION</t>
  </si>
  <si>
    <t>A03</t>
  </si>
  <si>
    <t>Transportar personas o cosas que disminuyen su visibilidad o incomoden la conducción.</t>
  </si>
  <si>
    <t>BUGA</t>
  </si>
  <si>
    <t>A04</t>
  </si>
  <si>
    <t>Transitar por andenes,aceras,puentes o demás lugares de uso exclusivo para el tránsito de personas.</t>
  </si>
  <si>
    <t>CALI</t>
  </si>
  <si>
    <t>N/A</t>
  </si>
  <si>
    <t>A05</t>
  </si>
  <si>
    <t>No respetar las señales de tránsito.</t>
  </si>
  <si>
    <t>IBAGUE</t>
  </si>
  <si>
    <t>A06</t>
  </si>
  <si>
    <t>Transitar sin los dispositivos luminosos requeridos.</t>
  </si>
  <si>
    <t>A07</t>
  </si>
  <si>
    <t>Transitar sin dispositivos que permitan la parada inmediata o con ellos, pero en estado de fectuoso.</t>
  </si>
  <si>
    <t>A08</t>
  </si>
  <si>
    <t>Transitarporzonasprohibidaso,poraquellasvíasendondelasautoridadescompetentesloprohíbano,conducirporvíasdiferentesaaquellasdiseñadasparaello,cuandolashubiere.</t>
  </si>
  <si>
    <t>PEREIRA</t>
  </si>
  <si>
    <t>A09</t>
  </si>
  <si>
    <t>Adelantar entre dos vehículos automotores que estén en sus respectivos carriles.</t>
  </si>
  <si>
    <t>POPAYAN</t>
  </si>
  <si>
    <t>A10</t>
  </si>
  <si>
    <t>Conducir por la vía férrea o por zonas de protección y seguridad.</t>
  </si>
  <si>
    <t>RIONEGRO</t>
  </si>
  <si>
    <t>A11</t>
  </si>
  <si>
    <t>Transitar por zonas restringidas o por vías de alta velocidad como autopistas y arterias.</t>
  </si>
  <si>
    <t>X</t>
  </si>
  <si>
    <t>SOGAMOSO</t>
  </si>
  <si>
    <t>A12</t>
  </si>
  <si>
    <t>Prestar servicio público con este tipo de vehículos. Además, el vehículo será inmovilizado por primera vez por 5días, 20 días por segunda vez y 40 días por tercera vez.</t>
  </si>
  <si>
    <t>MIEL</t>
  </si>
  <si>
    <t>B01</t>
  </si>
  <si>
    <t>Conducir un vehículo sin llevar consigo la licencia de conducción.</t>
  </si>
  <si>
    <t>$ 183,854</t>
  </si>
  <si>
    <t>SAN CARLOS</t>
  </si>
  <si>
    <t>B02</t>
  </si>
  <si>
    <t>Conducir un vehículo con la licencia de conducción vencida.</t>
  </si>
  <si>
    <t>JAGUAS</t>
  </si>
  <si>
    <t>B03</t>
  </si>
  <si>
    <t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t>
  </si>
  <si>
    <t>CALDERAS</t>
  </si>
  <si>
    <t>B04</t>
  </si>
  <si>
    <t>Conducir un vehículo con placas adulteradas, retocadas o alteradas.</t>
  </si>
  <si>
    <t>AMOYA</t>
  </si>
  <si>
    <t>B05</t>
  </si>
  <si>
    <t>Conducir un vehículo con una sola placa, o sin el permiso vigente expedido por autoridad de tránsito.</t>
  </si>
  <si>
    <t>B06</t>
  </si>
  <si>
    <t>Conducir un vehículo con placas falsas.</t>
  </si>
  <si>
    <t>B07</t>
  </si>
  <si>
    <t>No informar a la autoridad de tránsito competente el cambio de motor o color de un vehículo. En ambos casos, el vehículo será inmovilizado.</t>
  </si>
  <si>
    <t>B08</t>
  </si>
  <si>
    <t>No pagar el peaje en los sitios establecidos.</t>
  </si>
  <si>
    <t>B09</t>
  </si>
  <si>
    <t>Utilizar equipos de sonido a volúmenes que incomoden a los pasajeros de un vehículo de servicio público.</t>
  </si>
  <si>
    <t>Conducirunvehículoconvidriospolarizados,entintadosuoscurecidos,sinportarelpermisorespectivo,deacuerdoalareglamentaciónexistenteo,nollevarelvehículodeserviciopúblicocolectivourbanoconlosvidriostransparentes.</t>
  </si>
  <si>
    <t>B11</t>
  </si>
  <si>
    <t>Conducirunvehículoconpropaganda,publicidadoadhesivosensusvidriosqueobstaculicenlavisibilidad.</t>
  </si>
  <si>
    <t>B12</t>
  </si>
  <si>
    <t>No respetar las normas establecidas por la autoridad competente para el tránsito de cortejos fúnebres.</t>
  </si>
  <si>
    <t>B13</t>
  </si>
  <si>
    <t>Norespetarlasformacionesdetropas,lamarchadedesfiles,procesiones,entierros,filasestudiantilesylasmanifestacionespúblicasyactividadesdeportivas,debidamenteautorizadasporlasautoridadesdetránsito.</t>
  </si>
  <si>
    <t>B14</t>
  </si>
  <si>
    <t>RemolcarotrovehículoviolandolodispuestoenelArtículo72delCódigoNacionaldeTránsito.</t>
  </si>
  <si>
    <t>Conducirunvehículodeserviciopúblicoquenolleveelavisodetarifasoficialesencondicionesdefácillecturaparalospasajerosoposeeresteavisodeterioradooadulterado.</t>
  </si>
  <si>
    <t>B16</t>
  </si>
  <si>
    <t>Permitirqueenunvehículodeserviciopúblicoparatransportedepasajerossellevenanimalesuobjetosqueincomodenalospasajeros.</t>
  </si>
  <si>
    <t>B17</t>
  </si>
  <si>
    <t>Abandonarunvehículodeserviciopúblicoconpasajeros.</t>
  </si>
  <si>
    <t>B18</t>
  </si>
  <si>
    <t>Notransitarporelcarrilderechoelvehículodetransportepúblicoindividualcuandotransitasinpasajerosindicandoladisponibilidadparaprestarelservicio,medianteluzespecialolaseñalluminosadeestarlibre.</t>
  </si>
  <si>
    <t>B19</t>
  </si>
  <si>
    <t>Realizarelcargueodescarguedeunvehículoensitiosyhorasprohibidasporlasautoridadescompetentes,deacuerdoconloestablecidoenlasnormascorrespondientes.</t>
  </si>
  <si>
    <t>B20</t>
  </si>
  <si>
    <t>Transportarcarne,pescadooalimentosfácilmentecorruptibles,envehículosquenocumplanlascondicionesfijadasporelMinisteriodeTransporte.</t>
  </si>
  <si>
    <t>B21</t>
  </si>
  <si>
    <t>Lavarvehículosenvíapública,enríos,encanales,enquebradas,etc.</t>
  </si>
  <si>
    <t>B22</t>
  </si>
  <si>
    <t>Llevarniñosmenoresdediez(10)añosenelasientodelantero.</t>
  </si>
  <si>
    <t>B23</t>
  </si>
  <si>
    <t>Utilizarradios,equiposdesonidoodeamplificacionavolumenesquesuperanlosdecibelesmaximosestablecidosporlasautoridadesambientales.Deigualformautilizarpantallas,proyectoresdeimagenosimilaresenlapartedelanteradelosvehiculos,mientrasesteenmovimiento.</t>
  </si>
  <si>
    <t>C01</t>
  </si>
  <si>
    <t>Presentarlicenciadeconducciónadulteradaoajena,locualdarálugaralainmovilizacióndelvehículo.</t>
  </si>
  <si>
    <t>$ 344,727</t>
  </si>
  <si>
    <t>Bloquearunacalzadaointersecciónconunvehículo,salvocuandoelbloqueoobedezcaalaocurrenciadeunaccidente.</t>
  </si>
  <si>
    <t>C04</t>
  </si>
  <si>
    <t>Estacionarunvehículosintomarlassiguientesprecauciones:(verlistado)</t>
  </si>
  <si>
    <t>C05</t>
  </si>
  <si>
    <t>Noreducirlavelocidada30kilómetrosporhoraenlossiguientescasos:(Verlistado)</t>
  </si>
  <si>
    <t>Noutilizarelcinturóndeseguridadporpartedelosocupantesdelvehículoyloscinturonesdeseguridadenlosasientostraserosenlosvehículosfabricadosapartirdelaño2004.</t>
  </si>
  <si>
    <t>Dejardeseñalizar(verlistadodesituaciones)</t>
  </si>
  <si>
    <t>C08</t>
  </si>
  <si>
    <t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t>
  </si>
  <si>
    <t>C09</t>
  </si>
  <si>
    <t>Norespetarlasseñalesdedetenciónenelcrucedeunalíneaférreaaunadistanciamínimadecinco(5)metrosdelalíneaferrea,oconducirporlavíaférreaoporlaszonasdeprotecciónyseguridaddeella.</t>
  </si>
  <si>
    <t>C10</t>
  </si>
  <si>
    <t>Conducir un vehículo con una o varias puertas abiertas.</t>
  </si>
  <si>
    <t>Noportarcomomínimoelsiguienteequipodeprevenciónyseguridad.(verlistado)</t>
  </si>
  <si>
    <t>C12</t>
  </si>
  <si>
    <t>Proveerdecombustibleunvehículoautomotorconelmotorencendido,conpasajerosabordocuandoelvehículoesdeserviciopúblicoderadiodeacciónnacional,transporteespecialyescolaroproveerdecombustibleunvehículoderadiodeacciónmetropolitano,distritalomunicipalmientrasqueesténprestandoelservicio.</t>
  </si>
  <si>
    <t>C13</t>
  </si>
  <si>
    <t>Conducirunvehículoautomotorsinlasadaptacionespertinentes,cuandoelconductorpadecedelimitaciónfísica.</t>
  </si>
  <si>
    <t>Transitar por los siguientes sitios restringidos o en horas prohibidas por laautoridad competente. Además, el vehículo será inmovilizado.(verlistado)</t>
  </si>
  <si>
    <t>C15</t>
  </si>
  <si>
    <t>Conducir un vehículo, particular o de servicio público, excediendo la capacidad autorizada en la licencia de tránsito o tarjeta de operación.</t>
  </si>
  <si>
    <t>C16</t>
  </si>
  <si>
    <t>Conducirunvehículoescolarsinelpermisorespectivoolosdistintivosreglamentarios,estoes,nollevarloscoloresverdey/oblancodistribuidosalolargoyanchodelacarrocería,enlaparteposteriordelacarroceríadelvehículofranjasalternasdediez(10)centímetrosdeanchoencoloresamarilloynegro,coninclinaciónde45gradosyunaalturamínimade60c/tm;enlapartesuperiortraseraydelanteradelacarroceríaencaracteresdestacados,dealturamínimade10c/tm,nollevarlaleyenda"ESCOLAR",ademáselvehiculoseráinmovilizado.</t>
  </si>
  <si>
    <t>C17</t>
  </si>
  <si>
    <t>Circularconcombinacionesdevehículosdedos(2)omásunidadesremolcadas,sinautorizaciónespecialdeautoridadcompetente.</t>
  </si>
  <si>
    <t>C18</t>
  </si>
  <si>
    <t>Conducirunvehículoautorizadoparaprestarserviciopúblicoconeltaxímetrodañado,conlossellosrotosoetiquetasadhesivasconcalibraciónvencidaoadulteradasocuandosecarezcadeél,ocuandoaúnteniéndolo,nocumplaconlasnormasmínimasdecalidadyseguridadexigidosporlaautoridadcompetenteoestenoestéenfuncionamiento.</t>
  </si>
  <si>
    <t>C19</t>
  </si>
  <si>
    <t>Dejar o recoger pasajeros en sitios distintos de los demarcados porlasautoridades, al costado derecho de la vía, salvo en paraderos especiales de vías troncales que sean diseñadas y operadas con destinación exclusiva al transporte público masivo.</t>
  </si>
  <si>
    <t>C20</t>
  </si>
  <si>
    <t>Conducirunvehículodecargaenquesetransportenmaterialesdeconstrucciónoagranelsinlasmedidasdeprotección,higieneyseguridadordenadas;quenoestédebidamenteempacada,rotulada,embaladaycubiertaconformealanormatividadtécnicanacionalcuandoestaaplique,deacuerdoalasexigenciaspropiasdesunaturaleza.</t>
  </si>
  <si>
    <t>C21</t>
  </si>
  <si>
    <t>Noasegurarlacargaparaevitarquesecaiganenlavíalascosastransportadas.Además,seinmovilizaráelvehículohastatantoseremedielasituación.</t>
  </si>
  <si>
    <t>C22</t>
  </si>
  <si>
    <t>Transportarcargadedimensionessuperioresalasautorizadassincumplirconlosrequisitosexigidos.Además,elvehículoseráinmovilizadohastaqueseremediedichasituación.</t>
  </si>
  <si>
    <t>C23</t>
  </si>
  <si>
    <t>Impartirenvíaspúblicasalpúblicoenseñanzaprácticaparaconducir,sinestarautorizadoparaello.</t>
  </si>
  <si>
    <t>C25</t>
  </si>
  <si>
    <t>Transitarsinatenderalgunadelassiguientesreglas.(verlistadodesituaciones)</t>
  </si>
  <si>
    <t>Transitarenvehículosde3.5omástoneladasporelcarrilizquierdodelavíacuandohubieremásdeuncarril.</t>
  </si>
  <si>
    <t>C27</t>
  </si>
  <si>
    <t>Conducirunvehículocuyacargaopasajerosobstruyanlavisibilidaddelconductorhaciaelfrente,atrásocostados,oimpidanelcontrolsobreelsistemadedirección,frenososeguridad.Además,seráinmovilizado.</t>
  </si>
  <si>
    <t>C28</t>
  </si>
  <si>
    <t>Hacerusodesirenas,lucesintermitentes,odealtaintensidadyaparatossimilares,loscualesestánreservadosalosvehículosdebomberos,ambulancias,recolectoresdebasura,socorro,emergencia,fuerzasmilitares,policíayautoridadesdetránsitoytransporte;elusodecornetasenelperímetrourban;elusoeinstalación,encualquiervehiculodestinadoalacirculaciónenvíaspúblicas,detodaclasededispositivosoaccesoriosdiseñadosparaproducirruido,talescomoválvulas,resonadoresypitosadaptadosalossistemasdebajoydefrenosdeaire;elusoderesonadoresenelescapedegasesdecualquierfuentemóvilylacirculacióndevehiculosquenocuentenconsistemadesilenciadorencorrectoestadodefuncionamiento.</t>
  </si>
  <si>
    <t>C30</t>
  </si>
  <si>
    <t>No atenderunaseñaldecedaelpaso</t>
  </si>
  <si>
    <t>No acatar las señales o requerimientos impartidos por los agentes de Tránsito.</t>
  </si>
  <si>
    <t>C32</t>
  </si>
  <si>
    <t>Norespetarelpasodepeatonesquecruzanunavíaensitiopermitidoparaellosonodarleslaprelaciónenlasfranjasparaelloestablecidas.</t>
  </si>
  <si>
    <t>C33</t>
  </si>
  <si>
    <t>Ponerunvehículoenmarchasinlasprecaucionesparaevitarchoques.</t>
  </si>
  <si>
    <t>C34</t>
  </si>
  <si>
    <t>Repararunvehículoenlasvíaspúblicas,parqueoaceraohacerloencasodeemergencia,sinatenderelprocedimientoseñaladoenelCódigo.Orepararvehículosautomotoresenlazonadeseguridadyproteccióndelavíaférrea,enlospatiosdemaniobrasdelasestaciones,losapartaderosydemásanexidadesferroviarias.</t>
  </si>
  <si>
    <t>C36</t>
  </si>
  <si>
    <t>Transportar carga en contenedores sin los dispositivos especiales de sujeción. El vehículo será inmovilizado.</t>
  </si>
  <si>
    <t>C37</t>
  </si>
  <si>
    <t>Transportar pasajeros en el platón de una camioneta picó o en laplataforma de un vehículo de carga, trátese de furgón o plataforma de estacas.</t>
  </si>
  <si>
    <t>C38</t>
  </si>
  <si>
    <t>Usar sistemas móviles de comunicación o teléfonos instalados en los vehículos al momento de conducir, exceptuando si éstos son utilizados con accesorios o equipos auxiliares que permitan tener las manos libres.</t>
  </si>
  <si>
    <t>C39</t>
  </si>
  <si>
    <t>Vulnerar las reglas de estacionamientocontenidasenelarticulo77deestecódigo</t>
  </si>
  <si>
    <t>C40</t>
  </si>
  <si>
    <t>Losconductoresconmovilidadnormalqueestacionensusvehículosenlugarespúblicosdeestacionamientodemarcadosconelsímbolointernacionaldeaccesibilidadparalosautomotoresquetransportenoseanconducidosporpersonasconmovilidadreducidaovehículosparacentrosdeeducaciónespecialoderehabilitación(multade15salariosmínimos).</t>
  </si>
  <si>
    <t>D01</t>
  </si>
  <si>
    <t>Guiarunvehículosinhaberobtenidolalicenciadeconduccióncorrespondiente.Además,elvehículoseráinmovilizadoenellugardeloshechos,hastaqueéstesearetiradoporunapersonaautorizadaporelinfractorconlicenciadeconducción.</t>
  </si>
  <si>
    <t>$ 689,454</t>
  </si>
  <si>
    <t>Transitarensentidocontrarioalestipuladoparalavía,calzadaocarril.Enelcasodemotocicletaseprocederaasuinmovilizaciónhastatantonosepagueelvalordelamultaolaautoridadcompetentedecidasobresuimposicionenlosterminosdelosarticulos135y136delcódigonacionaldetránsito.</t>
  </si>
  <si>
    <t>D05</t>
  </si>
  <si>
    <t>Conducirunvehículosobreaceras,plazas,víaspeatonales,separadores,bermas,demarcacionesdecanalización,zonasverdesovíasespecialesparavehículosnomotorizados.Enelcasodemotocicletaseprocederaasuinmovilizaciónhastatantonosepagueelvalordelamultaolaautoridadcompetentedecidasobresuimposicionenlosterminosdelosarticulos135y136delcódigonacionaldetránsito.</t>
  </si>
  <si>
    <t>D06</t>
  </si>
  <si>
    <t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t>
  </si>
  <si>
    <t>D07</t>
  </si>
  <si>
    <t>Conducirrealizandomaniobrasaltamentepeligrosaseirresponsablesqueponganenpeligroalaspersonasolascosas.Enelcasodemotocicletaseprocederaasuinmovilizaciónhastatantonosepagueelvalordelamultaolaautoridadcompetentedecidasobresuimposicionenlosterminosdelosarticulos135y136delcódigonacionaldetránsito.</t>
  </si>
  <si>
    <t>D08</t>
  </si>
  <si>
    <t>Conducirunvehículosinlucesosinlosdispositivosluminososdeposición,direccionalesodefreno,oconalgunadeellasdañada,enlashorasocircunstanciasseñaladasacontinuación.Además,elvehículoseráinmovilizado,cuandonolefuncionendosomasdeestasluces.(verlistadodesituaciones).</t>
  </si>
  <si>
    <t>D09</t>
  </si>
  <si>
    <t>Nopermitirelpasodelosvehículosdeemergencia,estoes,ambulancias,vehículosdecuerpodebomberos,vehículosdesocorrooemergenciaydelapoliciaoejército.Elconductordebeorillarsealcostadoderechodelacalzadaocarrilydetenerelmovimientodelvehiculo,cuandoanunciesupresenciapormediodeluces,sirenas,campanasocualquierseñalópticaoaudible.</t>
  </si>
  <si>
    <t>D10</t>
  </si>
  <si>
    <t>Conducirunvehículoparatransporteescolarconexcesodevelocidad.Enlasvíasurbanas,lavelocidadnopodrásersuperiora(60)kilómetrosporhoraysiempreycuandoseencuentredebidamenteseñalizada.Enlascarreterasnacionalesydepartamentalesenningúncasolavelocidadpodrásersuperioraochenta(80)kilómetrosporhoraysiempreycuandoseencuentredebidamenteseñalizada.</t>
  </si>
  <si>
    <t>D11</t>
  </si>
  <si>
    <t>Permitirelserviciopúblicodepasajerosquenotengalasalidadeemergenciaencadaunodesuscostadosadicionalmentealapuertadeascensodepasajeros.Enestecaso,lamultaseimpondrásolidariamentealaempresaalacualestéafiliadoyalpropietario.Ysisetrataredeservicioparticular,seimpondrálasanciónsolidariamentealpropietario.</t>
  </si>
  <si>
    <t>D12</t>
  </si>
  <si>
    <t>Conducirunvehículoque,sinladebidaautorización,sedestineaunserviciodiferentedeaquelparaelcualtienelicenciadetránsito.Además,elvehículoseráinmovilizadoporprimeravez,poreltérminodecincodías,porsegundavezveintedíasyporterceravezcuarentadias.</t>
  </si>
  <si>
    <t>D13</t>
  </si>
  <si>
    <t>Encasodetransportarcargaconpesosuperioralautorizadoelvehículoseráinmovilizadoyelexcesodeberásertransbordado.</t>
  </si>
  <si>
    <t>D14</t>
  </si>
  <si>
    <t>Lasautoridadesdetránsitoordenaránlainmovilizacióninmediatadelosvehículosqueusenparasumovilizacióncombustiblesnoreguladoscomogaspropanouotrosqueponganenpeligrolavidadelosusuariosodelospeatones.</t>
  </si>
  <si>
    <t>D15</t>
  </si>
  <si>
    <t>Cambiodelrecorridootrazadodelarutaparavehículodeserviciodetransportepúblicodepasajeros,autorizadoporelorganismodetránsitocorrespondiente.Enestecaso,lamultaseimpondrásolidariamentealaempresaalacualestéafiliadoelvehículoyalpropietario.ademaselvehiculoserainmovilizado,salvocasosdefuerzamayorqueseandebidamenteautorizadosporelagentedetránsito.</t>
  </si>
  <si>
    <t>D16</t>
  </si>
  <si>
    <t>Arrojarresiduossólidosalespaciopúblicodesdeunvehículoautomotorodetracciónanimalohumana,estacionadooenmovimiento.</t>
  </si>
  <si>
    <t>Cuandosedetecteoadviertaunainfracciónalasnormasdeemisióncontaminantesodegeneraciónderuidoporvehículosautomotores</t>
  </si>
  <si>
    <t>E01</t>
  </si>
  <si>
    <t>Proveercombustibleavehículosdeserviciopúblicoconpasajerosabordo.</t>
  </si>
  <si>
    <t>$ 1,034,181</t>
  </si>
  <si>
    <t>E02</t>
  </si>
  <si>
    <t>Negarseaprestarelserviciopúblicosincausajustificada,siemprequedichanegativacausealteraciondelordenpúblico.</t>
  </si>
  <si>
    <t>E03</t>
  </si>
  <si>
    <t>Conducirenestadodeembriaguez,obajolosefectosdesustanciasalucinógenas,seatenderaaloestablecidoenelarticulo152deestecódigo.Sisetratadeconductoresdevehiculosdeserviciopublico,detransporteescolarodeinstructordeconducción,lamultapecuniariayelperiododesuspensiondelalicenciaseduplicarán.Entodosloscasosdeembriaguezelvehículoseráinmovilizadoyelestadodeembriaguezoalcoholemiaseestablecerámedianteunapruebaquenocauselesión,lacualserádeterminadaporelInstitutodeMedicinaLegalyCienciasForenses.</t>
  </si>
  <si>
    <t>E04</t>
  </si>
  <si>
    <t>Transportarenelmismovehículoyalmismotiempopersonasysustanciaspeligrosascomoexplosivos,tóxicos,radiactivos,combustiblesnoautorizadosetc.Enestoscasossesuspenderálalicenciaporun(1)añoypordos(2)añoscadavezquereincida.Elvehículoseráinmovilizadopor(1)añocadavez.</t>
  </si>
  <si>
    <t>F01</t>
  </si>
  <si>
    <t>Invadirlazonadestinadaaltránsitodevehículos,transitarenéstaenpatines,monopatines,patinetasosimilares.</t>
  </si>
  <si>
    <t>$ 22,982</t>
  </si>
  <si>
    <t>F02</t>
  </si>
  <si>
    <t>Llevar,sinlasdebidasprecauciones,elementosquepuedanobstaculizaroafectareltránsito.</t>
  </si>
  <si>
    <t>F03</t>
  </si>
  <si>
    <t>Cruzarporsitiosnopermitidosotransitarsobreel</t>
  </si>
  <si>
    <t>guardavías del ferrocarril.</t>
  </si>
  <si>
    <t>F04</t>
  </si>
  <si>
    <t>Colocarsedelanteodetrásdeunvehículoquetengaelmotorencendido.</t>
  </si>
  <si>
    <t>$ 17,853</t>
  </si>
  <si>
    <t>F05</t>
  </si>
  <si>
    <t>Remolcarsedevehículosenmovimiento.</t>
  </si>
  <si>
    <t>F06</t>
  </si>
  <si>
    <t>Actuardemaneraquepongaenpeligrosuintegridadfísica.</t>
  </si>
  <si>
    <t>F07</t>
  </si>
  <si>
    <t>Cruzarlavíaatravesandoeltráficovehicularenlugaresendondeexistenpasospeatonales.</t>
  </si>
  <si>
    <t>F08</t>
  </si>
  <si>
    <t>Ocuparlazonadeseguridadyproteccióndelavíaférrea,lacualseestableceaunadistancianomenorde(12)metrosaladoyladodelejedelavíaférrea.</t>
  </si>
  <si>
    <t>F09</t>
  </si>
  <si>
    <t>Subirseobajarsedelosvehículos,estandoéstosenmovimiento,cualquieraquesealaoperaciónomaniobraqueesténrealizando.</t>
  </si>
  <si>
    <t>F10</t>
  </si>
  <si>
    <t>Transitarporlostúneles,puentesyviaductosdelasvíasférreas.</t>
  </si>
  <si>
    <t>F11</t>
  </si>
  <si>
    <t>Enrelaciónconelsttmp,éstosnodebenocuparlazonadeseguridadycorredoresdetránsitodelosvehículosdelsttmp,fueradeloslugares</t>
  </si>
  <si>
    <t>expresamente autorizados y habilitados para ello.</t>
  </si>
  <si>
    <t>F12</t>
  </si>
  <si>
    <t>Dentrodelperímetrourbano,elcrucedebehacersesoloporlaszonasautorizadas,comolospuentespeatonales,lospasospeatonalesylasbocacalles.</t>
  </si>
  <si>
    <t>G01</t>
  </si>
  <si>
    <t>Elpasajeroqueseasorprendidofumandoenunvehículodeserviciopúblico,seráobligadoaabandonarelautomotorydeberáasistirauncursodeseguridadvial.Sisetrataredeconductor,éstetambiéndeberáasistirauncursodeseguridadvial.</t>
  </si>
  <si>
    <t>ComparendoEducativo</t>
  </si>
  <si>
    <t>$ 0</t>
  </si>
  <si>
    <t>G02</t>
  </si>
  <si>
    <t>LospeatonesyciclistasquenocumplanconlasdisposicionesdelCódigo,seránamonestadosydeberánasistirauncursoinformativo.Éstainfracciónseaplicacuandonohayaunaespecíficaparaaplicar.</t>
  </si>
  <si>
    <t>H01</t>
  </si>
  <si>
    <t>Circular portando defensas rígidas diferentes de las instaladas originalmente por el fabricante. El vehículo será inmovilizado preventivamente hasta que sean retiradas.</t>
  </si>
  <si>
    <t>Cursovial</t>
  </si>
  <si>
    <t>H02</t>
  </si>
  <si>
    <t>El conductor que no porte la licencia de tránsito, además el vehículo será inmovilizado.</t>
  </si>
  <si>
    <t>H03</t>
  </si>
  <si>
    <t>El conductor, pasajero o peaton, que obstaculice, perjudique o ponga en riesgo a las demas personas o que no cumpla las normas y señales de transito que le sean aplicables o no obedezca las indicaciones que les den las autoridades de tránsito.</t>
  </si>
  <si>
    <t>H04</t>
  </si>
  <si>
    <t>El conductor que no respete los derechos e integridad de los peatones.</t>
  </si>
  <si>
    <t>H05</t>
  </si>
  <si>
    <t>El conductor que no respete la prelacion de paso en intersecciones o giros o según la clasificacion de las vias o de los vehículos (artículo 105 del Código Nacional de Tránsito).</t>
  </si>
  <si>
    <t>H06</t>
  </si>
  <si>
    <t>El conductor que no tome las medidas necesarias para evitar el movimiento del vehiculo estacionado. en vehiculo de traccion animal no bloquear las ruedas para evitar su movimiento.</t>
  </si>
  <si>
    <t>H07</t>
  </si>
  <si>
    <t>El conductor que lleve pasajeros en la parte exterior del vehiculo, fuera de la cabina o en los estribos de los mismos. ademas el vehiculo sera inmovilizado preventivamente hasta que se subsane dicha situación.</t>
  </si>
  <si>
    <t>H08</t>
  </si>
  <si>
    <t>El conductor que porte luces exploradoras en la parte posterior del vehiculo. ademas el vehiculo sera inmovilizado preventivamente hasta que sean retiradas.</t>
  </si>
  <si>
    <t>H09</t>
  </si>
  <si>
    <t>El pasajero que profiera expresiones injriosas o groseras, promueva riñas o cause cualquier molestia a los demas pasajeros, ademas la orden de abandonar el vehiculo.</t>
  </si>
  <si>
    <t>H10</t>
  </si>
  <si>
    <t>Los conductores de vehiculos no automotores que incurran en las siguientes infracciones: a) transitar a
 una distancia mayor de un (1) metro de la acera u orilla o utilizar las vias exclusivas para ser</t>
  </si>
  <si>
    <t>H11</t>
  </si>
  <si>
    <t>Viajar los menores de dos (2) años solos en el asiento posterior sin hacer uso de una silla que garantice su seguridad y que permita su fijacion a el.</t>
  </si>
  <si>
    <t>H12</t>
  </si>
  <si>
    <t>Transitar en vehiculos de alto tonelaje por las vias de sitios que esten declarados o se declaren como monumentos de conservacion historica.</t>
  </si>
  <si>
    <t>Las demas conductas que constituyan infraccion a las normas de transito y que no se encuentren descritas en este acto administrativo.</t>
  </si>
  <si>
    <t>I01</t>
  </si>
  <si>
    <t>El conductor que sea sorprendido fumando mientras conduce (diez salarios mínimos legales diarios vigentes.</t>
  </si>
  <si>
    <t>$ 178,530</t>
  </si>
  <si>
    <t>I02</t>
  </si>
  <si>
    <t>QuienincumplalaobligaciónconsagradaenelArtículo21delCódigo,yselecompruebequeencasodeunaccidenteladeficienciadecarácterorgánicoofuncionalfuelacausa.100salariosmínimosdiarioslegalesvigentesylasuspensióndelalicenciadeconducciónporcinco(5)años.</t>
  </si>
  <si>
    <t>$ 1,785,300</t>
  </si>
  <si>
    <t>J01</t>
  </si>
  <si>
    <t>Elparticularuorganismoestatalquedañe,retireomodifiquelasseñalesuotroselementosreguladoresoindicadoresdeltráficoenlaCiudad.3salariosmínimoslegalesmensualesvigentes.</t>
  </si>
  <si>
    <t>$ 1,606,770</t>
  </si>
  <si>
    <t>J02</t>
  </si>
  <si>
    <t>Encasodeinmovilizacióndevehículosdeserviciopúblico,elincumplimientodelcompromisosuscritoporelpropietariooinfractordesubsanarlafaltaenunplazonomayoracinco(5)días,20salariosmínimoslegalesmensualesvigentes.</t>
  </si>
  <si>
    <t>$ 10,711,800</t>
  </si>
  <si>
    <t>J03</t>
  </si>
  <si>
    <t>Lasensambladorasofabricantesdevehículos,carrocerías,remolques,semirremolquesysimilares,quelosvendansinelrespectivomecanismodeidentificación.1000salariosmínimosdiarioslegalesvigentesporcadaunidadylacancelacióndelregistro.</t>
  </si>
  <si>
    <t>$ 17,853,000</t>
  </si>
  <si>
    <t>J04</t>
  </si>
  <si>
    <t>Elpropietariodeexpendioqueproveadecombustibleaunvehículoautomotordeserviciopúblicoconelmotorencendidoypasajerosabordo.100salariosmínimoslegalesdiariosvigentes.</t>
  </si>
  <si>
    <t>J05</t>
  </si>
  <si>
    <t>Elpropietariooadministradordelparqueaderoautorizadoparamaterializarlainmovilizacióndeunvehículo,quepermitalasalidadeunvehículoinmovilizadoporinfraccionesalasnormasdetránsito,sinordendelaautoridadcompetente.50salariosmínimoslegalesmensualesvigentes,sisetrataredeunparqueaderoautorizadono</t>
  </si>
  <si>
    <t>$ 26,779,500</t>
  </si>
  <si>
    <t>oficial,incurriráademásenlasuspensiónocancelacióndelaautorizacióndelpatio,parqueadero,deacuerdoconlagravedaddelafalta.</t>
  </si>
  <si>
    <t>J06</t>
  </si>
  <si>
    <t>Elpropietariooadministradordelparqueaderoautorizadoquenoentregueloselementoscontenidosenelvehículoyrelacionadosenelinventario,asícomolascondicionesdelestadoexteriordescritasasurecibo.20salariosmínimoslegalesmensualesvigentesyadicionalmentedeberáresponderporloselementosextraviados,dañadosoaveriados.</t>
  </si>
  <si>
    <t>Acuerdo de pago incumplido</t>
  </si>
  <si>
    <t>DEVOLUCION NOTIFICACION</t>
  </si>
  <si>
    <t>DEVOLUCION REGISTRO DE FORMACION</t>
  </si>
  <si>
    <t>JUAN MANUEL LOPEZ CUESTA</t>
  </si>
  <si>
    <t>EMTELCO</t>
  </si>
  <si>
    <t>05088000 Bello</t>
  </si>
  <si>
    <t>JULIAN ANDRES NARANJO GARCIA</t>
  </si>
  <si>
    <t>TELEFONICA DE PEREIRA</t>
  </si>
  <si>
    <t>76147000 Cartago</t>
  </si>
  <si>
    <t>WILFREDO DE JESUS ALARCA MEDINA</t>
  </si>
  <si>
    <t>EPM</t>
  </si>
  <si>
    <t>05847000 Urrao</t>
  </si>
  <si>
    <t>RUBEN DARIO HIGUITA DURAN</t>
  </si>
  <si>
    <t>05360000 Itaguí</t>
  </si>
  <si>
    <t>ALVARO SALAZAR GOMEZ</t>
  </si>
  <si>
    <t>66001000 Pereira</t>
  </si>
  <si>
    <t>HECTOR MAURICIO BOHORQUEZ CHICA</t>
  </si>
  <si>
    <t>SERV AMBIENTALES GEOGRAFICOS</t>
  </si>
  <si>
    <t>05266000 Envigado</t>
  </si>
  <si>
    <t>JUAN CARLOS LALINDE CASTRILLON</t>
  </si>
  <si>
    <t>DIEGO ARMANDO MONTOYA ARANGO</t>
  </si>
  <si>
    <t>05001000 Medellin</t>
  </si>
  <si>
    <t>FRANKLY MARINO OROZCO</t>
  </si>
  <si>
    <t>76001000 Cali</t>
  </si>
  <si>
    <t>762.33</t>
  </si>
  <si>
    <t>JHOVANNY ESNEIDER RAMIREZ RAMIREZ</t>
  </si>
  <si>
    <t>LUIS FERNANDO CARDONA RIVERA</t>
  </si>
  <si>
    <t>63001000 Armenia</t>
  </si>
  <si>
    <t>JAVIER DUQUE VARGAS</t>
  </si>
  <si>
    <t>LUIS MIGUEL GOMEZ CARO</t>
  </si>
  <si>
    <t>05380000 La Estrella</t>
  </si>
  <si>
    <t>ALVARO HERNAN LONDO¿O BETANCURT</t>
  </si>
  <si>
    <t>68276000 Floridablanca</t>
  </si>
  <si>
    <t>ILDEBRANDO GIRALDO GOMEZ</t>
  </si>
  <si>
    <t>05887000 Yarumal (Polca)</t>
  </si>
  <si>
    <t>RAMIRO FLOREZ NIETO</t>
  </si>
  <si>
    <t>JHON JAIRO SALAZAR BERRIO</t>
  </si>
  <si>
    <t>EMPRESA ENERGIA DE PEREIRA</t>
  </si>
  <si>
    <t>FRANCISCO JAVIER NORE¿A HURTADO</t>
  </si>
  <si>
    <t>TELEMEDELLIN</t>
  </si>
  <si>
    <t>JAIR DE JESUS DIOSA MONCADA</t>
  </si>
  <si>
    <t>JUAN ESTEBAN AGUDELO</t>
  </si>
  <si>
    <t>05079000 Barbosa</t>
  </si>
  <si>
    <t>JOHAN E HERRERA VARGAS</t>
  </si>
  <si>
    <t>INMEL</t>
  </si>
  <si>
    <t>05631000 Sabaneta</t>
  </si>
  <si>
    <t>JOHN EDWIN HERNANDEZ PUERTA</t>
  </si>
  <si>
    <t>LEIDY VIVIANA PRECIADO ORTEGA</t>
  </si>
  <si>
    <t>WILLIAM DE JESUS RESTREPO SALAZAR</t>
  </si>
  <si>
    <t>WVLADIMIR RIVERA SUAREZ</t>
  </si>
  <si>
    <t>LUIS FERNANDO MAYA ORTIZ</t>
  </si>
  <si>
    <t>COMERCIALIZADORA SYE</t>
  </si>
  <si>
    <t>05308000 Girardota</t>
  </si>
  <si>
    <t>JULIO ZULUAGA PALACIO</t>
  </si>
  <si>
    <t>05031000 Amalfi</t>
  </si>
  <si>
    <t>JORGE ELIAS QUICENO GOMEZ</t>
  </si>
  <si>
    <t>JOSE ORLANDO VALENCIA RENDON</t>
  </si>
  <si>
    <t>17001000 Manizales</t>
  </si>
  <si>
    <t>JOSE FERNANDO BLANDON OROZCO</t>
  </si>
  <si>
    <t>MARTIN ROBERTO LOPEZ CARVAJAL</t>
  </si>
  <si>
    <t>05697000 El Santuario</t>
  </si>
  <si>
    <t>JOSE ALBERTO TIRADO MONTOYA</t>
  </si>
  <si>
    <t>25875000 Villeta</t>
  </si>
  <si>
    <t>ELKIN ANDRES ESPINOSA CALDERON</t>
  </si>
  <si>
    <t>08001000 Barranquilla</t>
  </si>
  <si>
    <t>368.87</t>
  </si>
  <si>
    <t>HERMES OLMEDO BARRIOS ORDO¿EZ</t>
  </si>
  <si>
    <t>DIEGO ANDRES ALVAREZ ALVAREZ</t>
  </si>
  <si>
    <t>JESUS ALONSO LOAIZA RINCON</t>
  </si>
  <si>
    <t>JAIME ALBEIRO RENDON OCAMPO</t>
  </si>
  <si>
    <t>CESAR VILLA</t>
  </si>
  <si>
    <t>CARLOS ALBERTO CARMONA HERNANDEZ</t>
  </si>
  <si>
    <t>GABRIEL FERNANDO CORREDOR ALDANA</t>
  </si>
  <si>
    <t>11001000 Bogotá D.C.</t>
  </si>
  <si>
    <t>98.3</t>
  </si>
  <si>
    <t>JUAN ESTEBAN GIRALDO RODRIGUEZ</t>
  </si>
  <si>
    <t>54405000 Los Patios</t>
  </si>
  <si>
    <t xml:space="preserve">JOSE ALEXANDER GRAJALES OCAMPO </t>
  </si>
  <si>
    <t>JUAN DE LA CRUZ LONDOÑO CASTILLO</t>
  </si>
  <si>
    <t>JULIO ENRIQUE PADILLA MEDINA</t>
  </si>
  <si>
    <t>15572000 Puerto Boyacá (Polca)</t>
  </si>
  <si>
    <t>MOISES JESUS SANCHEZ ARAQUE</t>
  </si>
  <si>
    <t>GUILLERMO LEON VELEZ GONZALEZ</t>
  </si>
  <si>
    <t>FRANKLIN STIVEN AGUILAR FLOREZ</t>
  </si>
  <si>
    <t>ARGOS</t>
  </si>
  <si>
    <t>17380000 La Dorada</t>
  </si>
  <si>
    <t>ARMANDO DE JESUS ARROYAVE HENAO</t>
  </si>
  <si>
    <t>WILSON DE JESUS CORREA USMA</t>
  </si>
  <si>
    <t>OSCAR UBEIMAR GOMEZ LEGARDA</t>
  </si>
  <si>
    <t>05212000 Copacabana</t>
  </si>
  <si>
    <t>JALLER DE JESUS GOMEZ QUINTERO</t>
  </si>
  <si>
    <t>JAIR ANDRES HENAO MARTINEZ</t>
  </si>
  <si>
    <t>JUAN BAUTISTA JARAMILLO OSORIO</t>
  </si>
  <si>
    <t>LUIS FERNANDO MAYA MARIN</t>
  </si>
  <si>
    <t>RAUL FARLEY MOLINA MARULANDA</t>
  </si>
  <si>
    <t>JUAN CARLOS OSPINA CASTA¿O</t>
  </si>
  <si>
    <t>FRANCISCO TOVAR RENDON</t>
  </si>
  <si>
    <t>JHON ALEXANDER VEGA</t>
  </si>
  <si>
    <t>05308000 Girardota (Polca)</t>
  </si>
  <si>
    <t>66682000 Santa Rosa de Cabal</t>
  </si>
  <si>
    <t>JOHAN ANDRES ROLDAN MISAS</t>
  </si>
  <si>
    <t>HECTOR GREGORIO VILLA LOPERA</t>
  </si>
  <si>
    <t>JUAN CAMILO SALGADO CAMARGO</t>
  </si>
  <si>
    <t>73026000 Alvarado (Polca)</t>
  </si>
  <si>
    <t>ARCADIO DE JESUS CANO ZAPATA</t>
  </si>
  <si>
    <t>05079000 Barbosa (Polca)</t>
  </si>
  <si>
    <t>HUGO ALBERTO GALLEGO JARAMILLO</t>
  </si>
  <si>
    <t>CESAR WILLIAM HENAO CARDONA</t>
  </si>
  <si>
    <t>FREDY YEFERSON LOPEZ ORREGO</t>
  </si>
  <si>
    <t>NORMAN PARRA ORTIZ</t>
  </si>
  <si>
    <t>ERNEY VELASQUEZ GARCIA</t>
  </si>
  <si>
    <t>WILLIAN ENRIQUE ESTRADA TAPASCO</t>
  </si>
  <si>
    <t>JUAN LEMOS SEVILLANO</t>
  </si>
  <si>
    <t>JAVIER DARIO OCHOA RUIZ</t>
  </si>
  <si>
    <t>DAVID ANDRES OSORIO PULGARIN</t>
  </si>
  <si>
    <t>ARLESS PINO</t>
  </si>
  <si>
    <t>CARLOS ARTURO VELASQUEZ MONTOYA</t>
  </si>
  <si>
    <t>CRISTIAN CAMILO YEPES SERNA</t>
  </si>
  <si>
    <t>JOHN DARIO BARRERA TABORDA</t>
  </si>
  <si>
    <t>BERNARDO SOLER GONZALEZ</t>
  </si>
  <si>
    <t>AGUSTIN VELASQUEZ MURIEL</t>
  </si>
  <si>
    <t>MIGUEL ANGEL ARRUBLA GIL</t>
  </si>
  <si>
    <t>25899000 Zipaquira</t>
  </si>
  <si>
    <t>ELKIN ALBERTO DUQUE</t>
  </si>
  <si>
    <t>JHON JAIRO GARCIA</t>
  </si>
  <si>
    <t>LUIS EDUARDO GOEZ CARVAJAL</t>
  </si>
  <si>
    <t>ANDRES FELIPE MEJIA QUIROZ</t>
  </si>
  <si>
    <t>13052000 Arjona</t>
  </si>
  <si>
    <t>HUMBERTO EDUARDO RIVERA ALVAREZ</t>
  </si>
  <si>
    <t>EDUARDO RUIZ TORRES</t>
  </si>
  <si>
    <t>JIMY JAIDER VALENCIA RESTREPO</t>
  </si>
  <si>
    <t>OSCAR MAURICIO CAICEDO BEJARANO</t>
  </si>
  <si>
    <t>76520000 Palmira</t>
  </si>
  <si>
    <t>JOHN DAYNER AGUIRRE ARDILA</t>
  </si>
  <si>
    <t>WARNER ORLANDO ALEGRIA ORDO?EZ</t>
  </si>
  <si>
    <t>ERIC HUMBERTO BENITEZ POSADA</t>
  </si>
  <si>
    <t>ALEJANDRO BETANCUR ISAZA</t>
  </si>
  <si>
    <t>HERNAN DARIO ECHEVERRI VILLA</t>
  </si>
  <si>
    <t>SANAR</t>
  </si>
  <si>
    <t>ALFONSO LONDO¿O ARANGO</t>
  </si>
  <si>
    <t>ANDRES FELIPE MUNERA PAREJA</t>
  </si>
  <si>
    <t>HECTOR JAIME NARVAEZ MARIN</t>
  </si>
  <si>
    <t>66170000 Dosquebradas</t>
  </si>
  <si>
    <t>CARLOS ANDRES RIVERA QUINTERO</t>
  </si>
  <si>
    <t>GILBERTO JOSE SANCHEZ APOLINAR</t>
  </si>
  <si>
    <t>JOSE ARBOLEDA LOPEZ</t>
  </si>
  <si>
    <t>ORLANDO DE JESUS ARROYAVE GIL</t>
  </si>
  <si>
    <t>CLAUDIA PATRICIA CLAVIJO JURADO</t>
  </si>
  <si>
    <t>JORGE IVAN OSPINA ARIAS</t>
  </si>
  <si>
    <t>JUAN BAUTISTA RESTREPO</t>
  </si>
  <si>
    <t>LUIS GUILLERMO RODRIGUEZ ROMAN</t>
  </si>
  <si>
    <t>LUIS ORLANDO VELEZ VELEZ</t>
  </si>
  <si>
    <t>MEJIA Y ACEVEDO</t>
  </si>
  <si>
    <t>JOSE LUIS AREIZA SANCHEZ</t>
  </si>
  <si>
    <t>GIRALDO ANTONIO BASTIDAS AGREDA</t>
  </si>
  <si>
    <t>JHON CASTRILLON JARAMILLO</t>
  </si>
  <si>
    <t>CRISTIAN HUMBERTO ARIZA GONZALEZ</t>
  </si>
  <si>
    <t>JOAN CAMILO HENAO MONSALVE</t>
  </si>
  <si>
    <t>25214000 Cota</t>
  </si>
  <si>
    <t>MARIO ARMANDO JARAMILLO RAMIREZ</t>
  </si>
  <si>
    <t>JAVIER ANTONIO OSPINA TABARES</t>
  </si>
  <si>
    <t>PEDRO NEL QUINTERO GUZMAN</t>
  </si>
  <si>
    <t>JOHN ALEXANDER RIVERA</t>
  </si>
  <si>
    <t>05887000 Yarumal</t>
  </si>
  <si>
    <t>ARLEY GONZALO VARGAS URREGO</t>
  </si>
  <si>
    <t>LUIS ALFREDO VIAFARA VELASCO</t>
  </si>
  <si>
    <t>INDALECIO DE JESUS AGUDELO ATEHORTUA</t>
  </si>
  <si>
    <t>URIEL ALBERTO ARIAS GIRALDO</t>
  </si>
  <si>
    <t>DIEGO LEON LOPEZ ZAPATA</t>
  </si>
  <si>
    <t>JARDIN BOTANICO</t>
  </si>
  <si>
    <t>JUAN FERNANDO SALDARRIAGA PE¿A</t>
  </si>
  <si>
    <t>ALEX JAMILTON SIERRA PEREZ</t>
  </si>
  <si>
    <t>JHON ELKIN COLORADO SANTAMARIA</t>
  </si>
  <si>
    <t>CUETO ZABALETA CARLOS ALBERTO</t>
  </si>
  <si>
    <t>05854000 Valdivia (Polca)</t>
  </si>
  <si>
    <t>SEBASTIAN GARCIA SEPULVEDA</t>
  </si>
  <si>
    <t>CARLOS HERNANDO JOJOA</t>
  </si>
  <si>
    <t>JONY FABIAN LOPEZ CANO</t>
  </si>
  <si>
    <t>LINO HERNANDO OSORIO LOPEZ</t>
  </si>
  <si>
    <t>RUBEN DARIO OSORIO PULGARIN</t>
  </si>
  <si>
    <t>LUIS CARLOS PALACIO ORTIZ</t>
  </si>
  <si>
    <t>VASQUEZ GUARIN DAVID ALEXIS</t>
  </si>
  <si>
    <t>JUAN CARLOS GOMEZ SEPULVEDA</t>
  </si>
  <si>
    <t>47288000 Fundación</t>
  </si>
  <si>
    <t>JAIRO ALBERTO MONTOYA RENDON</t>
  </si>
  <si>
    <t>MAURICIO MUÑOZ GARCES</t>
  </si>
  <si>
    <t>CORPORACION AYUDA HUMANITARIA</t>
  </si>
  <si>
    <t>JUAN BAUTISTA CABEZAS VALENCIA</t>
  </si>
  <si>
    <t>GERARDO ANTONIO COLORADO</t>
  </si>
  <si>
    <t>GABRIEL DURANGO GARRO</t>
  </si>
  <si>
    <t>FABIAN EDUARDO GARCIA</t>
  </si>
  <si>
    <t>ALEJANDRO GUTIERREZ RAMOS</t>
  </si>
  <si>
    <t>70215000 Corozal</t>
  </si>
  <si>
    <t>JOHN JAIME RIOS VELASQUEZ</t>
  </si>
  <si>
    <t>JORGE IVAN SALDARRIAGA DIAZ</t>
  </si>
  <si>
    <t>WALTER FERNANDO SERNA GUTIERREZ</t>
  </si>
  <si>
    <t>LIBARDO ANTONIO SERNA PUERTA</t>
  </si>
  <si>
    <t>JUAN CARLOS VARON GARCIA</t>
  </si>
  <si>
    <t>25754000 Soacha</t>
  </si>
  <si>
    <t>LUIS HERNAN BOHORQUEZ BERMUDEZ</t>
  </si>
  <si>
    <t>JUAN RESTREPO QUINTERO</t>
  </si>
  <si>
    <t>JOSE VIDAL RESTREPO</t>
  </si>
  <si>
    <t>JORGE ABAD RIVERA GOMEZ</t>
  </si>
  <si>
    <t>NELSON SALGADO SALGADO</t>
  </si>
  <si>
    <t>JESUS EDGAR DELGADO GAVIRIA</t>
  </si>
  <si>
    <t>INGETEC</t>
  </si>
  <si>
    <t>LUIS ROBERTO DUBUC PIRELA</t>
  </si>
  <si>
    <t>CRISTIAN GOMEZ GALEANO</t>
  </si>
  <si>
    <t>ELKIN GUSTAVO MONTOYA ARIAS</t>
  </si>
  <si>
    <t>JOSE DANIEL PANIAGUA SIERRA</t>
  </si>
  <si>
    <t>ALEJANDRO BRAN GARCES</t>
  </si>
  <si>
    <t>FERNAN DAVID MUÑOZ PUERTA</t>
  </si>
  <si>
    <t>JOSE MARIA RESTREPO</t>
  </si>
  <si>
    <t>05045000 Apartado (Polca)</t>
  </si>
  <si>
    <t>JHON ALEXANDER ESPITIA</t>
  </si>
  <si>
    <t>CARLOS MARIO FLOREZ ALVAREZ</t>
  </si>
  <si>
    <t>FABIO NELSON GAVIRIA ORTIZ</t>
  </si>
  <si>
    <t>DANIEL ESTEBAN HENAO VAHOS</t>
  </si>
  <si>
    <t>05649000 SAN CARLOS</t>
  </si>
  <si>
    <t>BERNARDO ANTONIO MEJIA</t>
  </si>
  <si>
    <t>HERNANDO DE JESUS MONTOYA RESTREPO</t>
  </si>
  <si>
    <t>DANIEL SANTIAGO MORALES GUTIERREZ</t>
  </si>
  <si>
    <t>CARLOS RAMIREZ FLOREZ</t>
  </si>
  <si>
    <t>SANTIAGO RESTREPO YATE</t>
  </si>
  <si>
    <t>JUAN CAMILO GOMEZ TORO</t>
  </si>
  <si>
    <t>HERMAN MORALES PUERTA</t>
  </si>
  <si>
    <t>WILMAR ORLANDO RODRIGUEZ VEGA</t>
  </si>
  <si>
    <t>HAMILTON DE JESUS ARENAS CARMONA</t>
  </si>
  <si>
    <t>FABIAN JEIBER BASTIDAS VANEGAS</t>
  </si>
  <si>
    <t>JUAN MANUEL CORDOBA VELEZ</t>
  </si>
  <si>
    <t>ANDERSON STIVEN ESTRADA MESA</t>
  </si>
  <si>
    <t>NESTOR TULIO OCAMPO PALACIO</t>
  </si>
  <si>
    <t>FREDY HERNAN RESTREPO RESTREPO</t>
  </si>
  <si>
    <t>JUAN FERNANDO ZAPATA ORREGO</t>
  </si>
  <si>
    <t>LIBARDO ANTONIO CANO</t>
  </si>
  <si>
    <t>05686000 Santa Rosa de Osos (Polca)</t>
  </si>
  <si>
    <t>JHONY ANDRES CARDENAS QUIROZ</t>
  </si>
  <si>
    <t>TEOFILO JESUS CASTILLO SALAZAR</t>
  </si>
  <si>
    <t>SANIN HERNANDEZ PAZ</t>
  </si>
  <si>
    <t>RODRIGO ANTONIO BETANCUR BETANCUR</t>
  </si>
  <si>
    <t xml:space="preserve">TORRES MERCHAN LUIS ALEJANDRO </t>
  </si>
  <si>
    <t xml:space="preserve">CASTRILLON TORO JAHN CARLOS </t>
  </si>
  <si>
    <t>17873000 Villamaria</t>
  </si>
  <si>
    <t>OMAR FERNANDO CALDERON MONTOYA</t>
  </si>
  <si>
    <t>08000000 Atlantico</t>
  </si>
  <si>
    <t>JUAN CARLOS ESPINOSA RIVERA</t>
  </si>
  <si>
    <t>JHONATHAN ROOSELVE GUTIERREZ GIL</t>
  </si>
  <si>
    <t>68081000 Barrancabermeja (Polca)</t>
  </si>
  <si>
    <t>LUIS HORACIO VELASQUEZ</t>
  </si>
  <si>
    <t>05615000 Rionegro (Polca)</t>
  </si>
  <si>
    <t>JESUS ALBERTO ZULETA CARDONA</t>
  </si>
  <si>
    <t>FABIO NELSON CANO HERRERA</t>
  </si>
  <si>
    <t>05615000 Rionegro</t>
  </si>
  <si>
    <t>LILIANA ISABEL OROZCO OSSA</t>
  </si>
  <si>
    <t>05376000 La Ceja</t>
  </si>
  <si>
    <t>ANDRES FLEIPE POSADA GAVIRIA</t>
  </si>
  <si>
    <t>05212000 Copacabana (Polca)</t>
  </si>
  <si>
    <t>DANIEL BUITRAGO IDARRAGA</t>
  </si>
  <si>
    <t>PEDRO ANTONIO CALDERON VARELA</t>
  </si>
  <si>
    <t>76111000 Buga</t>
  </si>
  <si>
    <t>LUZ AMPARO RUIZ TOBON</t>
  </si>
  <si>
    <t>CARLOS MARIO ZEA PEREZ</t>
  </si>
  <si>
    <t>CARLOS ANDRES ARIAS VELASQUEZ</t>
  </si>
  <si>
    <t>DIEGO ALEJANDRO LOPEZ TOBON</t>
  </si>
  <si>
    <t>JUAN CARLOS MONTOYA ESCOBAR</t>
  </si>
  <si>
    <t>MARIA SURNET MONTOYA MONTOYA</t>
  </si>
  <si>
    <t>JORGE RESTREPO MONSALVE</t>
  </si>
  <si>
    <t>23555000 Planeta Rica (Polca)</t>
  </si>
  <si>
    <t>JULIO ANIBAL YEPES</t>
  </si>
  <si>
    <t>NINGUNA</t>
  </si>
  <si>
    <t>CARLOS FERNANDO MARIN PINO</t>
  </si>
  <si>
    <t>WILDER DANIEL CERVANTES ARBOLEDA</t>
  </si>
  <si>
    <t>JAIR GONZALEZ QUINTERO</t>
  </si>
  <si>
    <t>DANIEL FERNANDO MENA ARREDONDO</t>
  </si>
  <si>
    <t>JAIME ALBERTO URIBE TABORDA</t>
  </si>
  <si>
    <t>UBEIMAR VASQUEZ GALLEGO</t>
  </si>
  <si>
    <t>05318000 Guarne (Polca)</t>
  </si>
  <si>
    <t>JULIAN ESTEBAN BETANCUR</t>
  </si>
  <si>
    <t>05088000 Bello (Polca)</t>
  </si>
  <si>
    <t>JUAN EMILIO CASTRO JARAMILLO</t>
  </si>
  <si>
    <t>TIGO</t>
  </si>
  <si>
    <t>JONNY ELIUD CARMONA RODRIGUEZ</t>
  </si>
  <si>
    <t>DINAMICA SURA</t>
  </si>
  <si>
    <t>VICTOR FERNANDO VIEDA GARCIA</t>
  </si>
  <si>
    <t>JOHN FREDY ARANGO</t>
  </si>
  <si>
    <t>05129000 Caldas (Ant)</t>
  </si>
  <si>
    <t>JUAN CAMILO FRANCO</t>
  </si>
  <si>
    <t>GUSTAVO ALBERTO RAMIREZ LEDESMA</t>
  </si>
  <si>
    <t>LUIS ARMANDO RUIZ GRAJALES</t>
  </si>
  <si>
    <t>EDISON EVER BASTIDAS RESTREPO</t>
  </si>
  <si>
    <t>FABIO LEON GONZALEZ MORENO</t>
  </si>
  <si>
    <t>DANY ANDRES VELASQUEZ RIVERA</t>
  </si>
  <si>
    <t>STIVEN ZULUAGA</t>
  </si>
  <si>
    <t>JUAN ESTEBAN CORREA FRANCO</t>
  </si>
  <si>
    <t>LUIS CARLOS SANTAMARIA VASQUEZ</t>
  </si>
  <si>
    <t>ALBERTO DE JESUS VEGA GARCES</t>
  </si>
  <si>
    <t>JAVIER ARMANDO ALFONSO RESTREPO</t>
  </si>
  <si>
    <t>PENDIENTE CAPACITACION</t>
  </si>
  <si>
    <t>GUSTAVO DE JESUS CASTAÑO LAVERDE</t>
  </si>
  <si>
    <t>ELMER ALFREDO LONDO¿O MORALEZ</t>
  </si>
  <si>
    <t>JORGE HERNANDO RODRIGUEZ ROSAS</t>
  </si>
  <si>
    <t>JOSE ANGEL TORRES GRACIANO</t>
  </si>
  <si>
    <t>JOHN ARANGO ALVAREZ</t>
  </si>
  <si>
    <t>VICTOR MAURICIO HINCAPIE HERNANDEZ</t>
  </si>
  <si>
    <t>76113001 BUGALAGRANDE - DEPT VALLE</t>
  </si>
  <si>
    <t>EDWAR SAENZ</t>
  </si>
  <si>
    <t>ISAGEN</t>
  </si>
  <si>
    <t>25612000 Ricaurte</t>
  </si>
  <si>
    <t>DANIEL U¿ATES VELASQUEZ</t>
  </si>
  <si>
    <t>JOSE JULIAN PEREZ HOLGUIN</t>
  </si>
  <si>
    <t>VICTOR ALEJANDRO PEREZ RESTREPO</t>
  </si>
  <si>
    <t>FRANCISCO JAVIER RAMIREZ</t>
  </si>
  <si>
    <t>GABRIEL JAIME RESTREPO</t>
  </si>
  <si>
    <t>05440000 Marinilla</t>
  </si>
  <si>
    <t>RAMIRO EDUARDO YEPES ARBOLEDA</t>
  </si>
  <si>
    <t>OSCAR EDUARDO CA¿AVERAL</t>
  </si>
  <si>
    <t>05318001 Guarne(Dptal)</t>
  </si>
  <si>
    <t>GUSTAVO HERNANDEZ GALLEGO</t>
  </si>
  <si>
    <t>LUIS ALBERTO VALENCIA HENAO</t>
  </si>
  <si>
    <t xml:space="preserve">EMTELCO </t>
  </si>
  <si>
    <t>ARROYAVE BARRANTES SNEIDER</t>
  </si>
  <si>
    <t>d05</t>
  </si>
  <si>
    <t>GALARCIO MOLINA HUGO OSWALDO</t>
  </si>
  <si>
    <t>El Santuario</t>
  </si>
  <si>
    <t>Itagüí</t>
  </si>
  <si>
    <t>ALVAREZ VASQUEZ DANIEL ANDRES</t>
  </si>
  <si>
    <t>GARCIA RIVERA MAURICIO ALEJAND</t>
  </si>
  <si>
    <t>Valdivia</t>
  </si>
  <si>
    <t>Cali</t>
  </si>
  <si>
    <t>OLAYA MORALES LUIS CARLOS</t>
  </si>
  <si>
    <t>Cartago</t>
  </si>
  <si>
    <t>SANCHEZ CAMELO FABIAN ARLEY</t>
  </si>
  <si>
    <t>Medellín</t>
  </si>
  <si>
    <t>VILLA BETANCUR CARLOS ALBERTO</t>
  </si>
  <si>
    <t>Rionegro</t>
  </si>
  <si>
    <t>CASTAÑO ALZATE JORGE ELIECER</t>
  </si>
  <si>
    <t>Candelaria</t>
  </si>
  <si>
    <t>SANCHEZ GALLON SEBASTIAN</t>
  </si>
  <si>
    <t>SINISTERRA LONGAS FRANCISCO JA</t>
  </si>
  <si>
    <t>BOTERO RIOS HERNAN DARIO</t>
  </si>
  <si>
    <t>FRANCO RAMIREZ JESUS MARIA</t>
  </si>
  <si>
    <t>JARAMILLO FABIAN DARIO</t>
  </si>
  <si>
    <t>Medellpin</t>
  </si>
  <si>
    <t>ARBOLEDA CORREA JESUS MAC GYVE</t>
  </si>
  <si>
    <t>Caldas</t>
  </si>
  <si>
    <t>RETIRADO 25 NOV 2021</t>
  </si>
  <si>
    <t>GIRALDO VILLEGAS NORBEY ALONSO</t>
  </si>
  <si>
    <t>Yarumal</t>
  </si>
  <si>
    <t>OSORIO CASTRO AMADO DE JESUS</t>
  </si>
  <si>
    <t>GARCIA RUBIO GEIRMAN FABIAN</t>
  </si>
  <si>
    <t>FIGUEROA MOSQUERA BRANDON STEW</t>
  </si>
  <si>
    <t>RETIRADO 31 ENE 2021</t>
  </si>
  <si>
    <t>HUMO YERSON JAVIER</t>
  </si>
  <si>
    <t>RETIRADO 21 ENE 2021</t>
  </si>
  <si>
    <t>LOPEZ GUTIERREZ JORGE ALEJANDR</t>
  </si>
  <si>
    <t>MENESES CHICA JUAN CAMILO</t>
  </si>
  <si>
    <t>VALENCIA DUQUE FAVER</t>
  </si>
  <si>
    <t>ARANGO LOPEZ GUSTAVO ADOLFO</t>
  </si>
  <si>
    <t>PEDRAZA VILLA CARLOS RUBEN</t>
  </si>
  <si>
    <t>RAMIREZ ACOSTA EFRAIN ANDRES</t>
  </si>
  <si>
    <t>USUGA HIGUITA JOSE LUIS</t>
  </si>
  <si>
    <t>ARDILA AGUDELO GIOVANY ALBERTO</t>
  </si>
  <si>
    <t>CORTES MEDINA LUIS FERNANDO</t>
  </si>
  <si>
    <t>Pereira</t>
  </si>
  <si>
    <t>VELASQUEZ MUÑOZ LIBARDO DE JES</t>
  </si>
  <si>
    <t>LOPEZ MARTINEZ DARLEY</t>
  </si>
  <si>
    <t>MAPURA VELEZ JUAN CARLOS</t>
  </si>
  <si>
    <t>MONTOYA JARAMILLO HEIBER MAURI</t>
  </si>
  <si>
    <t>OSPINA GOMEZ DIEGO FERNANDO</t>
  </si>
  <si>
    <t>SANCHEZ ROMAN MICHAEL</t>
  </si>
  <si>
    <t>Corozal</t>
  </si>
  <si>
    <t>BERRIO AVENDAÑO DAVID ANDRES</t>
  </si>
  <si>
    <t>BUITRAGO BOTERO NELSON JAIRO</t>
  </si>
  <si>
    <t>LOPEZ CAMPILLO ROLANDO</t>
  </si>
  <si>
    <t>LOZANO MENESES CARLOS ANDRES</t>
  </si>
  <si>
    <t>GRAJALES ALVAREZ HOLGER HERNAN</t>
  </si>
  <si>
    <t>EMTELCO MEDELLIN</t>
  </si>
  <si>
    <t>BARRIENTOS  JORGE WILSON</t>
  </si>
  <si>
    <t>SILVA MORENO MILTON CESAR</t>
  </si>
  <si>
    <t>ARANGO RODRIGUEZ CRISTIAN DAVI</t>
  </si>
  <si>
    <t>BEDOYA HIGUITA JUAN CARLOS</t>
  </si>
  <si>
    <t>ESPINOSA PENAGOS JUAN EDISON</t>
  </si>
  <si>
    <t>RESTREPO CASTAÑEDA CARLOS HUMB</t>
  </si>
  <si>
    <t>VALENCIA RAMIREZ RAFAEL ANTONI</t>
  </si>
  <si>
    <t>Riosucio</t>
  </si>
  <si>
    <t>BERRIO GALLEGO FRANCISCO SAMUE</t>
  </si>
  <si>
    <t>LONDOÑO ARISMENDI JORGE HUMBER</t>
  </si>
  <si>
    <t>MONSALVE MAYA FABIO NELSON</t>
  </si>
  <si>
    <t>JARAMILLO CORREA DUANER MARIO</t>
  </si>
  <si>
    <t>AYUDA HUMANITARIA</t>
  </si>
  <si>
    <t>POSADA MARIN DUIRLY FERNANDO</t>
  </si>
  <si>
    <t>RAMIREZ MAZO DEISON ARLEY</t>
  </si>
  <si>
    <t>ZAPATA RIVAS JAIME ALONSO</t>
  </si>
  <si>
    <t>Copacabana</t>
  </si>
  <si>
    <t>CONTRERAS PEÑA ALEXANDER</t>
  </si>
  <si>
    <t>CAJICA </t>
  </si>
  <si>
    <t>DUQUE ELKIN ALBERTO</t>
  </si>
  <si>
    <t>Medellin </t>
  </si>
  <si>
    <t>ARIAS GIRALDO URIEL ALBERTO</t>
  </si>
  <si>
    <t>CHAVERRA VELEZ JUAN ESTEBAN</t>
  </si>
  <si>
    <t>SURA</t>
  </si>
  <si>
    <t>Rionegro </t>
  </si>
  <si>
    <t>RESTREPO VALENCIA JOHN JAIRO</t>
  </si>
  <si>
    <t>ROJAS OQUENDO CRISTIAN RONALDO</t>
  </si>
  <si>
    <t>ZAPATA ARCILA RUBEN ALFONSO</t>
  </si>
  <si>
    <t>EDATEL</t>
  </si>
  <si>
    <t>GONZALEZ BEDOYA SANTIAGO</t>
  </si>
  <si>
    <t>Envigado </t>
  </si>
  <si>
    <t>BARRERA ORLANDO DE JESUS</t>
  </si>
  <si>
    <t xml:space="preserve">EPM </t>
  </si>
  <si>
    <t>Yarumal </t>
  </si>
  <si>
    <t>CAÑAS VALENCIA FERNEY</t>
  </si>
  <si>
    <t>TIGO PEREIRA</t>
  </si>
  <si>
    <t>Pereira </t>
  </si>
  <si>
    <t>GARCIA TRIVIAÑO JOSE DAVID</t>
  </si>
  <si>
    <t>EMTELO</t>
  </si>
  <si>
    <t>Cali </t>
  </si>
  <si>
    <t>RESTREPO GIRALDO DIEGO HERNAN</t>
  </si>
  <si>
    <t>ENERGIA DE PEREIRA</t>
  </si>
  <si>
    <t xml:space="preserve">ALVAREZ CASTAÑEDA MARIO DAVID </t>
  </si>
  <si>
    <t xml:space="preserve">HERNANDEZ CORONADO RODOLFO  </t>
  </si>
  <si>
    <t>Itaguí </t>
  </si>
  <si>
    <t xml:space="preserve">JIMENEZ YALI JUAN GILBERTO </t>
  </si>
  <si>
    <t>AGUIRRE GOMEZ CARLOS ALBERTO</t>
  </si>
  <si>
    <t xml:space="preserve"> $            522940</t>
  </si>
  <si>
    <t>BATISTA RESTREPO JUAN DAVID</t>
  </si>
  <si>
    <t>CASTAÑO ARISTIZABAL JOSE GERMA</t>
  </si>
  <si>
    <t>Santander de Quilichao </t>
  </si>
  <si>
    <t xml:space="preserve">ECHEVERRY ZULUAGA RONALD ANDERSON </t>
  </si>
  <si>
    <t>Santa Rosa de Cabal</t>
  </si>
  <si>
    <t>CADAVID GOMEZ ANDRES FELIPE</t>
  </si>
  <si>
    <t>La Dorada </t>
  </si>
  <si>
    <t xml:space="preserve"> $         174265</t>
  </si>
  <si>
    <t>CORREA ALVAREZ ELKIN JAVIER</t>
  </si>
  <si>
    <t xml:space="preserve"> $         522940</t>
  </si>
  <si>
    <t>JARAMILLO ATENCIO BERNARDO DE</t>
  </si>
  <si>
    <t>MONTES MONTOYA JAKELINE</t>
  </si>
  <si>
    <t>MORALES MEJIA JOSE ALIRIO</t>
  </si>
  <si>
    <t>MEJIA ACEVEDO</t>
  </si>
  <si>
    <t xml:space="preserve"> $         522795</t>
  </si>
  <si>
    <t>ARANGO RODRIGUEZ CRISTIAN DAVID</t>
  </si>
  <si>
    <t>SALUD EN CASA</t>
  </si>
  <si>
    <t>OQUENDO RESTREPO JULIO CESAR</t>
  </si>
  <si>
    <t>CONSORCIO YULIMAR</t>
  </si>
  <si>
    <t>RETIRADO 28/12/2023</t>
  </si>
  <si>
    <t>VELEZ ORTIZ JAIME DE JESUS</t>
  </si>
  <si>
    <t>UNION TEMPORAL</t>
  </si>
  <si>
    <t>ZAPATA GUZMAN HECTOR ELI</t>
  </si>
  <si>
    <t>EMERGENCIAS 123-NIÑEZ</t>
  </si>
  <si>
    <t>GOMEZ HENAO FABIO AGUSTIN</t>
  </si>
  <si>
    <t>MONTES SALAZAR NELSON EYIBER</t>
  </si>
  <si>
    <t xml:space="preserve"> RETIRADO 04/10/2023 </t>
  </si>
  <si>
    <t>ARENAS CARMONA HAMILTON DE JESUS</t>
  </si>
  <si>
    <t>GOMEZ DUQUE SERGIO ALFONSO</t>
  </si>
  <si>
    <t>RETIRADO 28/10/2023</t>
  </si>
  <si>
    <t>PRECIADO PALACIO DAVID ANDRES</t>
  </si>
  <si>
    <t>Atlantico </t>
  </si>
  <si>
    <t>CORRALES VASCO GERARDO</t>
  </si>
  <si>
    <t>Dosquebradas</t>
  </si>
  <si>
    <t>ECHAVARRIA RIOS JUAN DIEGO</t>
  </si>
  <si>
    <t>Santa Marta</t>
  </si>
  <si>
    <t>PRECIADO ORTEGA LEIDY VIVIANA</t>
  </si>
  <si>
    <t>ADMON</t>
  </si>
  <si>
    <t>Agustin Codazzi</t>
  </si>
  <si>
    <t>SEPULVEDA RAMIREZ LUIS FERNAN</t>
  </si>
  <si>
    <t>VARGAS CANCINO DAVID LISSY</t>
  </si>
  <si>
    <t>GUZMAN ZAPATA NILSON NORBEY</t>
  </si>
  <si>
    <t>MESA MONTIEL JONATHAN ESMID</t>
  </si>
  <si>
    <t>TAPIAS HERNADEZ LUIS FELIPE</t>
  </si>
  <si>
    <t>Retirado 30/12/2023</t>
  </si>
  <si>
    <t>Piedecuesta</t>
  </si>
  <si>
    <t>Retirado 31/01/2024</t>
  </si>
  <si>
    <t>GAVIRIA GIL MOISES</t>
  </si>
  <si>
    <t>JARAMILLO RENDON HUMBERTO DE J</t>
  </si>
  <si>
    <t>ORREGO CHAVERRA HUBER EDILSON</t>
  </si>
  <si>
    <t>JARDIN  BOTANICO</t>
  </si>
  <si>
    <t>RUIZ DUQUE HUGO ANDRES</t>
  </si>
  <si>
    <t>CASTRILLON GONZALEZ WEIMAR ARLEY</t>
  </si>
  <si>
    <t>CHICA CARDONA DIEGO HERNAN</t>
  </si>
  <si>
    <t>CORREA BELLO VRAYAN ESTEFAN</t>
  </si>
  <si>
    <t>LONDOÑO ARISMENDI JORGE HUMBERTO</t>
  </si>
  <si>
    <t>ROJAS GARCIA DIEGO ALEXANDER</t>
  </si>
  <si>
    <t>CARDENAS PENAGOS FREDY ESTEBAN</t>
  </si>
  <si>
    <t>CARDONA CARVAJAL EDWIN ALEXIS</t>
  </si>
  <si>
    <t xml:space="preserve">            -  </t>
  </si>
  <si>
    <t>CORREA BERRIO LEONARDO</t>
  </si>
  <si>
    <t>SGS COLOMBIA S.A.S</t>
  </si>
  <si>
    <t>GARZON MUÑOZ WALTER FERNEY</t>
  </si>
  <si>
    <t>GUZMAN MONSALVE JUAN FELIPE</t>
  </si>
  <si>
    <t>MARQUEZ VELASQUEZ YHON JAVIER</t>
  </si>
  <si>
    <t xml:space="preserve">SALUD EN CASA </t>
  </si>
  <si>
    <t>OCAMPO RINCON JAIME ALBERTO</t>
  </si>
  <si>
    <t>No utilizar el cinturon de seguridad por parte de los acupantes del vehiculo</t>
  </si>
  <si>
    <t>TEJADA CASTRO JUAN SEBASTIAN</t>
  </si>
  <si>
    <t>OSORIO PAREJA DIEGO ALEJANDRO</t>
  </si>
  <si>
    <t>GARCIA OSORIO NORMAN</t>
  </si>
  <si>
    <t>GIRALDO ECHEVERRI SANTIAGO</t>
  </si>
  <si>
    <t>RETIRADO</t>
  </si>
  <si>
    <t>JIMENEZ YALI JUAN GILBERTO</t>
  </si>
  <si>
    <t>MEJIA CARDENAS RAUL</t>
  </si>
  <si>
    <t>MONTOYA OBANDO SEBASTIAN</t>
  </si>
  <si>
    <t>ORDOÑEZ ARENAS NESTOR ENRIQUE</t>
  </si>
  <si>
    <t>Barrancabermeja</t>
  </si>
  <si>
    <t>PAEZ ARBOLEDA JAMES SAMIR</t>
  </si>
  <si>
    <t xml:space="preserve"> $                        -  </t>
  </si>
  <si>
    <t xml:space="preserve">Aguachica </t>
  </si>
  <si>
    <t>ARANGO VALENCIA GABRIEL JAIME</t>
  </si>
  <si>
    <t>CARMONA LONDOÑO JHON MARIO</t>
  </si>
  <si>
    <t>GOMEZ VIVEROS HENRY MARTIN</t>
  </si>
  <si>
    <t>MUÑETON CASTAÑO LUIS HAMILTON</t>
  </si>
  <si>
    <t>Barranquilla</t>
  </si>
  <si>
    <t>ARIAS VELASQUEZ JUAN DAVID</t>
  </si>
  <si>
    <t>AVENDAÑO GIRALDO HECTOR FABIO</t>
  </si>
  <si>
    <t>Villamaria </t>
  </si>
  <si>
    <t>GRISALES ORTIZ DIEGO LEON</t>
  </si>
  <si>
    <t>LOPEZ ESCOBAR ELMER ESTIBEN</t>
  </si>
  <si>
    <t>MOLINA AGUIRRE OLMES</t>
  </si>
  <si>
    <t>Alcala </t>
  </si>
  <si>
    <t>PEREZ SALDARRIAGA YOHAN FELIPE</t>
  </si>
  <si>
    <t>TAPIAS SUAREZ CARLOS ARTURO</t>
  </si>
  <si>
    <t>ARANGUREN OCAMPO JORGE HUGO</t>
  </si>
  <si>
    <t>MANIFIESTA QUE INTERPONDRA UN RECUERSO YA QUE NO FUE NOTIFICADO</t>
  </si>
  <si>
    <t>FIGUEROA GUTIERREZ CARLOS HERNAN</t>
  </si>
  <si>
    <t>ALZATE ALZATE LEON BYRON</t>
  </si>
  <si>
    <t>San Diego-Dptal Cesar</t>
  </si>
  <si>
    <t>RETIRO 16/10/2024</t>
  </si>
  <si>
    <t>CORTES VALENCIA ROBER DAIRO</t>
  </si>
  <si>
    <t>VELASQUEZ GARCIA ALEJANDRO</t>
  </si>
  <si>
    <t>COMPROMISO DE PAGO EN UN MES 23/10/2024, LLAMADA 12 DE DIC,SEGUNDO COMPROMISO DE PAGO PARA ENERO 2025</t>
  </si>
  <si>
    <t>ARANGO GUTIERREZ JUAN CARLOS</t>
  </si>
  <si>
    <t>RETIRO 01/10/2024</t>
  </si>
  <si>
    <t>BENJUMEA SALGADO JHON DAIDER</t>
  </si>
  <si>
    <t>COMPROMISO DE PAGO FIN DE MES 31/10/2024 LLAMADA 12 DIC, SEGUNDO COMPROMISO DE PAGO 31 DE ENERO 2025</t>
  </si>
  <si>
    <t>BOTERO PESCADOR JESUS ANDRES</t>
  </si>
  <si>
    <t>Alcala - DEPT VALLE</t>
  </si>
  <si>
    <t>GIRALDO MONTOYA JUAN CARLOS</t>
  </si>
  <si>
    <t>JIMENEZ GOMEZ HENRY ELIAS</t>
  </si>
  <si>
    <t>El Peñol</t>
  </si>
  <si>
    <t>RETIRO 30/11/2024</t>
  </si>
  <si>
    <t>SALAMANCA GALINDO FRANCISCO</t>
  </si>
  <si>
    <t>San Rafael</t>
  </si>
  <si>
    <t>PUERTA MUNOZ JUAN PABLO</t>
  </si>
  <si>
    <t>MUNOZ DIEZ ALBERTO</t>
  </si>
  <si>
    <t>VELASQUEZ ROJAS JUAN ESTEBAN</t>
  </si>
  <si>
    <t>PENDIENTE RENOVACION DE LICENCIA DE CONDUCCION, PENDIENTE DE DEVOLUCUION DE LOS DOCUMENTOS FIRMADOS, ENVIADOS POR WHATSAPP</t>
  </si>
  <si>
    <t>CANO GOMEZ JHON FREDY</t>
  </si>
  <si>
    <t xml:space="preserve">NO PAGO </t>
  </si>
  <si>
    <t xml:space="preserve">PENDIENTE PAGO, INDICA QUE PRIMERO SE VA ACESORAR CON UN ABOGADO YA QUE DICE QUE NO ESTABA SEÑALIZADO </t>
  </si>
  <si>
    <t>GUTIERREZ JHON JAIRO</t>
  </si>
  <si>
    <t xml:space="preserve">SI </t>
  </si>
  <si>
    <t>YA ENVIO EL SOPORTE DE PAGO, SE ENVIO PARA GD</t>
  </si>
  <si>
    <t xml:space="preserve">EL VEHICULO LO MANEJA LA ESPOSA  Y FUE AL QUE SE LE HICIERON EL COMPARENDDO </t>
  </si>
  <si>
    <t>SALDARRIAGA GUTIERREZ EDISON B</t>
  </si>
  <si>
    <t>ZAPATA RUA JAIME ANDRES</t>
  </si>
  <si>
    <t xml:space="preserve">PAGO </t>
  </si>
  <si>
    <t>GIRALDO GUTIERREZ MATEO</t>
  </si>
  <si>
    <t>ESCOBAR POSADA JAIME ALBERTO</t>
  </si>
  <si>
    <t xml:space="preserve">MEDELLIN </t>
  </si>
  <si>
    <t>Aguachica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</si>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</sst>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9C0006"/>
      <name val="Calibri"/>
      <family val="2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rgb="FF34383C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Calibri"/>
      <family val="2"/>
    </font>
    <font>
      <sz val="10"/>
      <color rgb="FF34383C"/>
      <name val="Calibri"/>
      <family val="2"/>
    </font>
    <font>
      <sz val="11"/>
      <color rgb="FF000000"/>
      <name val="Calibri"/>
      <family val="2"/>
    </font>
    <font>
      <sz val="8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242424"/>
      <name val="Arial"/>
      <family val="2"/>
    </font>
    <font>
      <sz val="12"/>
      <color rgb="FF212529"/>
      <name val="Arial"/>
      <family val="2"/>
    </font>
    <font>
      <sz val="11"/>
      <color rgb="FF212529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C7CE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1" fillId="0" borderId="1" xfId="0" applyFont="1" applyBorder="1"/>
    <xf numFmtId="0" fontId="4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0" xfId="0" applyFont="1"/>
    <xf numFmtId="0" fontId="3" fillId="0" borderId="5" xfId="0" applyFont="1" applyBorder="1"/>
    <xf numFmtId="0" fontId="5" fillId="0" borderId="0" xfId="0" applyFont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14" fontId="4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/>
    </xf>
    <xf numFmtId="0" fontId="4" fillId="0" borderId="6" xfId="0" applyFont="1" applyBorder="1"/>
    <xf numFmtId="0" fontId="4" fillId="0" borderId="7" xfId="0" applyFont="1" applyBorder="1"/>
    <xf numFmtId="0" fontId="6" fillId="3" borderId="1" xfId="0" applyFont="1" applyFill="1" applyBorder="1"/>
    <xf numFmtId="0" fontId="5" fillId="0" borderId="5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0" fillId="0" borderId="5" xfId="0" applyBorder="1"/>
    <xf numFmtId="0" fontId="0" fillId="0" borderId="1" xfId="0" applyBorder="1"/>
    <xf numFmtId="0" fontId="4" fillId="0" borderId="12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right"/>
    </xf>
    <xf numFmtId="0" fontId="5" fillId="0" borderId="13" xfId="0" applyFont="1" applyBorder="1"/>
    <xf numFmtId="0" fontId="4" fillId="0" borderId="12" xfId="0" applyFont="1" applyBorder="1" applyAlignment="1">
      <alignment horizontal="right"/>
    </xf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right"/>
    </xf>
    <xf numFmtId="0" fontId="4" fillId="4" borderId="13" xfId="0" applyFont="1" applyFill="1" applyBorder="1"/>
    <xf numFmtId="0" fontId="5" fillId="4" borderId="12" xfId="0" applyFont="1" applyFill="1" applyBorder="1"/>
    <xf numFmtId="0" fontId="4" fillId="4" borderId="12" xfId="0" applyFont="1" applyFill="1" applyBorder="1"/>
    <xf numFmtId="0" fontId="5" fillId="4" borderId="1" xfId="0" applyFont="1" applyFill="1" applyBorder="1" applyAlignment="1">
      <alignment horizontal="left"/>
    </xf>
    <xf numFmtId="0" fontId="4" fillId="4" borderId="17" xfId="0" applyFont="1" applyFill="1" applyBorder="1"/>
    <xf numFmtId="0" fontId="5" fillId="0" borderId="17" xfId="0" applyFont="1" applyBorder="1"/>
    <xf numFmtId="0" fontId="4" fillId="0" borderId="13" xfId="0" applyFont="1" applyBorder="1" applyAlignment="1">
      <alignment horizontal="right"/>
    </xf>
    <xf numFmtId="0" fontId="5" fillId="4" borderId="13" xfId="0" applyFont="1" applyFill="1" applyBorder="1"/>
    <xf numFmtId="0" fontId="4" fillId="0" borderId="17" xfId="0" applyFont="1" applyBorder="1" applyAlignment="1">
      <alignment horizontal="right"/>
    </xf>
    <xf numFmtId="0" fontId="5" fillId="4" borderId="17" xfId="0" applyFont="1" applyFill="1" applyBorder="1"/>
    <xf numFmtId="0" fontId="4" fillId="0" borderId="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4" borderId="14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4" borderId="17" xfId="0" applyFont="1" applyFill="1" applyBorder="1" applyAlignment="1">
      <alignment wrapText="1"/>
    </xf>
    <xf numFmtId="0" fontId="5" fillId="6" borderId="1" xfId="0" applyFont="1" applyFill="1" applyBorder="1"/>
    <xf numFmtId="0" fontId="4" fillId="6" borderId="1" xfId="0" applyFont="1" applyFill="1" applyBorder="1"/>
    <xf numFmtId="14" fontId="5" fillId="6" borderId="1" xfId="0" applyNumberFormat="1" applyFont="1" applyFill="1" applyBorder="1"/>
    <xf numFmtId="0" fontId="5" fillId="6" borderId="3" xfId="0" applyFont="1" applyFill="1" applyBorder="1"/>
    <xf numFmtId="0" fontId="5" fillId="6" borderId="18" xfId="0" applyFont="1" applyFill="1" applyBorder="1"/>
    <xf numFmtId="0" fontId="5" fillId="6" borderId="12" xfId="0" applyFont="1" applyFill="1" applyBorder="1"/>
    <xf numFmtId="14" fontId="5" fillId="6" borderId="12" xfId="0" applyNumberFormat="1" applyFont="1" applyFill="1" applyBorder="1"/>
    <xf numFmtId="0" fontId="4" fillId="5" borderId="13" xfId="0" applyFont="1" applyFill="1" applyBorder="1"/>
    <xf numFmtId="0" fontId="4" fillId="0" borderId="14" xfId="0" applyFont="1" applyBorder="1" applyAlignment="1">
      <alignment wrapText="1"/>
    </xf>
    <xf numFmtId="0" fontId="1" fillId="0" borderId="5" xfId="0" applyFont="1" applyBorder="1"/>
    <xf numFmtId="0" fontId="1" fillId="0" borderId="3" xfId="0" applyFont="1" applyBorder="1"/>
    <xf numFmtId="0" fontId="7" fillId="0" borderId="0" xfId="0" applyFont="1"/>
    <xf numFmtId="0" fontId="2" fillId="2" borderId="24" xfId="0" applyFont="1" applyFill="1" applyBorder="1" applyAlignment="1">
      <alignment horizontal="center"/>
    </xf>
    <xf numFmtId="0" fontId="1" fillId="0" borderId="20" xfId="0" applyFont="1" applyBorder="1"/>
    <xf numFmtId="0" fontId="7" fillId="0" borderId="1" xfId="0" applyFont="1" applyBorder="1"/>
    <xf numFmtId="0" fontId="10" fillId="0" borderId="2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/>
    <xf numFmtId="0" fontId="7" fillId="0" borderId="1" xfId="0" applyFont="1" applyBorder="1" applyAlignment="1">
      <alignment horizontal="left" vertical="center"/>
    </xf>
    <xf numFmtId="0" fontId="4" fillId="0" borderId="8" xfId="0" applyFont="1" applyBorder="1"/>
    <xf numFmtId="14" fontId="4" fillId="0" borderId="6" xfId="0" applyNumberFormat="1" applyFont="1" applyBorder="1"/>
    <xf numFmtId="0" fontId="4" fillId="0" borderId="9" xfId="0" applyFont="1" applyBorder="1"/>
    <xf numFmtId="14" fontId="4" fillId="0" borderId="7" xfId="0" applyNumberFormat="1" applyFont="1" applyBorder="1"/>
    <xf numFmtId="0" fontId="4" fillId="0" borderId="11" xfId="0" applyFont="1" applyBorder="1"/>
    <xf numFmtId="14" fontId="4" fillId="0" borderId="10" xfId="0" applyNumberFormat="1" applyFont="1" applyBorder="1"/>
    <xf numFmtId="0" fontId="4" fillId="0" borderId="10" xfId="0" applyFont="1" applyBorder="1"/>
    <xf numFmtId="14" fontId="4" fillId="4" borderId="1" xfId="0" applyNumberFormat="1" applyFont="1" applyFill="1" applyBorder="1"/>
    <xf numFmtId="0" fontId="4" fillId="4" borderId="6" xfId="0" applyFont="1" applyFill="1" applyBorder="1"/>
    <xf numFmtId="14" fontId="4" fillId="4" borderId="12" xfId="0" applyNumberFormat="1" applyFont="1" applyFill="1" applyBorder="1"/>
    <xf numFmtId="0" fontId="4" fillId="4" borderId="10" xfId="0" applyFont="1" applyFill="1" applyBorder="1"/>
    <xf numFmtId="14" fontId="4" fillId="4" borderId="6" xfId="0" applyNumberFormat="1" applyFont="1" applyFill="1" applyBorder="1"/>
    <xf numFmtId="14" fontId="4" fillId="4" borderId="7" xfId="0" applyNumberFormat="1" applyFont="1" applyFill="1" applyBorder="1"/>
    <xf numFmtId="0" fontId="4" fillId="4" borderId="7" xfId="0" applyFont="1" applyFill="1" applyBorder="1"/>
    <xf numFmtId="14" fontId="4" fillId="4" borderId="10" xfId="0" applyNumberFormat="1" applyFont="1" applyFill="1" applyBorder="1"/>
    <xf numFmtId="0" fontId="4" fillId="4" borderId="15" xfId="0" applyFont="1" applyFill="1" applyBorder="1"/>
    <xf numFmtId="0" fontId="4" fillId="4" borderId="16" xfId="0" applyFont="1" applyFill="1" applyBorder="1"/>
    <xf numFmtId="0" fontId="4" fillId="4" borderId="9" xfId="0" applyFont="1" applyFill="1" applyBorder="1"/>
    <xf numFmtId="0" fontId="4" fillId="4" borderId="7" xfId="0" applyFont="1" applyFill="1" applyBorder="1" applyAlignment="1">
      <alignment wrapText="1"/>
    </xf>
    <xf numFmtId="0" fontId="4" fillId="4" borderId="11" xfId="0" applyFont="1" applyFill="1" applyBorder="1"/>
    <xf numFmtId="0" fontId="4" fillId="4" borderId="10" xfId="0" applyFont="1" applyFill="1" applyBorder="1" applyAlignment="1">
      <alignment wrapText="1"/>
    </xf>
    <xf numFmtId="0" fontId="5" fillId="4" borderId="3" xfId="0" applyFont="1" applyFill="1" applyBorder="1"/>
    <xf numFmtId="0" fontId="4" fillId="4" borderId="19" xfId="0" applyFont="1" applyFill="1" applyBorder="1"/>
    <xf numFmtId="0" fontId="5" fillId="4" borderId="18" xfId="0" applyFont="1" applyFill="1" applyBorder="1"/>
    <xf numFmtId="0" fontId="7" fillId="0" borderId="12" xfId="0" applyFont="1" applyBorder="1"/>
    <xf numFmtId="0" fontId="1" fillId="0" borderId="17" xfId="0" applyFont="1" applyBorder="1"/>
    <xf numFmtId="14" fontId="7" fillId="0" borderId="1" xfId="0" applyNumberFormat="1" applyFont="1" applyBorder="1" applyAlignment="1">
      <alignment horizontal="center"/>
    </xf>
    <xf numFmtId="0" fontId="7" fillId="0" borderId="11" xfId="0" applyFont="1" applyBorder="1"/>
    <xf numFmtId="0" fontId="7" fillId="0" borderId="17" xfId="0" applyFont="1" applyBorder="1" applyAlignment="1">
      <alignment wrapText="1"/>
    </xf>
    <xf numFmtId="14" fontId="1" fillId="0" borderId="1" xfId="0" applyNumberFormat="1" applyFont="1" applyBorder="1"/>
    <xf numFmtId="0" fontId="7" fillId="0" borderId="3" xfId="0" applyFont="1" applyBorder="1"/>
    <xf numFmtId="0" fontId="7" fillId="0" borderId="1" xfId="0" applyFont="1" applyBorder="1" applyAlignment="1">
      <alignment wrapText="1"/>
    </xf>
    <xf numFmtId="0" fontId="1" fillId="0" borderId="12" xfId="0" applyFont="1" applyBorder="1"/>
    <xf numFmtId="14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4" fontId="7" fillId="0" borderId="12" xfId="0" applyNumberFormat="1" applyFont="1" applyBorder="1" applyAlignment="1">
      <alignment horizontal="center"/>
    </xf>
    <xf numFmtId="0" fontId="7" fillId="0" borderId="3" xfId="0" applyFont="1" applyBorder="1" applyAlignment="1">
      <alignment wrapText="1"/>
    </xf>
    <xf numFmtId="14" fontId="1" fillId="0" borderId="12" xfId="0" applyNumberFormat="1" applyFont="1" applyBorder="1"/>
    <xf numFmtId="0" fontId="7" fillId="5" borderId="1" xfId="0" applyFont="1" applyFill="1" applyBorder="1"/>
    <xf numFmtId="14" fontId="7" fillId="5" borderId="12" xfId="0" applyNumberFormat="1" applyFont="1" applyFill="1" applyBorder="1" applyAlignment="1">
      <alignment horizontal="center"/>
    </xf>
    <xf numFmtId="0" fontId="7" fillId="5" borderId="13" xfId="0" applyFont="1" applyFill="1" applyBorder="1"/>
    <xf numFmtId="14" fontId="1" fillId="6" borderId="1" xfId="0" applyNumberFormat="1" applyFont="1" applyFill="1" applyBorder="1"/>
    <xf numFmtId="0" fontId="7" fillId="0" borderId="13" xfId="0" applyFont="1" applyBorder="1"/>
    <xf numFmtId="0" fontId="7" fillId="5" borderId="12" xfId="0" applyFont="1" applyFill="1" applyBorder="1"/>
    <xf numFmtId="0" fontId="7" fillId="5" borderId="17" xfId="0" applyFont="1" applyFill="1" applyBorder="1"/>
    <xf numFmtId="0" fontId="7" fillId="5" borderId="18" xfId="0" applyFont="1" applyFill="1" applyBorder="1"/>
    <xf numFmtId="0" fontId="1" fillId="6" borderId="1" xfId="0" applyFont="1" applyFill="1" applyBorder="1"/>
    <xf numFmtId="0" fontId="7" fillId="0" borderId="14" xfId="0" applyFont="1" applyBorder="1" applyAlignment="1">
      <alignment wrapText="1"/>
    </xf>
    <xf numFmtId="0" fontId="7" fillId="0" borderId="6" xfId="0" applyFont="1" applyBorder="1"/>
    <xf numFmtId="0" fontId="4" fillId="7" borderId="6" xfId="0" applyFont="1" applyFill="1" applyBorder="1"/>
    <xf numFmtId="0" fontId="4" fillId="5" borderId="3" xfId="0" applyFont="1" applyFill="1" applyBorder="1"/>
    <xf numFmtId="0" fontId="4" fillId="0" borderId="7" xfId="0" applyFont="1" applyBorder="1" applyAlignment="1">
      <alignment wrapText="1"/>
    </xf>
    <xf numFmtId="0" fontId="4" fillId="5" borderId="3" xfId="0" applyFont="1" applyFill="1" applyBorder="1" applyAlignment="1">
      <alignment horizontal="left" vertical="center"/>
    </xf>
    <xf numFmtId="14" fontId="7" fillId="0" borderId="12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center" wrapText="1"/>
    </xf>
    <xf numFmtId="0" fontId="7" fillId="0" borderId="7" xfId="0" applyFont="1" applyBorder="1"/>
    <xf numFmtId="0" fontId="4" fillId="7" borderId="1" xfId="0" applyFont="1" applyFill="1" applyBorder="1"/>
    <xf numFmtId="14" fontId="12" fillId="8" borderId="1" xfId="0" applyNumberFormat="1" applyFont="1" applyFill="1" applyBorder="1" applyAlignment="1">
      <alignment horizontal="center" wrapText="1"/>
    </xf>
    <xf numFmtId="14" fontId="7" fillId="0" borderId="21" xfId="0" applyNumberFormat="1" applyFont="1" applyBorder="1" applyAlignment="1">
      <alignment horizontal="center"/>
    </xf>
    <xf numFmtId="0" fontId="7" fillId="0" borderId="21" xfId="0" applyFont="1" applyBorder="1"/>
    <xf numFmtId="0" fontId="7" fillId="0" borderId="13" xfId="0" applyFont="1" applyBorder="1" applyAlignment="1">
      <alignment wrapText="1"/>
    </xf>
    <xf numFmtId="0" fontId="4" fillId="7" borderId="7" xfId="0" applyFont="1" applyFill="1" applyBorder="1"/>
    <xf numFmtId="14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/>
    <xf numFmtId="0" fontId="7" fillId="7" borderId="7" xfId="0" applyFont="1" applyFill="1" applyBorder="1"/>
    <xf numFmtId="0" fontId="1" fillId="0" borderId="1" xfId="0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center"/>
    </xf>
    <xf numFmtId="0" fontId="7" fillId="7" borderId="16" xfId="0" applyFont="1" applyFill="1" applyBorder="1" applyAlignment="1">
      <alignment horizontal="right" vertical="top"/>
    </xf>
    <xf numFmtId="14" fontId="7" fillId="7" borderId="7" xfId="0" applyNumberFormat="1" applyFont="1" applyFill="1" applyBorder="1" applyAlignment="1">
      <alignment horizontal="center"/>
    </xf>
    <xf numFmtId="14" fontId="7" fillId="0" borderId="6" xfId="0" applyNumberFormat="1" applyFont="1" applyBorder="1"/>
    <xf numFmtId="0" fontId="7" fillId="0" borderId="16" xfId="0" applyFont="1" applyBorder="1" applyAlignment="1">
      <alignment horizontal="right" vertical="top"/>
    </xf>
    <xf numFmtId="14" fontId="7" fillId="0" borderId="7" xfId="0" applyNumberFormat="1" applyFont="1" applyBorder="1" applyAlignment="1">
      <alignment horizontal="center"/>
    </xf>
    <xf numFmtId="14" fontId="7" fillId="0" borderId="7" xfId="0" applyNumberFormat="1" applyFont="1" applyBorder="1"/>
    <xf numFmtId="0" fontId="4" fillId="0" borderId="15" xfId="0" applyFont="1" applyBorder="1"/>
    <xf numFmtId="14" fontId="4" fillId="0" borderId="8" xfId="0" applyNumberFormat="1" applyFont="1" applyBorder="1"/>
    <xf numFmtId="0" fontId="4" fillId="0" borderId="16" xfId="0" applyFont="1" applyBorder="1"/>
    <xf numFmtId="14" fontId="4" fillId="0" borderId="9" xfId="0" applyNumberFormat="1" applyFont="1" applyBorder="1"/>
    <xf numFmtId="0" fontId="4" fillId="0" borderId="19" xfId="0" applyFont="1" applyBorder="1"/>
    <xf numFmtId="0" fontId="4" fillId="0" borderId="3" xfId="0" applyFont="1" applyBorder="1"/>
    <xf numFmtId="0" fontId="4" fillId="0" borderId="18" xfId="0" applyFont="1" applyBorder="1"/>
    <xf numFmtId="14" fontId="4" fillId="0" borderId="11" xfId="0" applyNumberFormat="1" applyFont="1" applyBorder="1"/>
    <xf numFmtId="14" fontId="4" fillId="0" borderId="1" xfId="0" applyNumberFormat="1" applyFont="1" applyBorder="1"/>
    <xf numFmtId="14" fontId="4" fillId="0" borderId="12" xfId="0" applyNumberFormat="1" applyFont="1" applyBorder="1"/>
    <xf numFmtId="0" fontId="4" fillId="0" borderId="22" xfId="0" applyFont="1" applyBorder="1"/>
    <xf numFmtId="0" fontId="4" fillId="0" borderId="23" xfId="0" applyFont="1" applyBorder="1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wrapText="1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7" fillId="7" borderId="16" xfId="0" applyFont="1" applyFill="1" applyBorder="1"/>
    <xf numFmtId="0" fontId="1" fillId="6" borderId="3" xfId="0" applyFont="1" applyFill="1" applyBorder="1"/>
    <xf numFmtId="0" fontId="7" fillId="0" borderId="17" xfId="0" applyFont="1" applyBorder="1"/>
    <xf numFmtId="14" fontId="7" fillId="0" borderId="10" xfId="0" applyNumberFormat="1" applyFont="1" applyBorder="1"/>
    <xf numFmtId="0" fontId="7" fillId="5" borderId="6" xfId="0" applyFont="1" applyFill="1" applyBorder="1"/>
    <xf numFmtId="14" fontId="1" fillId="0" borderId="6" xfId="0" applyNumberFormat="1" applyFont="1" applyBorder="1"/>
    <xf numFmtId="0" fontId="1" fillId="0" borderId="6" xfId="0" applyFont="1" applyBorder="1"/>
    <xf numFmtId="0" fontId="1" fillId="6" borderId="14" xfId="0" applyFont="1" applyFill="1" applyBorder="1"/>
    <xf numFmtId="0" fontId="1" fillId="0" borderId="21" xfId="0" applyFont="1" applyBorder="1"/>
    <xf numFmtId="0" fontId="4" fillId="0" borderId="6" xfId="0" applyFont="1" applyBorder="1" applyAlignment="1">
      <alignment horizontal="right"/>
    </xf>
    <xf numFmtId="0" fontId="8" fillId="0" borderId="1" xfId="0" applyFont="1" applyBorder="1"/>
    <xf numFmtId="0" fontId="8" fillId="0" borderId="12" xfId="0" applyFont="1" applyBorder="1"/>
    <xf numFmtId="0" fontId="8" fillId="0" borderId="3" xfId="0" applyFont="1" applyBorder="1"/>
    <xf numFmtId="0" fontId="8" fillId="0" borderId="18" xfId="0" applyFont="1" applyBorder="1"/>
    <xf numFmtId="0" fontId="13" fillId="0" borderId="6" xfId="0" applyFont="1" applyBorder="1"/>
    <xf numFmtId="0" fontId="13" fillId="0" borderId="7" xfId="0" applyFont="1" applyBorder="1"/>
    <xf numFmtId="0" fontId="4" fillId="0" borderId="5" xfId="0" applyFont="1" applyBorder="1"/>
    <xf numFmtId="14" fontId="13" fillId="0" borderId="8" xfId="0" applyNumberFormat="1" applyFont="1" applyBorder="1"/>
    <xf numFmtId="14" fontId="13" fillId="0" borderId="1" xfId="0" applyNumberFormat="1" applyFont="1" applyBorder="1"/>
    <xf numFmtId="0" fontId="13" fillId="0" borderId="1" xfId="0" applyFont="1" applyBorder="1"/>
    <xf numFmtId="14" fontId="13" fillId="0" borderId="11" xfId="0" applyNumberFormat="1" applyFont="1" applyBorder="1"/>
    <xf numFmtId="0" fontId="13" fillId="0" borderId="10" xfId="0" applyFont="1" applyBorder="1"/>
    <xf numFmtId="0" fontId="14" fillId="0" borderId="1" xfId="0" applyFont="1" applyBorder="1"/>
    <xf numFmtId="0" fontId="14" fillId="0" borderId="12" xfId="0" applyFont="1" applyBorder="1"/>
    <xf numFmtId="0" fontId="7" fillId="5" borderId="15" xfId="0" applyFont="1" applyFill="1" applyBorder="1"/>
    <xf numFmtId="0" fontId="7" fillId="5" borderId="25" xfId="0" applyFont="1" applyFill="1" applyBorder="1"/>
    <xf numFmtId="14" fontId="1" fillId="0" borderId="21" xfId="0" applyNumberFormat="1" applyFont="1" applyBorder="1"/>
    <xf numFmtId="0" fontId="4" fillId="0" borderId="21" xfId="0" applyFont="1" applyBorder="1" applyAlignment="1">
      <alignment horizontal="right"/>
    </xf>
    <xf numFmtId="0" fontId="1" fillId="0" borderId="13" xfId="0" applyFont="1" applyBorder="1"/>
    <xf numFmtId="0" fontId="2" fillId="2" borderId="5" xfId="0" applyFont="1" applyFill="1" applyBorder="1" applyAlignment="1">
      <alignment horizontal="center"/>
    </xf>
    <xf numFmtId="0" fontId="0" fillId="0" borderId="13" xfId="0" applyBorder="1"/>
    <xf numFmtId="0" fontId="4" fillId="0" borderId="13" xfId="0" applyFont="1" applyBorder="1"/>
    <xf numFmtId="0" fontId="2" fillId="2" borderId="12" xfId="0" applyFont="1" applyFill="1" applyBorder="1" applyAlignment="1">
      <alignment horizontal="center"/>
    </xf>
    <xf numFmtId="0" fontId="1" fillId="0" borderId="15" xfId="0" applyFont="1" applyBorder="1"/>
    <xf numFmtId="3" fontId="4" fillId="0" borderId="1" xfId="0" applyNumberFormat="1" applyFont="1" applyBorder="1" applyAlignment="1">
      <alignment horizontal="right"/>
    </xf>
    <xf numFmtId="14" fontId="13" fillId="0" borderId="12" xfId="0" applyNumberFormat="1" applyFont="1" applyBorder="1"/>
    <xf numFmtId="0" fontId="13" fillId="0" borderId="12" xfId="0" applyFont="1" applyBorder="1"/>
    <xf numFmtId="0" fontId="7" fillId="0" borderId="12" xfId="0" applyFont="1" applyBorder="1" applyAlignment="1">
      <alignment wrapText="1"/>
    </xf>
    <xf numFmtId="0" fontId="1" fillId="0" borderId="25" xfId="0" applyFont="1" applyBorder="1"/>
    <xf numFmtId="0" fontId="13" fillId="0" borderId="6" xfId="0" applyFont="1" applyBorder="1" applyAlignment="1">
      <alignment horizontal="right"/>
    </xf>
    <xf numFmtId="0" fontId="1" fillId="0" borderId="21" xfId="0" applyFont="1" applyBorder="1" applyAlignment="1">
      <alignment wrapText="1"/>
    </xf>
    <xf numFmtId="0" fontId="13" fillId="0" borderId="7" xfId="0" applyFont="1" applyBorder="1" applyAlignment="1">
      <alignment wrapText="1"/>
    </xf>
    <xf numFmtId="14" fontId="13" fillId="0" borderId="6" xfId="0" applyNumberFormat="1" applyFont="1" applyBorder="1"/>
    <xf numFmtId="14" fontId="13" fillId="0" borderId="7" xfId="0" applyNumberFormat="1" applyFont="1" applyBorder="1"/>
    <xf numFmtId="0" fontId="15" fillId="0" borderId="1" xfId="0" applyFont="1" applyBorder="1"/>
    <xf numFmtId="0" fontId="16" fillId="0" borderId="1" xfId="0" applyFont="1" applyBorder="1"/>
    <xf numFmtId="0" fontId="4" fillId="9" borderId="1" xfId="0" applyFont="1" applyFill="1" applyBorder="1"/>
    <xf numFmtId="0" fontId="13" fillId="9" borderId="1" xfId="0" applyFont="1" applyFill="1" applyBorder="1"/>
    <xf numFmtId="14" fontId="13" fillId="9" borderId="1" xfId="0" applyNumberFormat="1" applyFont="1" applyFill="1" applyBorder="1"/>
    <xf numFmtId="0" fontId="7" fillId="9" borderId="1" xfId="0" applyFont="1" applyFill="1" applyBorder="1" applyAlignment="1">
      <alignment wrapText="1"/>
    </xf>
    <xf numFmtId="0" fontId="13" fillId="9" borderId="6" xfId="0" applyFont="1" applyFill="1" applyBorder="1" applyAlignment="1">
      <alignment horizontal="right"/>
    </xf>
    <xf numFmtId="14" fontId="1" fillId="9" borderId="12" xfId="0" applyNumberFormat="1" applyFont="1" applyFill="1" applyBorder="1"/>
    <xf numFmtId="0" fontId="4" fillId="9" borderId="12" xfId="0" applyFont="1" applyFill="1" applyBorder="1" applyAlignment="1">
      <alignment horizontal="right"/>
    </xf>
    <xf numFmtId="3" fontId="13" fillId="0" borderId="6" xfId="0" applyNumberFormat="1" applyFont="1" applyBorder="1"/>
    <xf numFmtId="3" fontId="13" fillId="0" borderId="7" xfId="0" applyNumberFormat="1" applyFont="1" applyBorder="1"/>
    <xf numFmtId="14" fontId="13" fillId="0" borderId="10" xfId="0" applyNumberFormat="1" applyFont="1" applyBorder="1"/>
    <xf numFmtId="3" fontId="13" fillId="0" borderId="10" xfId="0" applyNumberFormat="1" applyFont="1" applyBorder="1"/>
    <xf numFmtId="3" fontId="13" fillId="0" borderId="1" xfId="0" applyNumberFormat="1" applyFont="1" applyBorder="1"/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wrapText="1"/>
    </xf>
    <xf numFmtId="0" fontId="1" fillId="0" borderId="5" xfId="0" applyFont="1" applyBorder="1" applyAlignment="1">
      <alignment horizontal="right"/>
    </xf>
    <xf numFmtId="0" fontId="17" fillId="11" borderId="5" xfId="0" applyFont="1" applyFill="1" applyBorder="1" applyAlignment="1">
      <alignment vertical="center"/>
    </xf>
    <xf numFmtId="0" fontId="17" fillId="11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17" fillId="11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5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23" fillId="10" borderId="5" xfId="0" applyFont="1" applyFill="1" applyBorder="1" applyAlignment="1">
      <alignment horizontal="center" vertical="center" wrapText="1"/>
    </xf>
    <xf numFmtId="14" fontId="23" fillId="10" borderId="5" xfId="0" applyNumberFormat="1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14" fontId="22" fillId="0" borderId="5" xfId="0" applyNumberFormat="1" applyFont="1" applyBorder="1" applyAlignment="1">
      <alignment horizontal="center" vertical="center"/>
    </xf>
    <xf numFmtId="6" fontId="22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vertical="center"/>
    </xf>
    <xf numFmtId="3" fontId="22" fillId="0" borderId="5" xfId="0" applyNumberFormat="1" applyFont="1" applyBorder="1" applyAlignment="1">
      <alignment horizontal="center" vertical="center"/>
    </xf>
    <xf numFmtId="14" fontId="24" fillId="0" borderId="5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</cellXfs>
  <cellStyles count="1">
    <cellStyle name="Normal" xfId="0" builtinId="0"/>
  </cellStyles>
  <dxfs count="28"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E1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prestur-my.sharepoint.com/personal/dayana_restrepo_emprestur_com/Documents/Escritorio/DAYANA/BD%20COMPLETA%20DAYANA%20FEBRERO.xlsx" TargetMode="External"/><Relationship Id="rId1" Type="http://schemas.openxmlformats.org/officeDocument/2006/relationships/externalLinkPath" Target="https://emprestur-my.sharepoint.com/personal/dayana_restrepo_emprestur_com/Documents/Escritorio/DAYANA/BD%20COMPLETA%20DAYANA%20FEBR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BD CONDUCTORES"/>
      <sheetName val="BD ADMINISTRATIVO"/>
      <sheetName val="SEGUIMIENTO DE SALUD"/>
      <sheetName val="INFO ALCOHOL "/>
      <sheetName val="VIGIA"/>
      <sheetName val="TD OPERATIVOS"/>
      <sheetName val="PRECIOS ENTIDADES"/>
      <sheetName val="TD ADMON"/>
      <sheetName val="Graficas"/>
      <sheetName val="Hoja1"/>
    </sheetNames>
    <sheetDataSet>
      <sheetData sheetId="0" refreshError="1">
        <row r="2">
          <cell r="A2">
            <v>568523</v>
          </cell>
          <cell r="B2" t="str">
            <v>LUCENA MUJICA YORMAN OMAR</v>
          </cell>
        </row>
        <row r="3">
          <cell r="A3">
            <v>710684</v>
          </cell>
          <cell r="B3" t="str">
            <v>POSADA CORREA HECTOR HUGO</v>
          </cell>
        </row>
        <row r="4">
          <cell r="A4">
            <v>3159635</v>
          </cell>
          <cell r="B4" t="str">
            <v>PACHECO ORDOÑEZ RAFAEL GUILLER</v>
          </cell>
        </row>
        <row r="5">
          <cell r="A5">
            <v>3179600</v>
          </cell>
          <cell r="B5" t="str">
            <v>CHAVEZ AMEZQUITA CARLOS EDUARD</v>
          </cell>
        </row>
        <row r="6">
          <cell r="A6">
            <v>3189617</v>
          </cell>
          <cell r="B6" t="str">
            <v xml:space="preserve">ZARATE BERNAL JAIME </v>
          </cell>
        </row>
        <row r="7">
          <cell r="A7">
            <v>3521008</v>
          </cell>
          <cell r="B7" t="str">
            <v>MORALES VELASQUEZ FROILAN JADE</v>
          </cell>
        </row>
        <row r="8">
          <cell r="A8">
            <v>3592130</v>
          </cell>
          <cell r="B8" t="str">
            <v>MONSALVE ARIAS JAIME HARVEY</v>
          </cell>
        </row>
        <row r="9">
          <cell r="A9">
            <v>3593115</v>
          </cell>
          <cell r="B9" t="str">
            <v xml:space="preserve">HENAO RAMIREZ RIGOBERTO </v>
          </cell>
        </row>
        <row r="10">
          <cell r="A10">
            <v>4345637</v>
          </cell>
          <cell r="B10" t="str">
            <v>GONZALEZ RAMOS JORGE ADRIAN</v>
          </cell>
        </row>
        <row r="11">
          <cell r="A11">
            <v>4417278</v>
          </cell>
          <cell r="B11" t="str">
            <v>POLINDARA FIGUEROA MARIO ANDRE</v>
          </cell>
        </row>
        <row r="12">
          <cell r="A12">
            <v>4416406</v>
          </cell>
          <cell r="B12" t="str">
            <v>ARIAS PATIÑO HAROL ANDRES</v>
          </cell>
        </row>
        <row r="13">
          <cell r="A13">
            <v>4549063</v>
          </cell>
          <cell r="B13" t="str">
            <v>OSORIO PATIÑO CARLOS ARTURO</v>
          </cell>
        </row>
        <row r="14">
          <cell r="A14">
            <v>4565364</v>
          </cell>
          <cell r="B14" t="str">
            <v>NARANJO FERNANDEZ EDUARD KIN</v>
          </cell>
        </row>
        <row r="15">
          <cell r="A15">
            <v>4882920</v>
          </cell>
          <cell r="B15" t="str">
            <v>ZAMBRANO SANDOVAL JOSE MARCELI</v>
          </cell>
        </row>
        <row r="16">
          <cell r="A16">
            <v>7522393</v>
          </cell>
          <cell r="B16" t="str">
            <v xml:space="preserve">VARGAS RODRIGUEZ NORBERTO </v>
          </cell>
        </row>
        <row r="17">
          <cell r="A17">
            <v>75098062</v>
          </cell>
          <cell r="B17" t="str">
            <v>AVENDAÑO GIRALDO HECTOR FABIO</v>
          </cell>
        </row>
        <row r="18">
          <cell r="A18">
            <v>8005509</v>
          </cell>
          <cell r="B18" t="str">
            <v>SERNA CARVAJAL YAMID ABAD</v>
          </cell>
        </row>
        <row r="19">
          <cell r="A19">
            <v>8031893</v>
          </cell>
          <cell r="B19" t="str">
            <v>MEJIA TORRES JUAN DAVID</v>
          </cell>
        </row>
        <row r="20">
          <cell r="A20">
            <v>8037974</v>
          </cell>
          <cell r="B20" t="str">
            <v>CARMONA LONDOÑO JHON MARIO</v>
          </cell>
        </row>
        <row r="21">
          <cell r="A21">
            <v>8064865</v>
          </cell>
          <cell r="B21" t="str">
            <v>HERRERA ZAPATA DANIEL ARMANDO</v>
          </cell>
        </row>
        <row r="22">
          <cell r="A22">
            <v>8085766</v>
          </cell>
          <cell r="B22" t="str">
            <v>CARVAJAL PEREZ JORGE ELIECER</v>
          </cell>
        </row>
        <row r="23">
          <cell r="A23">
            <v>8151045</v>
          </cell>
          <cell r="B23" t="str">
            <v>TABORDA ROJO MARDARIO ALBERTO</v>
          </cell>
        </row>
        <row r="24">
          <cell r="A24">
            <v>8153131</v>
          </cell>
          <cell r="B24" t="str">
            <v xml:space="preserve">OQUENDO JORGE HUMBERTO </v>
          </cell>
        </row>
        <row r="25">
          <cell r="A25">
            <v>8156439</v>
          </cell>
          <cell r="B25" t="str">
            <v>PRECIADO PALACIO DAVID ANDRES</v>
          </cell>
        </row>
        <row r="26">
          <cell r="A26">
            <v>8162692</v>
          </cell>
          <cell r="B26" t="str">
            <v>PEREZ SEPULVEDA JOHN ALEXANDER</v>
          </cell>
        </row>
        <row r="27">
          <cell r="A27">
            <v>8323603</v>
          </cell>
          <cell r="B27" t="str">
            <v>ARCILA ROJAS HECTOR FERNANDO</v>
          </cell>
        </row>
        <row r="28">
          <cell r="A28">
            <v>8349327</v>
          </cell>
          <cell r="B28" t="str">
            <v>SIERRA ALVAREZ DARIO HUMBERTO</v>
          </cell>
        </row>
        <row r="29">
          <cell r="A29">
            <v>8391955</v>
          </cell>
          <cell r="B29" t="str">
            <v xml:space="preserve">ECHEVERRI CORREA HORACIO </v>
          </cell>
        </row>
        <row r="30">
          <cell r="A30">
            <v>8399771</v>
          </cell>
          <cell r="B30" t="str">
            <v>ECHEVERRI RAMOS JHON JAIRO</v>
          </cell>
        </row>
        <row r="31">
          <cell r="A31">
            <v>8404716</v>
          </cell>
          <cell r="B31" t="str">
            <v>LONDOÑO YEPES LUIS JAVIER</v>
          </cell>
        </row>
        <row r="32">
          <cell r="A32">
            <v>8408582</v>
          </cell>
          <cell r="B32" t="str">
            <v>AGUDELO ZULUAGA CARLOS ALBERTO</v>
          </cell>
        </row>
        <row r="33">
          <cell r="A33">
            <v>8415028</v>
          </cell>
          <cell r="B33" t="str">
            <v>SANMIGUEL BORJA JHON JADER</v>
          </cell>
        </row>
        <row r="34">
          <cell r="A34">
            <v>8465278</v>
          </cell>
          <cell r="B34" t="str">
            <v>ARROYAVE ARROYAVE CARLOS MAURI</v>
          </cell>
        </row>
        <row r="35">
          <cell r="A35">
            <v>8471639</v>
          </cell>
          <cell r="B35" t="str">
            <v>ARROYAVE CORREA CLIMACO ANTONI</v>
          </cell>
        </row>
        <row r="36">
          <cell r="A36">
            <v>8473153</v>
          </cell>
          <cell r="B36" t="str">
            <v>DELGADO DELGADO ANDRES FABRICI</v>
          </cell>
        </row>
        <row r="37">
          <cell r="A37">
            <v>8747435</v>
          </cell>
          <cell r="B37" t="str">
            <v>BARRAZA GAMERO JORGE ALBERTO</v>
          </cell>
        </row>
        <row r="38">
          <cell r="A38">
            <v>9695014</v>
          </cell>
          <cell r="B38" t="str">
            <v>OROZCO ROJAS JOHN FREDDY</v>
          </cell>
        </row>
        <row r="39">
          <cell r="A39">
            <v>9835044</v>
          </cell>
          <cell r="B39" t="str">
            <v>CARDONA RAMIREZ JIMMY ALEXANDE</v>
          </cell>
        </row>
        <row r="40">
          <cell r="A40">
            <v>9846820</v>
          </cell>
          <cell r="B40" t="str">
            <v>LARGO LONDOÑO WILMER ANDRES</v>
          </cell>
        </row>
        <row r="41">
          <cell r="A41">
            <v>9858936</v>
          </cell>
          <cell r="B41" t="str">
            <v>AVILA HERNANDEZ BENIGNO ULDARI</v>
          </cell>
        </row>
        <row r="42">
          <cell r="A42">
            <v>9872489</v>
          </cell>
          <cell r="B42" t="str">
            <v>SCARPETTA MENA LUIS ROBINSON</v>
          </cell>
        </row>
        <row r="43">
          <cell r="A43">
            <v>9873700</v>
          </cell>
          <cell r="B43" t="str">
            <v>GOMEZ OSPINA JOSE RODRIGO</v>
          </cell>
        </row>
        <row r="44">
          <cell r="A44">
            <v>9971760</v>
          </cell>
          <cell r="B44" t="str">
            <v>BUSTAMANTE RUIZ NELSON ANDRES</v>
          </cell>
        </row>
        <row r="45">
          <cell r="A45">
            <v>9975238</v>
          </cell>
          <cell r="B45" t="str">
            <v xml:space="preserve">GIRALDO RENDON NORBEY </v>
          </cell>
        </row>
        <row r="46">
          <cell r="A46">
            <v>9976749</v>
          </cell>
          <cell r="B46" t="str">
            <v xml:space="preserve">OCAMPO RODRIGUEZ MAURICIO </v>
          </cell>
        </row>
        <row r="47">
          <cell r="A47">
            <v>10000893</v>
          </cell>
          <cell r="B47" t="str">
            <v>ARBELAEZ SALAZAR RUBEN DARIO</v>
          </cell>
        </row>
        <row r="48">
          <cell r="A48">
            <v>10001266</v>
          </cell>
          <cell r="B48" t="str">
            <v>MUÑOZ SALAZAR JOSE JULIAN</v>
          </cell>
        </row>
        <row r="49">
          <cell r="A49">
            <v>10003073</v>
          </cell>
          <cell r="B49" t="str">
            <v>VASQUEZ ECHEVERRY SIMON ANDRES</v>
          </cell>
        </row>
        <row r="50">
          <cell r="A50">
            <v>10008242</v>
          </cell>
          <cell r="B50" t="str">
            <v>CESPEDES RAMIREZ WILTER FERNAN</v>
          </cell>
        </row>
        <row r="51">
          <cell r="A51">
            <v>10019873</v>
          </cell>
          <cell r="B51" t="str">
            <v>HENAO CARDONA CESAR WILLIAM</v>
          </cell>
        </row>
        <row r="52">
          <cell r="A52">
            <v>10032108</v>
          </cell>
          <cell r="B52" t="str">
            <v>CARMONA GIRALDO CARLOS FELIPE</v>
          </cell>
        </row>
        <row r="53">
          <cell r="A53">
            <v>10076650</v>
          </cell>
          <cell r="B53" t="str">
            <v>TAMAYO ZAPATA JOSE EDELBERTO</v>
          </cell>
        </row>
        <row r="54">
          <cell r="A54">
            <v>10077782</v>
          </cell>
          <cell r="B54" t="str">
            <v>GIRALDO AGUIRRE MIGUEL ANTONIO</v>
          </cell>
        </row>
        <row r="55">
          <cell r="A55">
            <v>10105568</v>
          </cell>
          <cell r="B55" t="str">
            <v>MONTOYA BONILLA JOSE FERNANDO</v>
          </cell>
        </row>
        <row r="56">
          <cell r="A56">
            <v>10116317</v>
          </cell>
          <cell r="B56" t="str">
            <v>GOMEZ GARCIA VICTOR HUGO WILSON</v>
          </cell>
        </row>
        <row r="57">
          <cell r="A57">
            <v>10116509</v>
          </cell>
          <cell r="B57" t="str">
            <v xml:space="preserve">OSORIO OSORIO BAIRON </v>
          </cell>
        </row>
        <row r="58">
          <cell r="A58">
            <v>10125900</v>
          </cell>
          <cell r="B58" t="str">
            <v xml:space="preserve">MONTOYA ARIEL  </v>
          </cell>
        </row>
        <row r="59">
          <cell r="A59">
            <v>10129004</v>
          </cell>
          <cell r="B59" t="str">
            <v>OSORIO OSORIO MARIO HERNAN</v>
          </cell>
        </row>
        <row r="60">
          <cell r="A60">
            <v>10129605</v>
          </cell>
          <cell r="B60" t="str">
            <v>UCHIMA GARZON CARLOS ALBEIRO</v>
          </cell>
        </row>
        <row r="61">
          <cell r="A61">
            <v>10131154</v>
          </cell>
          <cell r="B61" t="str">
            <v>PEREZ OCAMPO JHON JAIME</v>
          </cell>
        </row>
        <row r="62">
          <cell r="A62">
            <v>10131845</v>
          </cell>
          <cell r="B62" t="str">
            <v>CARMONA HERNANDEZ CARLOS ALBER</v>
          </cell>
        </row>
        <row r="63">
          <cell r="A63">
            <v>10137977</v>
          </cell>
          <cell r="B63" t="str">
            <v>ORTIZ HERNANDEZ JUAN GONZALO</v>
          </cell>
        </row>
        <row r="64">
          <cell r="A64">
            <v>10143604</v>
          </cell>
          <cell r="B64" t="str">
            <v>UCHIMA GRAJALES PEDRO NEL</v>
          </cell>
        </row>
        <row r="65">
          <cell r="A65">
            <v>10179195</v>
          </cell>
          <cell r="B65" t="str">
            <v>MARIN HINCAPIE CARLOS ALBERTO</v>
          </cell>
        </row>
        <row r="66">
          <cell r="A66">
            <v>10183148</v>
          </cell>
          <cell r="B66" t="str">
            <v>SANCHEZ GALVIS RUBIER ANTONIO</v>
          </cell>
        </row>
        <row r="67">
          <cell r="A67">
            <v>98694985</v>
          </cell>
          <cell r="B67" t="str">
            <v>CADAVID GOMEZ ANDRES FELIPE</v>
          </cell>
        </row>
        <row r="68">
          <cell r="A68">
            <v>16071723</v>
          </cell>
          <cell r="B68" t="str">
            <v xml:space="preserve">CARDONA GUERRERO IVAN </v>
          </cell>
        </row>
        <row r="69">
          <cell r="A69">
            <v>10233058</v>
          </cell>
          <cell r="B69" t="str">
            <v>CASTAÑO CASTRILLON MARCO TULIO</v>
          </cell>
        </row>
        <row r="70">
          <cell r="A70">
            <v>10268009</v>
          </cell>
          <cell r="B70" t="str">
            <v xml:space="preserve">CASTAÑO LONDOÑO GUSTAVO </v>
          </cell>
        </row>
        <row r="71">
          <cell r="A71">
            <v>1088277076</v>
          </cell>
          <cell r="B71" t="str">
            <v>CASTRO MOSQUERA JOSE LUIS</v>
          </cell>
        </row>
        <row r="72">
          <cell r="A72">
            <v>10264764</v>
          </cell>
          <cell r="B72" t="str">
            <v>TOBON BETANCUR FREDY ANTONIO</v>
          </cell>
        </row>
        <row r="73">
          <cell r="A73">
            <v>10264444</v>
          </cell>
          <cell r="B73" t="str">
            <v>CORREA GONZALEZ CARLOS ARTURO</v>
          </cell>
        </row>
        <row r="74">
          <cell r="A74">
            <v>18005021</v>
          </cell>
          <cell r="B74" t="str">
            <v>FIGUEROA GUTIERREZ CARLOS HERN</v>
          </cell>
        </row>
        <row r="75">
          <cell r="A75">
            <v>10237189</v>
          </cell>
          <cell r="B75" t="str">
            <v>FRANCO RAMIREZ JESUS MARIA</v>
          </cell>
        </row>
        <row r="76">
          <cell r="A76">
            <v>93348804</v>
          </cell>
          <cell r="B76" t="str">
            <v xml:space="preserve">GALVIS OREJUELA HENRY </v>
          </cell>
        </row>
        <row r="77">
          <cell r="A77">
            <v>10278205</v>
          </cell>
          <cell r="B77" t="str">
            <v>PINEDA ARENAS JORGE IVAN</v>
          </cell>
        </row>
        <row r="78">
          <cell r="A78">
            <v>10280691</v>
          </cell>
          <cell r="B78" t="str">
            <v>NIETO GALLEGO HECTOR RODRIGO</v>
          </cell>
        </row>
        <row r="79">
          <cell r="A79">
            <v>10283785</v>
          </cell>
          <cell r="B79" t="str">
            <v>VALENCIA POSADA OSCAR ALONSO</v>
          </cell>
        </row>
        <row r="80">
          <cell r="A80">
            <v>10285805</v>
          </cell>
          <cell r="B80" t="str">
            <v>DELGADO DELGADO HECTOR HERNAN</v>
          </cell>
        </row>
        <row r="81">
          <cell r="A81">
            <v>10286366</v>
          </cell>
          <cell r="B81" t="str">
            <v>ESPINOSA ARANGO JORGE IVAN</v>
          </cell>
        </row>
        <row r="82">
          <cell r="A82">
            <v>75080076</v>
          </cell>
          <cell r="B82" t="str">
            <v xml:space="preserve">GARCIA MEJIA DALADIER </v>
          </cell>
        </row>
        <row r="83">
          <cell r="A83">
            <v>10289167</v>
          </cell>
          <cell r="B83" t="str">
            <v>GONZALEZ GIRALDO HERNAN ALONSO</v>
          </cell>
        </row>
        <row r="84">
          <cell r="A84">
            <v>10549212</v>
          </cell>
          <cell r="B84" t="str">
            <v>GOMEZ VIVEROS HENRY MARTIN</v>
          </cell>
        </row>
        <row r="85">
          <cell r="A85">
            <v>10632535</v>
          </cell>
          <cell r="B85" t="str">
            <v>CUETIA REINA JORGE LEIDER</v>
          </cell>
        </row>
        <row r="86">
          <cell r="A86">
            <v>11437667</v>
          </cell>
          <cell r="B86" t="str">
            <v>HENAO BEDOYA FAUNIER DE JESUS</v>
          </cell>
        </row>
        <row r="87">
          <cell r="A87">
            <v>13471142</v>
          </cell>
          <cell r="B87" t="str">
            <v>ARENAS MONROY CARLOS JULIO</v>
          </cell>
        </row>
        <row r="88">
          <cell r="A88">
            <v>13536850</v>
          </cell>
          <cell r="B88" t="str">
            <v>RODRIGUEZ CORZO LUIS ALBERTO</v>
          </cell>
        </row>
        <row r="89">
          <cell r="A89">
            <v>13722877</v>
          </cell>
          <cell r="B89" t="str">
            <v xml:space="preserve">GIL GARNICA OCTAVIO </v>
          </cell>
        </row>
        <row r="90">
          <cell r="A90">
            <v>13742250</v>
          </cell>
          <cell r="B90" t="str">
            <v>JARAMILLO ATENCIO BERNARDO DE</v>
          </cell>
        </row>
        <row r="91">
          <cell r="A91">
            <v>13956679</v>
          </cell>
          <cell r="B91" t="str">
            <v xml:space="preserve">FONTECHA VILLAMIL ELIBERTO </v>
          </cell>
        </row>
        <row r="92">
          <cell r="A92">
            <v>14010983</v>
          </cell>
          <cell r="B92" t="str">
            <v>DIAZ ROMERO FABIO NELSON</v>
          </cell>
        </row>
        <row r="93">
          <cell r="A93">
            <v>14012408</v>
          </cell>
          <cell r="B93" t="str">
            <v>SANCHEZ GUTIERREZ JOHN JAROL</v>
          </cell>
        </row>
        <row r="94">
          <cell r="A94">
            <v>14321209</v>
          </cell>
          <cell r="B94" t="str">
            <v>MOGOLLON PEREZ OMAR ORLANDO</v>
          </cell>
        </row>
        <row r="95">
          <cell r="A95">
            <v>15256155</v>
          </cell>
          <cell r="B95" t="str">
            <v>CORDOBA VELEZ JUAN MANUEL</v>
          </cell>
        </row>
        <row r="96">
          <cell r="A96">
            <v>15263623</v>
          </cell>
          <cell r="B96" t="str">
            <v>ARENAS ARAQUE CARLOS MARIO</v>
          </cell>
        </row>
        <row r="97">
          <cell r="A97">
            <v>15273403</v>
          </cell>
          <cell r="B97" t="str">
            <v>CARDONA ALVAREZ RODOLFO ANTONI</v>
          </cell>
        </row>
        <row r="98">
          <cell r="A98">
            <v>15274008</v>
          </cell>
          <cell r="B98" t="str">
            <v>CARDONA ALVAREZ JUAN GABRIEL</v>
          </cell>
        </row>
        <row r="99">
          <cell r="A99">
            <v>15296376</v>
          </cell>
          <cell r="B99" t="str">
            <v>GOMEZ PATIÑO WIDMARCK AURELIO</v>
          </cell>
        </row>
        <row r="100">
          <cell r="A100">
            <v>15321956</v>
          </cell>
          <cell r="B100" t="str">
            <v>PEÑA MESA BERNARDO EBED</v>
          </cell>
        </row>
        <row r="101">
          <cell r="A101">
            <v>15323681</v>
          </cell>
          <cell r="B101" t="str">
            <v>BERMUDEZ LOPERA RAUL IGNACIO</v>
          </cell>
        </row>
        <row r="102">
          <cell r="A102">
            <v>15324007</v>
          </cell>
          <cell r="B102" t="str">
            <v>VELEZ PEREZ ALVARO DE JESUS</v>
          </cell>
        </row>
        <row r="103">
          <cell r="A103">
            <v>15325075</v>
          </cell>
          <cell r="B103" t="str">
            <v>CORREA RIVERA JORGE ALBEIRO</v>
          </cell>
        </row>
        <row r="104">
          <cell r="A104">
            <v>15325218</v>
          </cell>
          <cell r="B104" t="str">
            <v>GAVIRIA ESPINOSA CARLOS ARTURO</v>
          </cell>
        </row>
        <row r="105">
          <cell r="A105">
            <v>15347756</v>
          </cell>
          <cell r="B105" t="str">
            <v>ARANGO LOPEZ GUSTAVO ADOLFO</v>
          </cell>
        </row>
        <row r="106">
          <cell r="A106">
            <v>15348132</v>
          </cell>
          <cell r="B106" t="str">
            <v xml:space="preserve">VELEZ SANCHEZ JUVENAL </v>
          </cell>
        </row>
        <row r="107">
          <cell r="A107">
            <v>15349120</v>
          </cell>
          <cell r="B107" t="str">
            <v>MUÑOZ MUÑOZ JORGE ELIECER</v>
          </cell>
        </row>
        <row r="108">
          <cell r="A108">
            <v>15372243</v>
          </cell>
          <cell r="B108" t="str">
            <v>YEPES ROLDAN SANTIAGO ADOLFO</v>
          </cell>
        </row>
        <row r="109">
          <cell r="A109">
            <v>15372917</v>
          </cell>
          <cell r="B109" t="str">
            <v xml:space="preserve">SANCHEZ ROMAN MICHAEL </v>
          </cell>
        </row>
        <row r="110">
          <cell r="A110">
            <v>15373939</v>
          </cell>
          <cell r="B110" t="str">
            <v>PEREZ LOPEZ EDISON ANDRES</v>
          </cell>
        </row>
        <row r="111">
          <cell r="A111">
            <v>15403951</v>
          </cell>
          <cell r="B111" t="str">
            <v xml:space="preserve">URREGO GOEZ EDYWAN </v>
          </cell>
        </row>
        <row r="112">
          <cell r="A112">
            <v>15433788</v>
          </cell>
          <cell r="B112" t="str">
            <v>SEPULVEDA RAMIREZ LUIS FERNAN</v>
          </cell>
        </row>
        <row r="113">
          <cell r="A113">
            <v>15435583</v>
          </cell>
          <cell r="B113" t="str">
            <v>MONSALVE GARCIA RUBEN DARIO</v>
          </cell>
        </row>
        <row r="114">
          <cell r="A114">
            <v>15437502</v>
          </cell>
          <cell r="B114" t="str">
            <v>MONTOYA JARAMILLO HEIBER MAURI</v>
          </cell>
        </row>
        <row r="115">
          <cell r="A115">
            <v>15484254</v>
          </cell>
          <cell r="B115" t="str">
            <v>RIVERA GOMEZ JORGE ABAD</v>
          </cell>
        </row>
        <row r="116">
          <cell r="A116">
            <v>15506974</v>
          </cell>
          <cell r="B116" t="str">
            <v>MAYA HERNANDEZ JUAN FERNANDO</v>
          </cell>
        </row>
        <row r="117">
          <cell r="A117">
            <v>15507064</v>
          </cell>
          <cell r="B117" t="str">
            <v>ECHEVERRI CARMONA JOSE HERNAND</v>
          </cell>
        </row>
        <row r="118">
          <cell r="A118">
            <v>15507579</v>
          </cell>
          <cell r="B118" t="str">
            <v>RIOS RESTREPO OMAR DE JESUS</v>
          </cell>
        </row>
        <row r="119">
          <cell r="A119">
            <v>15508827</v>
          </cell>
          <cell r="B119" t="str">
            <v xml:space="preserve">GUTIERREZ MUNERA MAURICIO </v>
          </cell>
        </row>
        <row r="120">
          <cell r="A120">
            <v>15509092</v>
          </cell>
          <cell r="B120" t="str">
            <v>MISAS RUEDA LUIS ALBEIRO</v>
          </cell>
        </row>
        <row r="121">
          <cell r="A121">
            <v>15514112</v>
          </cell>
          <cell r="B121" t="str">
            <v>HERRERA GALLEGO JORGE ESNEIDER</v>
          </cell>
        </row>
        <row r="122">
          <cell r="A122">
            <v>15519042</v>
          </cell>
          <cell r="B122" t="str">
            <v>HERNANDEZ RAMIREZ ANDRES DAVID</v>
          </cell>
        </row>
        <row r="123">
          <cell r="A123">
            <v>15905949</v>
          </cell>
          <cell r="B123" t="str">
            <v>MARIN GIL LUIS GONZAGA</v>
          </cell>
        </row>
        <row r="124">
          <cell r="A124">
            <v>15908587</v>
          </cell>
          <cell r="B124" t="str">
            <v>GARCIA NARANJO JHON JAIRO</v>
          </cell>
        </row>
        <row r="125">
          <cell r="A125">
            <v>15916234</v>
          </cell>
          <cell r="B125" t="str">
            <v xml:space="preserve">ESTRADA LUIS FERNANDO </v>
          </cell>
        </row>
        <row r="126">
          <cell r="A126">
            <v>15920895</v>
          </cell>
          <cell r="B126" t="str">
            <v>DIAZ ZAMORA JORGE IVAN</v>
          </cell>
        </row>
        <row r="127">
          <cell r="A127">
            <v>75076379</v>
          </cell>
          <cell r="B127" t="str">
            <v xml:space="preserve">GUARIN MONSALVE FERNANDO </v>
          </cell>
        </row>
        <row r="128">
          <cell r="A128">
            <v>16072891</v>
          </cell>
          <cell r="B128" t="str">
            <v>PARRA VARGAS JOSE OSWALDO</v>
          </cell>
        </row>
        <row r="129">
          <cell r="A129">
            <v>10271854</v>
          </cell>
          <cell r="B129" t="str">
            <v xml:space="preserve">GUTIERREZ JHON JAIRO </v>
          </cell>
        </row>
        <row r="130">
          <cell r="A130">
            <v>16075255</v>
          </cell>
          <cell r="B130" t="str">
            <v>MOLINA LETRADO JORGE ELIECER</v>
          </cell>
        </row>
        <row r="131">
          <cell r="A131">
            <v>16225954</v>
          </cell>
          <cell r="B131" t="str">
            <v>GUZMAN HERRERA FRANCISCO JAVIE</v>
          </cell>
        </row>
        <row r="132">
          <cell r="A132">
            <v>16547045</v>
          </cell>
          <cell r="B132" t="str">
            <v xml:space="preserve">ARENAS RESTREPO HEIDER </v>
          </cell>
        </row>
        <row r="133">
          <cell r="A133">
            <v>16770904</v>
          </cell>
          <cell r="B133" t="str">
            <v xml:space="preserve">MOLINA AGUIRRE OLMES </v>
          </cell>
        </row>
        <row r="134">
          <cell r="A134">
            <v>16883472</v>
          </cell>
          <cell r="B134" t="str">
            <v>OSORIO CASTRO AMADO DE JESUS</v>
          </cell>
        </row>
        <row r="135">
          <cell r="A135">
            <v>17389482</v>
          </cell>
          <cell r="B135" t="str">
            <v>JIMENEZ GONZALEZ JUAN CARLOS</v>
          </cell>
        </row>
        <row r="136">
          <cell r="A136">
            <v>17588770</v>
          </cell>
          <cell r="B136" t="str">
            <v>FERNANDEZ CALVO URIEL ANTONIO</v>
          </cell>
        </row>
        <row r="137">
          <cell r="A137">
            <v>17848844</v>
          </cell>
          <cell r="B137" t="str">
            <v>GALINDO ACERO IGNACIO ALFREDO</v>
          </cell>
        </row>
        <row r="138">
          <cell r="A138">
            <v>10272598</v>
          </cell>
          <cell r="B138" t="str">
            <v>GUTIERREZ LLANOS JHON JAIRO</v>
          </cell>
        </row>
        <row r="139">
          <cell r="A139">
            <v>18400097</v>
          </cell>
          <cell r="B139" t="str">
            <v>BOTERO PESCADOR JESUS ANDRES</v>
          </cell>
        </row>
        <row r="140">
          <cell r="A140">
            <v>18505063</v>
          </cell>
          <cell r="B140" t="str">
            <v>ORTIZ RODRIGUEZ CARLOS IVAN</v>
          </cell>
        </row>
        <row r="141">
          <cell r="A141">
            <v>18505827</v>
          </cell>
          <cell r="B141" t="str">
            <v>CORTES MEDINA LUIS FERNANDO</v>
          </cell>
        </row>
        <row r="142">
          <cell r="A142">
            <v>18516706</v>
          </cell>
          <cell r="B142" t="str">
            <v>RAMOS LUGO WILDER ADOLFO</v>
          </cell>
        </row>
        <row r="143">
          <cell r="A143">
            <v>18518338</v>
          </cell>
          <cell r="B143" t="str">
            <v>LOPEZ HERRERA JHON ALEXANDER</v>
          </cell>
        </row>
        <row r="144">
          <cell r="A144">
            <v>18520444</v>
          </cell>
          <cell r="B144" t="str">
            <v>SALAZAR VALERO JULIAN ANDRES</v>
          </cell>
        </row>
        <row r="145">
          <cell r="A145">
            <v>18594368</v>
          </cell>
          <cell r="B145" t="str">
            <v xml:space="preserve">PALACIO REINEL ANTONIO </v>
          </cell>
        </row>
        <row r="146">
          <cell r="A146">
            <v>18594473</v>
          </cell>
          <cell r="B146" t="str">
            <v xml:space="preserve">PIEDRAHITA PIEDRAHITA MARINO </v>
          </cell>
        </row>
        <row r="147">
          <cell r="A147">
            <v>19413633</v>
          </cell>
          <cell r="B147" t="str">
            <v>REINA COBOS HECTOR ROGELIO</v>
          </cell>
        </row>
        <row r="148">
          <cell r="A148">
            <v>43118947</v>
          </cell>
          <cell r="B148" t="str">
            <v>LOPEZ DAVID DIANA MARCELA</v>
          </cell>
        </row>
        <row r="149">
          <cell r="A149">
            <v>43556793</v>
          </cell>
          <cell r="B149" t="str">
            <v>ANGEL RESTREPO VILMA ELENA</v>
          </cell>
        </row>
        <row r="150">
          <cell r="A150">
            <v>43562267</v>
          </cell>
          <cell r="B150" t="str">
            <v xml:space="preserve">MONTES MONTOYA JAKELINE </v>
          </cell>
        </row>
        <row r="151">
          <cell r="A151">
            <v>43673372</v>
          </cell>
          <cell r="B151" t="str">
            <v>MARTINEZ RAMIREZ JUANA MARIA</v>
          </cell>
        </row>
        <row r="152">
          <cell r="A152">
            <v>43903817</v>
          </cell>
          <cell r="B152" t="str">
            <v xml:space="preserve">ARBOLEDA MEJIA ZORAIDA </v>
          </cell>
        </row>
        <row r="153">
          <cell r="A153">
            <v>70001717</v>
          </cell>
          <cell r="B153" t="str">
            <v>LOPEZ BLANDON JORGE NELSON</v>
          </cell>
        </row>
        <row r="154">
          <cell r="A154">
            <v>70033808</v>
          </cell>
          <cell r="B154" t="str">
            <v>LOPEZ ECHEVERRI HECTOR RAMIRO</v>
          </cell>
        </row>
        <row r="155">
          <cell r="A155">
            <v>70067229</v>
          </cell>
          <cell r="B155" t="str">
            <v>BERMUDEZ OCHOA LUIS HERNANDO</v>
          </cell>
        </row>
        <row r="156">
          <cell r="A156">
            <v>70076467</v>
          </cell>
          <cell r="B156" t="str">
            <v>GOMEZ HENAO FABIO AGUSTIN</v>
          </cell>
        </row>
        <row r="157">
          <cell r="A157">
            <v>70078032</v>
          </cell>
          <cell r="B157" t="str">
            <v>SEPULVEDA MACHADO GABRIEL DARI</v>
          </cell>
        </row>
        <row r="158">
          <cell r="A158">
            <v>70127982</v>
          </cell>
          <cell r="B158" t="str">
            <v>OSPINA ARIAS JORGE IVAN</v>
          </cell>
        </row>
        <row r="159">
          <cell r="A159">
            <v>70128434</v>
          </cell>
          <cell r="B159" t="str">
            <v>ZAPATA GUZMAN HECTOR ELI</v>
          </cell>
        </row>
        <row r="160">
          <cell r="A160">
            <v>70140023</v>
          </cell>
          <cell r="B160" t="str">
            <v>MISAS RUEDA JULIO CESAR</v>
          </cell>
        </row>
        <row r="161">
          <cell r="A161">
            <v>70162780</v>
          </cell>
          <cell r="B161" t="str">
            <v>DAZA VALENCIA GUSTAVO ALBERTO</v>
          </cell>
        </row>
        <row r="162">
          <cell r="A162">
            <v>70162911</v>
          </cell>
          <cell r="B162" t="str">
            <v xml:space="preserve">GARZON IVAN  </v>
          </cell>
        </row>
        <row r="163">
          <cell r="A163">
            <v>70164701</v>
          </cell>
          <cell r="B163" t="str">
            <v>VELASQUEZ DUQUE LEONEL DE JESUS</v>
          </cell>
        </row>
        <row r="164">
          <cell r="A164">
            <v>70166300</v>
          </cell>
          <cell r="B164" t="str">
            <v>VARGAS GIRALDO LUIS ANGEL</v>
          </cell>
        </row>
        <row r="165">
          <cell r="A165">
            <v>70255848</v>
          </cell>
          <cell r="B165" t="str">
            <v xml:space="preserve">RIVERA ZAPATA HERNANDO </v>
          </cell>
        </row>
        <row r="166">
          <cell r="A166">
            <v>70257846</v>
          </cell>
          <cell r="B166" t="str">
            <v>GUTIERREZ RUA EDGAR ANDRES</v>
          </cell>
        </row>
        <row r="167">
          <cell r="A167">
            <v>70325688</v>
          </cell>
          <cell r="B167" t="str">
            <v>CORREA CORRALES NELSON HUMBERT</v>
          </cell>
        </row>
        <row r="168">
          <cell r="A168">
            <v>70328382</v>
          </cell>
          <cell r="B168" t="str">
            <v>JIMENEZ CORDOBA JOHN ALEXANDER</v>
          </cell>
        </row>
        <row r="169">
          <cell r="A169">
            <v>70329637</v>
          </cell>
          <cell r="B169" t="str">
            <v>BALLESTEROS VANEGAS BAYRON DE</v>
          </cell>
        </row>
        <row r="170">
          <cell r="A170">
            <v>70350339</v>
          </cell>
          <cell r="B170" t="str">
            <v>ZULUAGA SUAREZ RODRIGO DE JESUS</v>
          </cell>
        </row>
        <row r="171">
          <cell r="A171">
            <v>70416209</v>
          </cell>
          <cell r="B171" t="str">
            <v>HERNANDEZ GUTIERREZ LUIS EDUAR</v>
          </cell>
        </row>
        <row r="172">
          <cell r="A172">
            <v>70418378</v>
          </cell>
          <cell r="B172" t="str">
            <v>PUERTA VALDERRAMA JOSE LUIS</v>
          </cell>
        </row>
        <row r="173">
          <cell r="A173">
            <v>70432663</v>
          </cell>
          <cell r="B173" t="str">
            <v>USUGA HIGUITA JOSE LUIS</v>
          </cell>
        </row>
        <row r="174">
          <cell r="A174">
            <v>70435095</v>
          </cell>
          <cell r="B174" t="str">
            <v>GOEZ GARCIA CARLOS ANDRES</v>
          </cell>
        </row>
        <row r="175">
          <cell r="A175">
            <v>70435972</v>
          </cell>
          <cell r="B175" t="str">
            <v>GUZMAN GIRALDO LEONARDO ANTONI</v>
          </cell>
        </row>
        <row r="176">
          <cell r="A176">
            <v>70508347</v>
          </cell>
          <cell r="B176" t="str">
            <v>GIRALDO QUIJANO LEONARDO DE JESUS</v>
          </cell>
        </row>
        <row r="177">
          <cell r="A177">
            <v>70515849</v>
          </cell>
          <cell r="B177" t="str">
            <v>ALVAREZ AMARILES ELKIN DARIO</v>
          </cell>
        </row>
        <row r="178">
          <cell r="A178">
            <v>70561560</v>
          </cell>
          <cell r="B178" t="str">
            <v>TORRES MONSALVE CARLOS ARTURO</v>
          </cell>
        </row>
        <row r="179">
          <cell r="A179">
            <v>70563974</v>
          </cell>
          <cell r="B179" t="str">
            <v>BENITEZ GALLEGO HUGO ALBERTO</v>
          </cell>
        </row>
        <row r="180">
          <cell r="A180">
            <v>70565141</v>
          </cell>
          <cell r="B180" t="str">
            <v>JARAMILLO GIL CARLOS ALBERTO</v>
          </cell>
        </row>
        <row r="181">
          <cell r="A181">
            <v>70566483</v>
          </cell>
          <cell r="B181" t="str">
            <v xml:space="preserve">CANO MUÑOZ ROBERT </v>
          </cell>
        </row>
        <row r="182">
          <cell r="A182">
            <v>70567688</v>
          </cell>
          <cell r="B182" t="str">
            <v>VELASQUEZ VELEZ JUAN GONZALO</v>
          </cell>
        </row>
        <row r="183">
          <cell r="A183">
            <v>70567928</v>
          </cell>
          <cell r="B183" t="str">
            <v>RIOS PEREZ JAIME ALBERTO</v>
          </cell>
        </row>
        <row r="184">
          <cell r="A184">
            <v>70568599</v>
          </cell>
          <cell r="B184" t="str">
            <v>CARMONA MONTAÑO MANUEL ANTONIO</v>
          </cell>
        </row>
        <row r="185">
          <cell r="A185">
            <v>70601729</v>
          </cell>
          <cell r="B185" t="str">
            <v xml:space="preserve">GALEANO VELASQUEZ ALEXANDER </v>
          </cell>
        </row>
        <row r="186">
          <cell r="A186">
            <v>70726473</v>
          </cell>
          <cell r="B186" t="str">
            <v>VALENCIA GRISALES JUAN FAVIAN</v>
          </cell>
        </row>
        <row r="187">
          <cell r="A187">
            <v>70727527</v>
          </cell>
          <cell r="B187" t="str">
            <v>RUIZ LOAIZA CESAR AUGUSTO</v>
          </cell>
        </row>
        <row r="188">
          <cell r="A188">
            <v>70780052</v>
          </cell>
          <cell r="B188" t="str">
            <v>HENAO OCAMPO GERARDO DE JESUS</v>
          </cell>
        </row>
        <row r="189">
          <cell r="A189">
            <v>70781640</v>
          </cell>
          <cell r="B189" t="str">
            <v>OCAMPO OSORIO LUIS OMAR</v>
          </cell>
        </row>
        <row r="190">
          <cell r="A190">
            <v>70782378</v>
          </cell>
          <cell r="B190" t="str">
            <v>GIL SALGADO RUBEN DARIO</v>
          </cell>
        </row>
        <row r="191">
          <cell r="A191">
            <v>70782759</v>
          </cell>
          <cell r="B191" t="str">
            <v>MUÑOZ ARROYAVE JOHN DAIRO</v>
          </cell>
        </row>
        <row r="192">
          <cell r="A192">
            <v>70828446</v>
          </cell>
          <cell r="B192" t="str">
            <v>GIRALDO AGUIRRE LUIS FERNANDO</v>
          </cell>
        </row>
        <row r="193">
          <cell r="A193">
            <v>70852770</v>
          </cell>
          <cell r="B193" t="str">
            <v>CARO GIRALDO FABIO ENRIQUE</v>
          </cell>
        </row>
        <row r="194">
          <cell r="A194">
            <v>70878310</v>
          </cell>
          <cell r="B194" t="str">
            <v>DURANGO PEREZ HERNANDO DE JESUS</v>
          </cell>
        </row>
        <row r="195">
          <cell r="A195">
            <v>70878529</v>
          </cell>
          <cell r="B195" t="str">
            <v>CANO BUSTAMANTE LISANDRO ANDRE</v>
          </cell>
        </row>
        <row r="196">
          <cell r="A196">
            <v>71002444</v>
          </cell>
          <cell r="B196" t="str">
            <v>GOMEZ SANCHEZ CARLOS MARIO</v>
          </cell>
        </row>
        <row r="197">
          <cell r="A197">
            <v>71002594</v>
          </cell>
          <cell r="B197" t="str">
            <v>GIRALDO RIOS JUAN GUILLERMO</v>
          </cell>
        </row>
        <row r="198">
          <cell r="A198">
            <v>71002658</v>
          </cell>
          <cell r="B198" t="str">
            <v>BURITICA BUITRAGO WILSON DE JESUS</v>
          </cell>
        </row>
        <row r="199">
          <cell r="A199">
            <v>71003145</v>
          </cell>
          <cell r="B199" t="str">
            <v>YEPES BUITRAGO WILSON SALVADO</v>
          </cell>
        </row>
        <row r="200">
          <cell r="A200">
            <v>71003563</v>
          </cell>
          <cell r="B200" t="str">
            <v>ZULUAGA DAZA GUSTAVO ADOLFO</v>
          </cell>
        </row>
        <row r="201">
          <cell r="A201">
            <v>71005356</v>
          </cell>
          <cell r="B201" t="str">
            <v xml:space="preserve">LOPEZ GUZMAN RODOLFO </v>
          </cell>
        </row>
        <row r="202">
          <cell r="A202">
            <v>71005838</v>
          </cell>
          <cell r="B202" t="str">
            <v>ATEHORTUA QUICENO JOSE LEONARD</v>
          </cell>
        </row>
        <row r="203">
          <cell r="A203">
            <v>71020833</v>
          </cell>
          <cell r="B203" t="str">
            <v>CARVAJAL SEPULVEDA HERNANDO DE</v>
          </cell>
        </row>
        <row r="204">
          <cell r="A204">
            <v>71174247</v>
          </cell>
          <cell r="B204" t="str">
            <v>VARGAS GARCÍA LEONEL ALEXANDER</v>
          </cell>
        </row>
        <row r="205">
          <cell r="A205">
            <v>71184046</v>
          </cell>
          <cell r="B205" t="str">
            <v>MADRIGAL ZAPATA ROBERTO ARTURO</v>
          </cell>
        </row>
        <row r="206">
          <cell r="A206">
            <v>71194105</v>
          </cell>
          <cell r="B206" t="str">
            <v>JIMENEZ CIRO JULIAN LEONARDO</v>
          </cell>
        </row>
        <row r="207">
          <cell r="A207">
            <v>71213197</v>
          </cell>
          <cell r="B207" t="str">
            <v xml:space="preserve">BARRIENTOS JORGE WILSON </v>
          </cell>
        </row>
        <row r="208">
          <cell r="A208">
            <v>71216286</v>
          </cell>
          <cell r="B208" t="str">
            <v xml:space="preserve">RESTREPO DAVID ALEJANDRO </v>
          </cell>
        </row>
        <row r="209">
          <cell r="A209">
            <v>71216879</v>
          </cell>
          <cell r="B209" t="str">
            <v>AGUIRRE CATAÑO JAIDER OLIMPO</v>
          </cell>
        </row>
        <row r="210">
          <cell r="A210">
            <v>71222989</v>
          </cell>
          <cell r="B210" t="str">
            <v>TABORDA BOTERO ANDRES DE JESUS</v>
          </cell>
        </row>
        <row r="211">
          <cell r="A211">
            <v>71223585</v>
          </cell>
          <cell r="B211" t="str">
            <v>CASTRILLON LOPEZ CARLOS ANDRES</v>
          </cell>
        </row>
        <row r="212">
          <cell r="A212">
            <v>71229279</v>
          </cell>
          <cell r="B212" t="str">
            <v>CUARTAS BEDOYA JUAN CARLOS</v>
          </cell>
        </row>
        <row r="213">
          <cell r="A213">
            <v>71260182</v>
          </cell>
          <cell r="B213" t="str">
            <v>ESPINAL DE OSSA GIOVANNY ANDRE</v>
          </cell>
        </row>
        <row r="214">
          <cell r="A214">
            <v>71261968</v>
          </cell>
          <cell r="B214" t="str">
            <v>JIMENEZ MALDONADO WILSON FERNE</v>
          </cell>
        </row>
        <row r="215">
          <cell r="A215">
            <v>71264770</v>
          </cell>
          <cell r="B215" t="str">
            <v xml:space="preserve">CASTAÑO AMAYA ALEXIS </v>
          </cell>
        </row>
        <row r="216">
          <cell r="A216">
            <v>71264795</v>
          </cell>
          <cell r="B216" t="str">
            <v>ALVAREZ SALGADO JUAN DAVID</v>
          </cell>
        </row>
        <row r="217">
          <cell r="A217">
            <v>71266454</v>
          </cell>
          <cell r="B217" t="str">
            <v>MARQUEZ VELASQUEZ YHON JAVIER</v>
          </cell>
        </row>
        <row r="218">
          <cell r="A218">
            <v>71268105</v>
          </cell>
          <cell r="B218" t="str">
            <v>TORO LONDOÑO ANDRES ANTONIO</v>
          </cell>
        </row>
        <row r="219">
          <cell r="A219">
            <v>71268958</v>
          </cell>
          <cell r="B219" t="str">
            <v>MARIN LEGARDA JHON JAIRO</v>
          </cell>
        </row>
        <row r="220">
          <cell r="A220">
            <v>71269332</v>
          </cell>
          <cell r="B220" t="str">
            <v>ZAPATA ARROYAVE JONY ALEXANDER</v>
          </cell>
        </row>
        <row r="221">
          <cell r="A221">
            <v>71290145</v>
          </cell>
          <cell r="B221" t="str">
            <v>HERRERA CARO JUAN CAMILO</v>
          </cell>
        </row>
        <row r="222">
          <cell r="A222">
            <v>71310303</v>
          </cell>
          <cell r="B222" t="str">
            <v>POSADA MARIN DURLEY FERNANDO</v>
          </cell>
        </row>
        <row r="223">
          <cell r="A223">
            <v>71313790</v>
          </cell>
          <cell r="B223" t="str">
            <v>BASTIDAS CORREA JULIAN MAURICI</v>
          </cell>
        </row>
        <row r="224">
          <cell r="A224">
            <v>71315786</v>
          </cell>
          <cell r="B224" t="str">
            <v>TAMAYO PEREZ GUILLERMO LEON</v>
          </cell>
        </row>
        <row r="225">
          <cell r="A225">
            <v>71316284</v>
          </cell>
          <cell r="B225" t="str">
            <v>AGUIRRE GOMEZ CARLOS ALBERTO</v>
          </cell>
        </row>
        <row r="226">
          <cell r="A226">
            <v>71333869</v>
          </cell>
          <cell r="B226" t="str">
            <v>TORRES ROLDAN WEIMAR ANDRES</v>
          </cell>
        </row>
        <row r="227">
          <cell r="A227">
            <v>71335208</v>
          </cell>
          <cell r="B227" t="str">
            <v xml:space="preserve">RESTREPO MORENO EDUIN </v>
          </cell>
        </row>
        <row r="228">
          <cell r="A228">
            <v>71365357</v>
          </cell>
          <cell r="B228" t="str">
            <v>AGUDELO ARBOLEDA LUIS EDUARDO</v>
          </cell>
        </row>
        <row r="229">
          <cell r="A229">
            <v>71367907</v>
          </cell>
          <cell r="B229" t="str">
            <v>CAÑAVERAL PARRA OSCAR EDUARDO</v>
          </cell>
        </row>
        <row r="230">
          <cell r="A230">
            <v>71368133</v>
          </cell>
          <cell r="B230" t="str">
            <v>ZAPATA CAÑAS LUIS FELIPE</v>
          </cell>
        </row>
        <row r="231">
          <cell r="A231">
            <v>71370275</v>
          </cell>
          <cell r="B231" t="str">
            <v>ARROYAVE ARROYAVE RODOLFO HERN</v>
          </cell>
        </row>
        <row r="232">
          <cell r="A232">
            <v>71382268</v>
          </cell>
          <cell r="B232" t="str">
            <v>ZAPATA ARCILA RUBEN ALFONSO</v>
          </cell>
        </row>
        <row r="233">
          <cell r="A233">
            <v>71384258</v>
          </cell>
          <cell r="B233" t="str">
            <v>RAMIREZ SERNA WILMAR ALEJANDRO</v>
          </cell>
        </row>
        <row r="234">
          <cell r="A234">
            <v>71385542</v>
          </cell>
          <cell r="B234" t="str">
            <v>ARIAS CARDONA ARGIRO ANTONIO</v>
          </cell>
        </row>
        <row r="235">
          <cell r="A235">
            <v>71397288</v>
          </cell>
          <cell r="B235" t="str">
            <v>GOMEZ GOMEZ JORGE MARIO</v>
          </cell>
        </row>
        <row r="236">
          <cell r="A236">
            <v>71410845</v>
          </cell>
          <cell r="B236" t="str">
            <v>MAZO ACEVEDO REINALDO DE JESUS</v>
          </cell>
        </row>
        <row r="237">
          <cell r="A237">
            <v>71450643</v>
          </cell>
          <cell r="B237" t="str">
            <v>VALENCIA RAMIREZ OSCAR DARIO</v>
          </cell>
        </row>
        <row r="238">
          <cell r="A238">
            <v>71530504</v>
          </cell>
          <cell r="B238" t="str">
            <v>TORRES GOMEZ FABIO ESTEBAN</v>
          </cell>
        </row>
        <row r="239">
          <cell r="A239">
            <v>71531148</v>
          </cell>
          <cell r="B239" t="str">
            <v>MUÑOZ MUÑOZ RUBEN DARIO</v>
          </cell>
        </row>
        <row r="240">
          <cell r="A240">
            <v>71532182</v>
          </cell>
          <cell r="B240" t="str">
            <v>BOLIVAR VELEZ LEONARD ALEXANDE</v>
          </cell>
        </row>
        <row r="241">
          <cell r="A241">
            <v>71599845</v>
          </cell>
          <cell r="B241" t="str">
            <v>HERNANDEZ PINEDA JAIME ALBERTO</v>
          </cell>
        </row>
        <row r="242">
          <cell r="A242">
            <v>71601030</v>
          </cell>
          <cell r="B242" t="str">
            <v>ESCOBAR POSADA JAIME ALBERTO</v>
          </cell>
        </row>
        <row r="243">
          <cell r="A243">
            <v>71608119</v>
          </cell>
          <cell r="B243" t="str">
            <v>VALENCIA ALVAREZ CARLOS ARTURO</v>
          </cell>
        </row>
        <row r="244">
          <cell r="A244">
            <v>71613262</v>
          </cell>
          <cell r="B244" t="str">
            <v>VELEZ VELEZ LUIS ORLANDO</v>
          </cell>
        </row>
        <row r="245">
          <cell r="A245">
            <v>71618147</v>
          </cell>
          <cell r="B245" t="str">
            <v>CHICA TABARES JORGE IVAN</v>
          </cell>
        </row>
        <row r="246">
          <cell r="A246">
            <v>71621316</v>
          </cell>
          <cell r="B246" t="str">
            <v>BECERRA RESTREPO CARLOS MARIO</v>
          </cell>
        </row>
        <row r="247">
          <cell r="A247">
            <v>71625227</v>
          </cell>
          <cell r="B247" t="str">
            <v>LONDOÑO VEGA SALVADOR HENRY</v>
          </cell>
        </row>
        <row r="248">
          <cell r="A248">
            <v>71628957</v>
          </cell>
          <cell r="B248" t="str">
            <v>BURGOS CARMONA LUIS EDUARDO</v>
          </cell>
        </row>
        <row r="249">
          <cell r="A249">
            <v>71631968</v>
          </cell>
          <cell r="B249" t="str">
            <v>TABARES SILVA CARLOS MARIO</v>
          </cell>
        </row>
        <row r="250">
          <cell r="A250">
            <v>71632799</v>
          </cell>
          <cell r="B250" t="str">
            <v>FLOREZ GOMEZ JUAN PABLO</v>
          </cell>
        </row>
        <row r="251">
          <cell r="A251">
            <v>71633144</v>
          </cell>
          <cell r="B251" t="str">
            <v>CARDONA OCAMPO JOSE URIEL</v>
          </cell>
        </row>
        <row r="252">
          <cell r="A252">
            <v>71636757</v>
          </cell>
          <cell r="B252" t="str">
            <v>RUIZ RESTREPO JORGE OCTAVIO</v>
          </cell>
        </row>
        <row r="253">
          <cell r="A253">
            <v>71638134</v>
          </cell>
          <cell r="B253" t="str">
            <v>CASTAÑO ROMERO JOSE ANTONIO</v>
          </cell>
        </row>
        <row r="254">
          <cell r="A254">
            <v>71642029</v>
          </cell>
          <cell r="B254" t="str">
            <v>CORREA ALVAREZ ELKIN JAVIER</v>
          </cell>
        </row>
        <row r="255">
          <cell r="A255">
            <v>71644219</v>
          </cell>
          <cell r="B255" t="str">
            <v>LOPEZ VANEGAS JOSE DARIO</v>
          </cell>
        </row>
        <row r="256">
          <cell r="A256">
            <v>71648604</v>
          </cell>
          <cell r="B256" t="str">
            <v>POSADA QUINCHIA OMAR DE JESUS</v>
          </cell>
        </row>
        <row r="257">
          <cell r="A257">
            <v>71653218</v>
          </cell>
          <cell r="B257" t="str">
            <v>SANCHEZ CASTRO CARLOS MARIO</v>
          </cell>
        </row>
        <row r="258">
          <cell r="A258">
            <v>71653652</v>
          </cell>
          <cell r="B258" t="str">
            <v>LOPEZ QUINTERO ALBERT DE JESUS</v>
          </cell>
        </row>
        <row r="259">
          <cell r="A259">
            <v>71659337</v>
          </cell>
          <cell r="B259" t="str">
            <v>YEPES CARDONA JOSE ADAN</v>
          </cell>
        </row>
        <row r="260">
          <cell r="A260">
            <v>71661278</v>
          </cell>
          <cell r="B260" t="str">
            <v>MUÑOZ CANO CARLOS HUMBERTO</v>
          </cell>
        </row>
        <row r="261">
          <cell r="A261">
            <v>71662299</v>
          </cell>
          <cell r="B261" t="str">
            <v>GRISALES ORTIZ DIEGO LEON</v>
          </cell>
        </row>
        <row r="262">
          <cell r="A262">
            <v>71664713</v>
          </cell>
          <cell r="B262" t="str">
            <v>OQUENDO MORENO LEONEL ALBERTO</v>
          </cell>
        </row>
        <row r="263">
          <cell r="A263">
            <v>71664745</v>
          </cell>
          <cell r="B263" t="str">
            <v>LEON SARRAZOLA MARTIN ALONSO</v>
          </cell>
        </row>
        <row r="264">
          <cell r="A264">
            <v>71665423</v>
          </cell>
          <cell r="B264" t="str">
            <v>BETANCUR RODRIGUEZ CARLOS ALBE</v>
          </cell>
        </row>
        <row r="265">
          <cell r="A265">
            <v>71666329</v>
          </cell>
          <cell r="B265" t="str">
            <v>ORTIZ FORONDA JORGE ALBERTO</v>
          </cell>
        </row>
        <row r="266">
          <cell r="A266">
            <v>71669266</v>
          </cell>
          <cell r="B266" t="str">
            <v xml:space="preserve">RESTREPO ROLDAN GIOVANY </v>
          </cell>
        </row>
        <row r="267">
          <cell r="A267">
            <v>71670203</v>
          </cell>
          <cell r="B267" t="str">
            <v>MONTOYA RENDON JAIRO ALBERTO</v>
          </cell>
        </row>
        <row r="268">
          <cell r="A268">
            <v>71670546</v>
          </cell>
          <cell r="B268" t="str">
            <v>GIRALDO RUIZ JOHN GUIDO</v>
          </cell>
        </row>
        <row r="269">
          <cell r="A269">
            <v>71673928</v>
          </cell>
          <cell r="B269" t="str">
            <v>ARROYAVE VIANA HECTOR MARIO</v>
          </cell>
        </row>
        <row r="270">
          <cell r="A270">
            <v>71674901</v>
          </cell>
          <cell r="B270" t="str">
            <v>PIEDRAHITA CARDONA LUIS FERNAN</v>
          </cell>
        </row>
        <row r="271">
          <cell r="A271">
            <v>71677048</v>
          </cell>
          <cell r="B271" t="str">
            <v>LOPEZ PEREZ GUILLERMO ALVEIRO</v>
          </cell>
        </row>
        <row r="272">
          <cell r="A272">
            <v>71677396</v>
          </cell>
          <cell r="B272" t="str">
            <v>VARGAS BAENA OVIDIO DE JESUS</v>
          </cell>
        </row>
        <row r="273">
          <cell r="A273">
            <v>71682500</v>
          </cell>
          <cell r="B273" t="str">
            <v>GARZON LONDOÑO DAIRO DE JESUS</v>
          </cell>
        </row>
        <row r="274">
          <cell r="A274">
            <v>71687300</v>
          </cell>
          <cell r="B274" t="str">
            <v>VASQUEZ ORREGO ANGELO DE JESUS</v>
          </cell>
        </row>
        <row r="275">
          <cell r="A275">
            <v>71687955</v>
          </cell>
          <cell r="B275" t="str">
            <v>BARRERA ORLANDO DE JESUS</v>
          </cell>
        </row>
        <row r="276">
          <cell r="A276">
            <v>71691198</v>
          </cell>
          <cell r="B276" t="str">
            <v>CANO GOMEZ CARLOS ALBERTO</v>
          </cell>
        </row>
        <row r="277">
          <cell r="A277">
            <v>71691857</v>
          </cell>
          <cell r="B277" t="str">
            <v>GIRALDO MARIN OMAR OCTAVIO</v>
          </cell>
        </row>
        <row r="278">
          <cell r="A278">
            <v>71692868</v>
          </cell>
          <cell r="B278" t="str">
            <v>LOMBANA TORO OSCAR DE JESUS</v>
          </cell>
        </row>
        <row r="279">
          <cell r="A279">
            <v>71697510</v>
          </cell>
          <cell r="B279" t="str">
            <v>DAVID GIRALDO LUIS FERNANDO</v>
          </cell>
        </row>
        <row r="280">
          <cell r="A280">
            <v>71698113</v>
          </cell>
          <cell r="B280" t="str">
            <v>TIRADO AGUDELO WILSON ALBERTO</v>
          </cell>
        </row>
        <row r="281">
          <cell r="A281">
            <v>71698327</v>
          </cell>
          <cell r="B281" t="str">
            <v>MACHADO ALVAREZ RUBER DE JESUS</v>
          </cell>
        </row>
        <row r="282">
          <cell r="A282">
            <v>71700289</v>
          </cell>
          <cell r="B282" t="str">
            <v>RAVE SIERRA JUAN CARLOS</v>
          </cell>
        </row>
        <row r="283">
          <cell r="A283">
            <v>71701813</v>
          </cell>
          <cell r="B283" t="str">
            <v>RAMIREZ ZARATE JAIME DE JESUS</v>
          </cell>
        </row>
        <row r="284">
          <cell r="A284">
            <v>71702205</v>
          </cell>
          <cell r="B284" t="str">
            <v>ECHAVARRIA SALAZAR DAVID HORAC</v>
          </cell>
        </row>
        <row r="285">
          <cell r="A285">
            <v>71702901</v>
          </cell>
          <cell r="B285" t="str">
            <v>ZAPATA GARCES FABIO ALBERTO</v>
          </cell>
        </row>
        <row r="286">
          <cell r="A286">
            <v>71708253</v>
          </cell>
          <cell r="B286" t="str">
            <v>MARTINEZ ALVAREZ ALBEIRO DE JESUS</v>
          </cell>
        </row>
        <row r="287">
          <cell r="A287">
            <v>71710140</v>
          </cell>
          <cell r="B287" t="str">
            <v>GIL ALVAREZ JHON BAYRON</v>
          </cell>
        </row>
        <row r="288">
          <cell r="A288">
            <v>71711882</v>
          </cell>
          <cell r="B288" t="str">
            <v>LOPEZ HINCAPIE WILSON DARIO</v>
          </cell>
        </row>
        <row r="289">
          <cell r="A289">
            <v>71712057</v>
          </cell>
          <cell r="B289" t="str">
            <v xml:space="preserve">MARIN DIEGO ALONSO </v>
          </cell>
        </row>
        <row r="290">
          <cell r="A290">
            <v>71714370</v>
          </cell>
          <cell r="B290" t="str">
            <v>ROJAS RODRIGUEZ MAURICIO ANTON</v>
          </cell>
        </row>
        <row r="291">
          <cell r="A291">
            <v>71721598</v>
          </cell>
          <cell r="B291" t="str">
            <v>ARTEAGA DAVID JOHN JAIRO</v>
          </cell>
        </row>
        <row r="292">
          <cell r="A292">
            <v>71725637</v>
          </cell>
          <cell r="B292" t="str">
            <v>OCAMPO RINCON JAIME ALBERTO</v>
          </cell>
        </row>
        <row r="293">
          <cell r="A293">
            <v>71728403</v>
          </cell>
          <cell r="B293" t="str">
            <v>VILLA CARDONA IVAN DARIO</v>
          </cell>
        </row>
        <row r="294">
          <cell r="A294">
            <v>71729982</v>
          </cell>
          <cell r="B294" t="str">
            <v>CARMONA RODRIGUEZ JONNY ELIUD</v>
          </cell>
        </row>
        <row r="295">
          <cell r="A295">
            <v>71730453</v>
          </cell>
          <cell r="B295" t="str">
            <v>MARIN GONZALEZ JOSE ADRIANO</v>
          </cell>
        </row>
        <row r="296">
          <cell r="A296">
            <v>71731436</v>
          </cell>
          <cell r="B296" t="str">
            <v>LLANO ESCOBAR LUIS FERNANDO</v>
          </cell>
        </row>
        <row r="297">
          <cell r="A297">
            <v>71731740</v>
          </cell>
          <cell r="B297" t="str">
            <v>LOPEZ CADAVID SERGIO ALBERTO</v>
          </cell>
        </row>
        <row r="298">
          <cell r="A298">
            <v>71734187</v>
          </cell>
          <cell r="B298" t="str">
            <v xml:space="preserve">GIRALDO SIERRA ALEXANDER </v>
          </cell>
        </row>
        <row r="299">
          <cell r="A299">
            <v>71735938</v>
          </cell>
          <cell r="B299" t="str">
            <v>VASQUEZ JIMENEZ JUAN CARLOS</v>
          </cell>
        </row>
        <row r="300">
          <cell r="A300">
            <v>71743094</v>
          </cell>
          <cell r="B300" t="str">
            <v>VALENCIA GONZALEZ EDWAR DE JESUS</v>
          </cell>
        </row>
        <row r="301">
          <cell r="A301">
            <v>71747616</v>
          </cell>
          <cell r="B301" t="str">
            <v xml:space="preserve">OBANDO ESTRADA MAURICIO </v>
          </cell>
        </row>
        <row r="302">
          <cell r="A302">
            <v>71749055</v>
          </cell>
          <cell r="B302" t="str">
            <v xml:space="preserve">MONTOYA VELASQUEZ CAMILO </v>
          </cell>
        </row>
        <row r="303">
          <cell r="A303">
            <v>71750018</v>
          </cell>
          <cell r="B303" t="str">
            <v>RODRIGUEZ MONTOYA CESAR AUGUST</v>
          </cell>
        </row>
        <row r="304">
          <cell r="A304">
            <v>71753945</v>
          </cell>
          <cell r="B304" t="str">
            <v>GAVIRIA DURANGO LUIS FERNANDO</v>
          </cell>
        </row>
        <row r="305">
          <cell r="A305">
            <v>71759609</v>
          </cell>
          <cell r="B305" t="str">
            <v xml:space="preserve">GALVIS VALENCIA YESID </v>
          </cell>
        </row>
        <row r="306">
          <cell r="A306">
            <v>71763233</v>
          </cell>
          <cell r="B306" t="str">
            <v>HERNANDEZ VELEZ WILSON ANDRES</v>
          </cell>
        </row>
        <row r="307">
          <cell r="A307">
            <v>71766080</v>
          </cell>
          <cell r="B307" t="str">
            <v>BOTERO GARCIA OSWALDO DE JESUS</v>
          </cell>
        </row>
        <row r="308">
          <cell r="A308">
            <v>71767170</v>
          </cell>
          <cell r="B308" t="str">
            <v>JIMENEZ HOYOS JORGE ALEXANDER</v>
          </cell>
        </row>
        <row r="309">
          <cell r="A309">
            <v>71769916</v>
          </cell>
          <cell r="B309" t="str">
            <v>GONZALEZ GIRALDO WILSON EDUARD</v>
          </cell>
        </row>
        <row r="310">
          <cell r="A310">
            <v>71770611</v>
          </cell>
          <cell r="B310" t="str">
            <v>RESTREPO CASTAÑEDA CARLOS HUMB</v>
          </cell>
        </row>
        <row r="311">
          <cell r="A311">
            <v>71773902</v>
          </cell>
          <cell r="B311" t="str">
            <v>PARRA FORONDA MARTIN ALONSO</v>
          </cell>
        </row>
        <row r="312">
          <cell r="A312">
            <v>71777107</v>
          </cell>
          <cell r="B312" t="str">
            <v>VELEZ HOYOS JUAN GUILLERMO</v>
          </cell>
        </row>
        <row r="313">
          <cell r="A313">
            <v>71784723</v>
          </cell>
          <cell r="B313" t="str">
            <v>MARIN MUÑOZ JOSE ALEXANDER</v>
          </cell>
        </row>
        <row r="314">
          <cell r="A314">
            <v>71785832</v>
          </cell>
          <cell r="B314" t="str">
            <v>ALVAREZ ALVAREZ JOHN JAIRO</v>
          </cell>
        </row>
        <row r="315">
          <cell r="A315">
            <v>71789211</v>
          </cell>
          <cell r="B315" t="str">
            <v xml:space="preserve">ARCILA ESPINOSA ALEXANDER </v>
          </cell>
        </row>
        <row r="316">
          <cell r="A316">
            <v>71791367</v>
          </cell>
          <cell r="B316" t="str">
            <v>SALINAS LOAIZA YEYSON ANDRES</v>
          </cell>
        </row>
        <row r="317">
          <cell r="A317">
            <v>71792680</v>
          </cell>
          <cell r="B317" t="str">
            <v>BEDOYA ECHAVARRIA GIOVANNI ALB</v>
          </cell>
        </row>
        <row r="318">
          <cell r="A318">
            <v>71794730</v>
          </cell>
          <cell r="B318" t="str">
            <v>JIMENEZ JURADO WILMER JOSE</v>
          </cell>
        </row>
        <row r="319">
          <cell r="A319">
            <v>71798982</v>
          </cell>
          <cell r="B319" t="str">
            <v>SIERRA PEREZ ALEX JAMILTON</v>
          </cell>
        </row>
        <row r="320">
          <cell r="A320">
            <v>71877291</v>
          </cell>
          <cell r="B320" t="str">
            <v>MONCADA LONDOÑO JOHN HENRY</v>
          </cell>
        </row>
        <row r="321">
          <cell r="A321">
            <v>71879299</v>
          </cell>
          <cell r="B321" t="str">
            <v xml:space="preserve">CORREA PEREZ EULISES </v>
          </cell>
        </row>
        <row r="322">
          <cell r="A322">
            <v>71906486</v>
          </cell>
          <cell r="B322" t="str">
            <v>MONSALVE MAYA FABIO NELSON</v>
          </cell>
        </row>
        <row r="323">
          <cell r="A323">
            <v>71947379</v>
          </cell>
          <cell r="B323" t="str">
            <v>SALDARRIAGA GUTIERREZ EDISON B</v>
          </cell>
        </row>
        <row r="324">
          <cell r="A324">
            <v>71977113</v>
          </cell>
          <cell r="B324" t="str">
            <v xml:space="preserve">PEDROZA ESCOBAR OSCAR </v>
          </cell>
        </row>
        <row r="325">
          <cell r="A325">
            <v>71991789</v>
          </cell>
          <cell r="B325" t="str">
            <v>RINCON MARIN JAIME EDILBERTO</v>
          </cell>
        </row>
        <row r="326">
          <cell r="A326">
            <v>72129995</v>
          </cell>
          <cell r="B326" t="str">
            <v>HERNANDEZ TEJADA JHON BAIRON</v>
          </cell>
        </row>
        <row r="327">
          <cell r="A327">
            <v>75031541</v>
          </cell>
          <cell r="B327" t="str">
            <v>MORENO ESCOBAR JULIO CESAR</v>
          </cell>
        </row>
        <row r="328">
          <cell r="A328">
            <v>75033190</v>
          </cell>
          <cell r="B328" t="str">
            <v>BENJUMEA SALGADO JHON DAIDER</v>
          </cell>
        </row>
        <row r="329">
          <cell r="A329">
            <v>75066374</v>
          </cell>
          <cell r="B329" t="str">
            <v>GUZMAN LOAIZA JORGE WILMAR</v>
          </cell>
        </row>
        <row r="330">
          <cell r="A330">
            <v>75067642</v>
          </cell>
          <cell r="B330" t="str">
            <v>SALGADO CRUZ JUAN PABLO</v>
          </cell>
        </row>
        <row r="331">
          <cell r="A331">
            <v>10235688</v>
          </cell>
          <cell r="B331" t="str">
            <v>HERNANDEZ BURITICA CARLOS FRED</v>
          </cell>
        </row>
        <row r="332">
          <cell r="A332">
            <v>10288731</v>
          </cell>
          <cell r="B332" t="str">
            <v xml:space="preserve">JARAMILLO OCAMPO WILLIAM </v>
          </cell>
        </row>
        <row r="333">
          <cell r="A333">
            <v>75068473</v>
          </cell>
          <cell r="B333" t="str">
            <v>LOPEZ GOMEZ ALVARO HERNAN</v>
          </cell>
        </row>
        <row r="334">
          <cell r="A334">
            <v>79909780</v>
          </cell>
          <cell r="B334" t="str">
            <v xml:space="preserve">LOPEZ MARTINEZ DARLEY </v>
          </cell>
        </row>
        <row r="335">
          <cell r="A335">
            <v>75086372</v>
          </cell>
          <cell r="B335" t="str">
            <v>CARDONA JIMENEZ FELIPE ANDRES</v>
          </cell>
        </row>
        <row r="336">
          <cell r="A336">
            <v>7548740</v>
          </cell>
          <cell r="B336" t="str">
            <v xml:space="preserve">MAÑUNGA ELIECER  </v>
          </cell>
        </row>
        <row r="337">
          <cell r="A337">
            <v>75089758</v>
          </cell>
          <cell r="B337" t="str">
            <v>CORREA GUTIERREZ JUAN PABLO</v>
          </cell>
        </row>
        <row r="338">
          <cell r="A338">
            <v>75092999</v>
          </cell>
          <cell r="B338" t="str">
            <v>BURITICA ROJAS LUIS FELIPE</v>
          </cell>
        </row>
        <row r="339">
          <cell r="A339">
            <v>75093950</v>
          </cell>
          <cell r="B339" t="str">
            <v>QUITIAN CASTAÑO JOHN WILDER</v>
          </cell>
        </row>
        <row r="340">
          <cell r="A340">
            <v>10273687</v>
          </cell>
          <cell r="B340" t="str">
            <v xml:space="preserve">MEJIA CARDENAS RAUL </v>
          </cell>
        </row>
        <row r="341">
          <cell r="A341">
            <v>75145739</v>
          </cell>
          <cell r="B341" t="str">
            <v>OCAMPO SAENZ IVAN DARIO</v>
          </cell>
        </row>
        <row r="342">
          <cell r="A342">
            <v>75157615</v>
          </cell>
          <cell r="B342" t="str">
            <v xml:space="preserve">TUBERQUI DAVIEL ALONSO </v>
          </cell>
        </row>
        <row r="343">
          <cell r="A343">
            <v>79205287</v>
          </cell>
          <cell r="B343" t="str">
            <v>MORENO CALLEJAS LUIS FERNANDO</v>
          </cell>
        </row>
        <row r="344">
          <cell r="A344">
            <v>75089624</v>
          </cell>
          <cell r="B344" t="str">
            <v xml:space="preserve">OSORIO MARTINEZ MAURICIO </v>
          </cell>
        </row>
        <row r="345">
          <cell r="A345">
            <v>79333479</v>
          </cell>
          <cell r="B345" t="str">
            <v xml:space="preserve">HOYOS ZAPATA BAYRON </v>
          </cell>
        </row>
        <row r="346">
          <cell r="A346">
            <v>79416718</v>
          </cell>
          <cell r="B346" t="str">
            <v>PULGARIN HURTADO CARLOS AUGUST</v>
          </cell>
        </row>
        <row r="347">
          <cell r="A347">
            <v>79618570</v>
          </cell>
          <cell r="B347" t="str">
            <v>LINARES MANZANARES FABIAN FERL</v>
          </cell>
        </row>
        <row r="348">
          <cell r="A348">
            <v>75078328</v>
          </cell>
          <cell r="B348" t="str">
            <v>OSPINA GOMEZ DIEGO FERNANDO</v>
          </cell>
        </row>
        <row r="349">
          <cell r="A349">
            <v>79960355</v>
          </cell>
          <cell r="B349" t="str">
            <v xml:space="preserve">ESCUDERO AVILA WILDIOMER </v>
          </cell>
        </row>
        <row r="350">
          <cell r="A350">
            <v>80096218</v>
          </cell>
          <cell r="B350" t="str">
            <v>VARGAS CANCINO DAVID LISSY</v>
          </cell>
        </row>
        <row r="351">
          <cell r="A351">
            <v>85164936</v>
          </cell>
          <cell r="B351" t="str">
            <v xml:space="preserve">BAENA SAUCEDO RICARDO </v>
          </cell>
        </row>
        <row r="352">
          <cell r="A352">
            <v>88248833</v>
          </cell>
          <cell r="B352" t="str">
            <v xml:space="preserve">RUBIO ROZO EVANGELISTA </v>
          </cell>
        </row>
        <row r="353">
          <cell r="A353">
            <v>91041631</v>
          </cell>
          <cell r="B353" t="str">
            <v xml:space="preserve">COBOS ROA HORACIO </v>
          </cell>
        </row>
        <row r="354">
          <cell r="A354">
            <v>91154348</v>
          </cell>
          <cell r="B354" t="str">
            <v xml:space="preserve">PEREZ SILVA GUSTAVO </v>
          </cell>
        </row>
        <row r="355">
          <cell r="A355">
            <v>91155806</v>
          </cell>
          <cell r="B355" t="str">
            <v xml:space="preserve">MARTINEZ PLATA ORLANDO </v>
          </cell>
        </row>
        <row r="356">
          <cell r="A356">
            <v>91179430</v>
          </cell>
          <cell r="B356" t="str">
            <v>ORDOÑEZ ARENAS NESTOR ENRIQUE</v>
          </cell>
        </row>
        <row r="357">
          <cell r="A357">
            <v>92510810</v>
          </cell>
          <cell r="B357" t="str">
            <v>GUEVARA MONTERROZA PABLO EMILI</v>
          </cell>
        </row>
        <row r="358">
          <cell r="A358">
            <v>1060649387</v>
          </cell>
          <cell r="B358" t="str">
            <v>PATIÑO ALVAREZ JOHAN SEBASTIAN</v>
          </cell>
        </row>
        <row r="359">
          <cell r="A359">
            <v>93451891</v>
          </cell>
          <cell r="B359" t="str">
            <v xml:space="preserve">MENDEZ LUIS ANGEL </v>
          </cell>
        </row>
        <row r="360">
          <cell r="A360">
            <v>94274056</v>
          </cell>
          <cell r="B360" t="str">
            <v>RANGEL VELEZ HUMBERTO ELIAS</v>
          </cell>
        </row>
        <row r="361">
          <cell r="A361">
            <v>94391910</v>
          </cell>
          <cell r="B361" t="str">
            <v xml:space="preserve">HERNANDEZ CORONADO RODOLFO </v>
          </cell>
        </row>
        <row r="362">
          <cell r="A362">
            <v>98395407</v>
          </cell>
          <cell r="B362" t="str">
            <v>MORAN ORTIZ CARLOS ANDRES</v>
          </cell>
        </row>
        <row r="363">
          <cell r="A363">
            <v>98451079</v>
          </cell>
          <cell r="B363" t="str">
            <v>TOBON MONTOYA CARLOS ABEL</v>
          </cell>
        </row>
        <row r="364">
          <cell r="A364">
            <v>98482305</v>
          </cell>
          <cell r="B364" t="str">
            <v>MONTOYA GOMEZ VICTOR HUGO</v>
          </cell>
        </row>
        <row r="365">
          <cell r="A365">
            <v>98482941</v>
          </cell>
          <cell r="B365" t="str">
            <v>URIBE PULGARIN JOHN HENRY</v>
          </cell>
        </row>
        <row r="366">
          <cell r="A366">
            <v>98485591</v>
          </cell>
          <cell r="B366" t="str">
            <v xml:space="preserve">PATIÑO GOMEZ SERGIO </v>
          </cell>
        </row>
        <row r="367">
          <cell r="A367">
            <v>98500800</v>
          </cell>
          <cell r="B367" t="str">
            <v>LONDOÑO VELASQUEZ OSCAR DARIO</v>
          </cell>
        </row>
        <row r="368">
          <cell r="A368">
            <v>98501054</v>
          </cell>
          <cell r="B368" t="str">
            <v>PEÑA PEÑA ARLEY NOE</v>
          </cell>
        </row>
        <row r="369">
          <cell r="A369">
            <v>98502321</v>
          </cell>
          <cell r="B369" t="str">
            <v>LONDOÑO FREY JOVAN ALBERTO</v>
          </cell>
        </row>
        <row r="370">
          <cell r="A370">
            <v>98505833</v>
          </cell>
          <cell r="B370" t="str">
            <v>HENAO CORTES FABIO HERNANDO</v>
          </cell>
        </row>
        <row r="371">
          <cell r="A371">
            <v>98514320</v>
          </cell>
          <cell r="B371" t="str">
            <v xml:space="preserve">MUÑOZ DIEZ ALBERTO </v>
          </cell>
        </row>
        <row r="372">
          <cell r="A372">
            <v>98517151</v>
          </cell>
          <cell r="B372" t="str">
            <v>MONTOYA HOYOS JOHN FERNANDO</v>
          </cell>
        </row>
        <row r="373">
          <cell r="A373">
            <v>98521768</v>
          </cell>
          <cell r="B373" t="str">
            <v>GARCIA VELEZ EDGAR DE JESUS</v>
          </cell>
        </row>
        <row r="374">
          <cell r="A374">
            <v>98522986</v>
          </cell>
          <cell r="B374" t="str">
            <v>HERRERA PALACIO MAURICIO ALBER</v>
          </cell>
        </row>
        <row r="375">
          <cell r="A375">
            <v>98524143</v>
          </cell>
          <cell r="B375" t="str">
            <v>OCAMPO CARO FREDY HERNANDO</v>
          </cell>
        </row>
        <row r="376">
          <cell r="A376">
            <v>98526133</v>
          </cell>
          <cell r="B376" t="str">
            <v xml:space="preserve">ROJAS JOHN FREDY </v>
          </cell>
        </row>
        <row r="377">
          <cell r="A377">
            <v>98528077</v>
          </cell>
          <cell r="B377" t="str">
            <v>MARIN VANEGAS JULIO MAURICIO</v>
          </cell>
        </row>
        <row r="378">
          <cell r="A378">
            <v>98529108</v>
          </cell>
          <cell r="B378" t="str">
            <v>VALENCIA GIRALDO JOHN MARIO</v>
          </cell>
        </row>
        <row r="379">
          <cell r="A379">
            <v>98530096</v>
          </cell>
          <cell r="B379" t="str">
            <v>BOLIVAR VELEZ JOVANNY DE JESUS</v>
          </cell>
        </row>
        <row r="380">
          <cell r="A380">
            <v>98537362</v>
          </cell>
          <cell r="B380" t="str">
            <v>DELGADO MONSALVE JOSE DARIO</v>
          </cell>
        </row>
        <row r="381">
          <cell r="A381">
            <v>98539154</v>
          </cell>
          <cell r="B381" t="str">
            <v>GUTIERREZ URREGO WILSON ERNEST</v>
          </cell>
        </row>
        <row r="382">
          <cell r="A382">
            <v>98543063</v>
          </cell>
          <cell r="B382" t="str">
            <v>YARCE JIMENEZ JOHN BAIRON</v>
          </cell>
        </row>
        <row r="383">
          <cell r="A383">
            <v>98545061</v>
          </cell>
          <cell r="B383" t="str">
            <v>AGUDELO SALAS LUIS EDUARDO</v>
          </cell>
        </row>
        <row r="384">
          <cell r="A384">
            <v>98545822</v>
          </cell>
          <cell r="B384" t="str">
            <v>TIRADO VILLADA JUAN JOSE</v>
          </cell>
        </row>
        <row r="385">
          <cell r="A385">
            <v>98546391</v>
          </cell>
          <cell r="B385" t="str">
            <v xml:space="preserve">SEPULVEDA MUÑOZ WILMAR </v>
          </cell>
        </row>
        <row r="386">
          <cell r="A386">
            <v>98547504</v>
          </cell>
          <cell r="B386" t="str">
            <v>VILLA GOMEZ CARLOS ALBERTO</v>
          </cell>
        </row>
        <row r="387">
          <cell r="A387">
            <v>98549163</v>
          </cell>
          <cell r="B387" t="str">
            <v>SEPULVEDA ALVAREZ CARLOS ALBERTO</v>
          </cell>
        </row>
        <row r="388">
          <cell r="A388">
            <v>98549731</v>
          </cell>
          <cell r="B388" t="str">
            <v xml:space="preserve">SEPULVEDA MUÑOZ GERHWER </v>
          </cell>
        </row>
        <row r="389">
          <cell r="A389">
            <v>98552463</v>
          </cell>
          <cell r="B389" t="str">
            <v>CALDERON MONTOYA OMAR FERNANDO</v>
          </cell>
        </row>
        <row r="390">
          <cell r="A390">
            <v>98553544</v>
          </cell>
          <cell r="B390" t="str">
            <v>ECHEVERRI ATEHORTUA EDISON DE</v>
          </cell>
        </row>
        <row r="391">
          <cell r="A391">
            <v>98558921</v>
          </cell>
          <cell r="B391" t="str">
            <v>MONCADA SANCHEZ GUSTAVO ADOLFO</v>
          </cell>
        </row>
        <row r="392">
          <cell r="A392">
            <v>98563713</v>
          </cell>
          <cell r="B392" t="str">
            <v>LOPEZ ARENAS OSCAR OSWALDO</v>
          </cell>
        </row>
        <row r="393">
          <cell r="A393">
            <v>98565097</v>
          </cell>
          <cell r="B393" t="str">
            <v>HERRERA HERRERA JAIME ALBERTO</v>
          </cell>
        </row>
        <row r="394">
          <cell r="A394">
            <v>98566181</v>
          </cell>
          <cell r="B394" t="str">
            <v>GOMEZ BARRERA ELMER ARLEY</v>
          </cell>
        </row>
        <row r="395">
          <cell r="A395">
            <v>98567164</v>
          </cell>
          <cell r="B395" t="str">
            <v>MONTOYA ARANGO DIEGO ARMANDO</v>
          </cell>
        </row>
        <row r="396">
          <cell r="A396">
            <v>98567367</v>
          </cell>
          <cell r="B396" t="str">
            <v>LOPEZ GUTIERREZ JORGE ALEJANDR</v>
          </cell>
        </row>
        <row r="397">
          <cell r="A397">
            <v>98569101</v>
          </cell>
          <cell r="B397" t="str">
            <v>URIBE VELEZ JAIME AUGUSTO</v>
          </cell>
        </row>
        <row r="398">
          <cell r="A398">
            <v>98570703</v>
          </cell>
          <cell r="B398" t="str">
            <v>CARDONA PENAGOS ANDERSON ALONS</v>
          </cell>
        </row>
        <row r="399">
          <cell r="A399">
            <v>98571036</v>
          </cell>
          <cell r="B399" t="str">
            <v>ESPINAL BOTERO WILLIAM ALBERTO</v>
          </cell>
        </row>
        <row r="400">
          <cell r="A400">
            <v>98571216</v>
          </cell>
          <cell r="B400" t="str">
            <v>VILLA MONSALVE DENNIS ALBEIRO</v>
          </cell>
        </row>
        <row r="401">
          <cell r="A401">
            <v>98571366</v>
          </cell>
          <cell r="B401" t="str">
            <v>JARAMILLO RENDON HUMBERTO DE JESUS</v>
          </cell>
        </row>
        <row r="402">
          <cell r="A402">
            <v>98571836</v>
          </cell>
          <cell r="B402" t="str">
            <v xml:space="preserve">JARAMILLO FABIAN DARIO </v>
          </cell>
        </row>
        <row r="403">
          <cell r="A403">
            <v>98572372</v>
          </cell>
          <cell r="B403" t="str">
            <v>GARCIA RAMIREZ FABIAN EDUARDO</v>
          </cell>
        </row>
        <row r="404">
          <cell r="A404">
            <v>98572624</v>
          </cell>
          <cell r="B404" t="str">
            <v>MONTOYA ARIAS ELKIN GUSTAVO</v>
          </cell>
        </row>
        <row r="405">
          <cell r="A405">
            <v>98573574</v>
          </cell>
          <cell r="B405" t="str">
            <v>CASTRO BEDOYA MARTIN ALFONSO</v>
          </cell>
        </row>
        <row r="406">
          <cell r="A406">
            <v>98573602</v>
          </cell>
          <cell r="B406" t="str">
            <v>PEÑA BERRIO LUIS FERNANDO</v>
          </cell>
        </row>
        <row r="407">
          <cell r="A407">
            <v>98577216</v>
          </cell>
          <cell r="B407" t="str">
            <v>BOTERO MARTINEZ OSCAR IGNACIO</v>
          </cell>
        </row>
        <row r="408">
          <cell r="A408">
            <v>98583803</v>
          </cell>
          <cell r="B408" t="str">
            <v>GOMEZ TEJADA JUAN CARLOS</v>
          </cell>
        </row>
        <row r="409">
          <cell r="A409">
            <v>98586405</v>
          </cell>
          <cell r="B409" t="str">
            <v>ACOSTA RODAS GUILLERMO LEON</v>
          </cell>
        </row>
        <row r="410">
          <cell r="A410">
            <v>98589116</v>
          </cell>
          <cell r="B410" t="str">
            <v>GIRALDO VILLEGAS NORBEY ALONSO</v>
          </cell>
        </row>
        <row r="411">
          <cell r="A411">
            <v>98589488</v>
          </cell>
          <cell r="B411" t="str">
            <v>CALLE HENAO WILSON EUGENIO</v>
          </cell>
        </row>
        <row r="412">
          <cell r="A412">
            <v>98589658</v>
          </cell>
          <cell r="B412" t="str">
            <v>OSORIO HENAO UBER DE JESUS</v>
          </cell>
        </row>
        <row r="413">
          <cell r="A413">
            <v>98592184</v>
          </cell>
          <cell r="B413" t="str">
            <v>BALVIN OCHOA JOVANNY HUMBERTO</v>
          </cell>
        </row>
        <row r="414">
          <cell r="A414">
            <v>98594680</v>
          </cell>
          <cell r="B414" t="str">
            <v>CASTRILLON GONZALEZ WEIMAR ARL</v>
          </cell>
        </row>
        <row r="415">
          <cell r="A415">
            <v>98613966</v>
          </cell>
          <cell r="B415" t="str">
            <v>CANO GOMEZ JHON FREDY</v>
          </cell>
        </row>
        <row r="416">
          <cell r="A416">
            <v>98623789</v>
          </cell>
          <cell r="B416" t="str">
            <v>MUÑOZ VASQUEZ JUAN NEVARDO</v>
          </cell>
        </row>
        <row r="417">
          <cell r="A417">
            <v>98624721</v>
          </cell>
          <cell r="B417" t="str">
            <v>SANCHEZ OTALVARO WILFER ELIECE</v>
          </cell>
        </row>
        <row r="418">
          <cell r="A418">
            <v>98628624</v>
          </cell>
          <cell r="B418" t="str">
            <v>GIRALDO MONTOYA JUAN CARLOS</v>
          </cell>
        </row>
        <row r="419">
          <cell r="A419">
            <v>98632934</v>
          </cell>
          <cell r="B419" t="str">
            <v>GUZMAN ZAPATA NILSON NORBEY</v>
          </cell>
        </row>
        <row r="420">
          <cell r="A420">
            <v>98636087</v>
          </cell>
          <cell r="B420" t="str">
            <v>GAVIRIA ROLDAN DIDIER DE JESUS</v>
          </cell>
        </row>
        <row r="421">
          <cell r="A421">
            <v>98636966</v>
          </cell>
          <cell r="B421" t="str">
            <v>PUERTA MUÑOZ JUAN PABLO</v>
          </cell>
        </row>
        <row r="422">
          <cell r="A422">
            <v>98638694</v>
          </cell>
          <cell r="B422" t="str">
            <v>ARIAS VELASQUEZ JUAN DAVID</v>
          </cell>
        </row>
        <row r="423">
          <cell r="A423">
            <v>98639266</v>
          </cell>
          <cell r="B423" t="str">
            <v xml:space="preserve">MORALES ARLES FERNANDO </v>
          </cell>
        </row>
        <row r="424">
          <cell r="A424">
            <v>98642503</v>
          </cell>
          <cell r="B424" t="str">
            <v>GONZALES MORALES FRANK ESTEBAN</v>
          </cell>
        </row>
        <row r="425">
          <cell r="A425">
            <v>98643488</v>
          </cell>
          <cell r="B425" t="str">
            <v>GOMEZ QUINTERO JALLER DE JESUS</v>
          </cell>
        </row>
        <row r="426">
          <cell r="A426">
            <v>98646700</v>
          </cell>
          <cell r="B426" t="str">
            <v>ZAPATA RUA JAIME ANDRES</v>
          </cell>
        </row>
        <row r="427">
          <cell r="A427">
            <v>98647829</v>
          </cell>
          <cell r="B427" t="str">
            <v>BERRIO GALLEGO FRANCISCO SAMUE</v>
          </cell>
        </row>
        <row r="428">
          <cell r="A428">
            <v>98649233</v>
          </cell>
          <cell r="B428" t="str">
            <v>HENAO DUQUE HERNAN DE JESUS</v>
          </cell>
        </row>
        <row r="429">
          <cell r="A429">
            <v>98659232</v>
          </cell>
          <cell r="B429" t="str">
            <v>ESTRADA RESTREPO SERGIO ALBERT</v>
          </cell>
        </row>
        <row r="430">
          <cell r="A430">
            <v>98659995</v>
          </cell>
          <cell r="B430" t="str">
            <v>CANO SANCHEZ JOHNNY DE JESUS</v>
          </cell>
        </row>
        <row r="431">
          <cell r="A431">
            <v>98660793</v>
          </cell>
          <cell r="B431" t="str">
            <v>RESTREPO RESTREPO IVAN DARIO</v>
          </cell>
        </row>
        <row r="432">
          <cell r="A432">
            <v>98662107</v>
          </cell>
          <cell r="B432" t="str">
            <v>FERNANDEZ VELASQUEZ VICTOR HUG</v>
          </cell>
        </row>
        <row r="433">
          <cell r="A433">
            <v>98663526</v>
          </cell>
          <cell r="B433" t="str">
            <v>GOMEZ ZAPATA RICARDO LEON</v>
          </cell>
        </row>
        <row r="434">
          <cell r="A434">
            <v>98672936</v>
          </cell>
          <cell r="B434" t="str">
            <v>BARRIENTOS CASTILLO ALEXIS DE</v>
          </cell>
        </row>
        <row r="435">
          <cell r="A435">
            <v>98694782</v>
          </cell>
          <cell r="B435" t="str">
            <v>ROJO VARGAS FABER HARBEY</v>
          </cell>
        </row>
        <row r="436">
          <cell r="A436">
            <v>98694787</v>
          </cell>
          <cell r="B436" t="str">
            <v>TAPIAS SUAREZ CARLOS ARTURO</v>
          </cell>
        </row>
        <row r="437">
          <cell r="A437">
            <v>16073127</v>
          </cell>
          <cell r="B437" t="str">
            <v>QUINTERO RODRIGUEZ IVAN MARCEL</v>
          </cell>
        </row>
        <row r="438">
          <cell r="A438">
            <v>98701150</v>
          </cell>
          <cell r="B438" t="str">
            <v>ESTRADA BETANCUR WILMAR DUBIAN</v>
          </cell>
        </row>
        <row r="439">
          <cell r="A439">
            <v>98702123</v>
          </cell>
          <cell r="B439" t="str">
            <v>MONGUA GARCIA DIEGO ALEXIS</v>
          </cell>
        </row>
        <row r="440">
          <cell r="A440">
            <v>98704291</v>
          </cell>
          <cell r="B440" t="str">
            <v>ARANGO AYALA JUAN DAVID</v>
          </cell>
        </row>
        <row r="441">
          <cell r="A441">
            <v>98708897</v>
          </cell>
          <cell r="B441" t="str">
            <v>ARIAS CORREA JUAN PABLO</v>
          </cell>
        </row>
        <row r="442">
          <cell r="A442">
            <v>98709906</v>
          </cell>
          <cell r="B442" t="str">
            <v>HENAO CANO HARRISON ADOLFO</v>
          </cell>
        </row>
        <row r="443">
          <cell r="A443">
            <v>98712051</v>
          </cell>
          <cell r="B443" t="str">
            <v>YEPES HERNANDEZ RUBEN DARIO</v>
          </cell>
        </row>
        <row r="444">
          <cell r="A444">
            <v>1000083615</v>
          </cell>
          <cell r="B444" t="str">
            <v xml:space="preserve">RENDON MURILLO SANTIAGO </v>
          </cell>
        </row>
        <row r="445">
          <cell r="A445">
            <v>1000406833</v>
          </cell>
          <cell r="B445" t="str">
            <v xml:space="preserve">RENDON DUQUE JHEIMER </v>
          </cell>
        </row>
        <row r="446">
          <cell r="A446">
            <v>1000635424</v>
          </cell>
          <cell r="B446" t="str">
            <v xml:space="preserve">JARAMILLO USUGA BRANDON </v>
          </cell>
        </row>
        <row r="447">
          <cell r="A447">
            <v>1000644388</v>
          </cell>
          <cell r="B447" t="str">
            <v>GALINDO GOMEZ JUAN MANUEL</v>
          </cell>
        </row>
        <row r="448">
          <cell r="A448">
            <v>1000770888</v>
          </cell>
          <cell r="B448" t="str">
            <v>SILVA MORENO WILTON CESAR</v>
          </cell>
        </row>
        <row r="449">
          <cell r="A449">
            <v>1000870071</v>
          </cell>
          <cell r="B449" t="str">
            <v xml:space="preserve">JIMENEZ MALDONADO CRISTIAN </v>
          </cell>
        </row>
        <row r="450">
          <cell r="A450">
            <v>1001367816</v>
          </cell>
          <cell r="B450" t="str">
            <v>OSORIO PAREJA DIEGO ALEJANDRO</v>
          </cell>
        </row>
        <row r="451">
          <cell r="A451">
            <v>1001414626</v>
          </cell>
          <cell r="B451" t="str">
            <v>JIMENEZ IDARRAGA EIVER ALEXANDER</v>
          </cell>
        </row>
        <row r="452">
          <cell r="A452">
            <v>1001452215</v>
          </cell>
          <cell r="B452" t="str">
            <v xml:space="preserve">ATEHORTUA USME JONATHAN </v>
          </cell>
        </row>
        <row r="453">
          <cell r="A453">
            <v>1001539343</v>
          </cell>
          <cell r="B453" t="str">
            <v>AVENDAÑO MURILLO JOHN ALEXANDE</v>
          </cell>
        </row>
        <row r="454">
          <cell r="A454">
            <v>1002643041</v>
          </cell>
          <cell r="B454" t="str">
            <v xml:space="preserve">GIRALDO GUTIERREZ MATEO </v>
          </cell>
        </row>
        <row r="455">
          <cell r="A455">
            <v>1002752047</v>
          </cell>
          <cell r="B455" t="str">
            <v xml:space="preserve">CORREA QUINTERO VLADIMIR </v>
          </cell>
        </row>
        <row r="456">
          <cell r="A456">
            <v>1007243522</v>
          </cell>
          <cell r="B456" t="str">
            <v>GUZMAN MONSALVE JUAN FELIPE</v>
          </cell>
        </row>
        <row r="457">
          <cell r="A457">
            <v>1007335231</v>
          </cell>
          <cell r="B457" t="str">
            <v>JIMENEZ LONGAS JUAN ALEJANDRO</v>
          </cell>
        </row>
        <row r="458">
          <cell r="A458">
            <v>1007493327</v>
          </cell>
          <cell r="B458" t="str">
            <v xml:space="preserve">CHANCI FERIA ALEJANDRO </v>
          </cell>
        </row>
        <row r="459">
          <cell r="A459">
            <v>1007669856</v>
          </cell>
          <cell r="B459" t="str">
            <v>SALDARRIAGA HENAO EDISON STIVE</v>
          </cell>
        </row>
        <row r="460">
          <cell r="A460">
            <v>1007802739</v>
          </cell>
          <cell r="B460" t="str">
            <v>BENAVIDES SALDAÑA PEDRO LUIS</v>
          </cell>
        </row>
        <row r="461">
          <cell r="A461">
            <v>1007979469</v>
          </cell>
          <cell r="B461" t="str">
            <v>GONZALEZ PADILLA JUAN PABLO</v>
          </cell>
        </row>
        <row r="462">
          <cell r="A462">
            <v>1017139390</v>
          </cell>
          <cell r="B462" t="str">
            <v xml:space="preserve">CORREA MUÑOZ MAURICIO </v>
          </cell>
        </row>
        <row r="463">
          <cell r="A463">
            <v>1017144079</v>
          </cell>
          <cell r="B463" t="str">
            <v>RAMIREZ MAZO DEISON ARLEY</v>
          </cell>
        </row>
        <row r="464">
          <cell r="A464">
            <v>1017148606</v>
          </cell>
          <cell r="B464" t="str">
            <v xml:space="preserve">PARDO PAMPLONA WILDER </v>
          </cell>
        </row>
        <row r="465">
          <cell r="A465">
            <v>1017234185</v>
          </cell>
          <cell r="B465" t="str">
            <v>VALENCIA SOTO JULIAN ANDRES</v>
          </cell>
        </row>
        <row r="466">
          <cell r="A466">
            <v>1018343886</v>
          </cell>
          <cell r="B466" t="str">
            <v>GARCIA RAMIREZ SANTIAGO ARLEY</v>
          </cell>
        </row>
        <row r="467">
          <cell r="A467">
            <v>1020410678</v>
          </cell>
          <cell r="B467" t="str">
            <v>TOBON ATEHORTUA JOHN ANDERSON</v>
          </cell>
        </row>
        <row r="468">
          <cell r="A468">
            <v>1020412748</v>
          </cell>
          <cell r="B468" t="str">
            <v>GUZMAN ZULETA CAMILO ANDRES</v>
          </cell>
        </row>
        <row r="469">
          <cell r="A469">
            <v>1020425333</v>
          </cell>
          <cell r="B469" t="str">
            <v>OSSA GOMEZ JAIME ANDRES</v>
          </cell>
        </row>
        <row r="470">
          <cell r="A470">
            <v>1020462861</v>
          </cell>
          <cell r="B470" t="str">
            <v>BARELAS GOMEZ JAIME ANDRES</v>
          </cell>
        </row>
        <row r="471">
          <cell r="A471">
            <v>1020488835</v>
          </cell>
          <cell r="B471" t="str">
            <v xml:space="preserve">VELASQUEZ GARCIA ALEJANDRO </v>
          </cell>
        </row>
        <row r="472">
          <cell r="A472">
            <v>1020493285</v>
          </cell>
          <cell r="B472" t="str">
            <v>CARDONA CARVAJAL EDWIN ALEXIS</v>
          </cell>
        </row>
        <row r="473">
          <cell r="A473">
            <v>1020496956</v>
          </cell>
          <cell r="B473" t="str">
            <v xml:space="preserve">AGUDELO HERNANDEZ DANIEL </v>
          </cell>
        </row>
        <row r="474">
          <cell r="A474">
            <v>1022033133</v>
          </cell>
          <cell r="B474" t="str">
            <v>GIRALDO CHALARCA JUAN GUILLERM</v>
          </cell>
        </row>
        <row r="475">
          <cell r="A475">
            <v>1023801086</v>
          </cell>
          <cell r="B475" t="str">
            <v>AGUDELO LONDOÑO ELMER ALEXANDE</v>
          </cell>
        </row>
        <row r="476">
          <cell r="A476">
            <v>1023831141</v>
          </cell>
          <cell r="B476" t="str">
            <v>ARBOLEDA GALLEGO JORGE LUIS</v>
          </cell>
        </row>
        <row r="477">
          <cell r="A477">
            <v>1026134434</v>
          </cell>
          <cell r="B477" t="str">
            <v>SANCHEZ MONTOYA HUGO ANDRES</v>
          </cell>
        </row>
        <row r="478">
          <cell r="A478">
            <v>1026143853</v>
          </cell>
          <cell r="B478" t="str">
            <v>RUIZ RAMOS DIEGO ANDRES</v>
          </cell>
        </row>
        <row r="479">
          <cell r="A479">
            <v>1026158731</v>
          </cell>
          <cell r="B479" t="str">
            <v>GARCIA GOMEZ BRAYAN STIVEN</v>
          </cell>
        </row>
        <row r="480">
          <cell r="A480">
            <v>1026162357</v>
          </cell>
          <cell r="B480" t="str">
            <v>HOLGUIN MARIN MANUEL ALEJANDRO</v>
          </cell>
        </row>
        <row r="481">
          <cell r="A481">
            <v>1028007150</v>
          </cell>
          <cell r="B481" t="str">
            <v>CARDONA MAZO JUAN JOSE</v>
          </cell>
        </row>
        <row r="482">
          <cell r="A482">
            <v>1028015085</v>
          </cell>
          <cell r="B482" t="str">
            <v>VARGAS AMARIL RUBEN DARIO</v>
          </cell>
        </row>
        <row r="483">
          <cell r="A483">
            <v>1033375997</v>
          </cell>
          <cell r="B483" t="str">
            <v>AVILEZ CRUZ JHAN CARLOS</v>
          </cell>
        </row>
        <row r="484">
          <cell r="A484">
            <v>1033657728</v>
          </cell>
          <cell r="B484" t="str">
            <v xml:space="preserve">MARIN FORONDA HESNEIDER </v>
          </cell>
        </row>
        <row r="485">
          <cell r="A485">
            <v>4517512</v>
          </cell>
          <cell r="B485" t="str">
            <v>RODRIGUEZ AMELL JHON FREDY</v>
          </cell>
        </row>
        <row r="486">
          <cell r="A486">
            <v>1035229041</v>
          </cell>
          <cell r="B486" t="str">
            <v>LONDOÑO QUINTANA GUSTAVO ANDRES</v>
          </cell>
        </row>
        <row r="487">
          <cell r="A487">
            <v>1035303821</v>
          </cell>
          <cell r="B487" t="str">
            <v>RIVERA DAVID JORGE LUIS</v>
          </cell>
        </row>
        <row r="488">
          <cell r="A488">
            <v>1035418461</v>
          </cell>
          <cell r="B488" t="str">
            <v>MUÑOZ SALAZAR JHONATAN DAVID</v>
          </cell>
        </row>
        <row r="489">
          <cell r="A489">
            <v>1035423109</v>
          </cell>
          <cell r="B489" t="str">
            <v>ARANGO RODRIGUEZ CRISTIAN DAVI</v>
          </cell>
        </row>
        <row r="490">
          <cell r="A490">
            <v>1035425243</v>
          </cell>
          <cell r="B490" t="str">
            <v xml:space="preserve">DIAZ QUICENO ALEXANDER </v>
          </cell>
        </row>
        <row r="491">
          <cell r="A491">
            <v>1035520655</v>
          </cell>
          <cell r="B491" t="str">
            <v>SEPULVEDA MORALES FREIDER ALBE</v>
          </cell>
        </row>
        <row r="492">
          <cell r="A492">
            <v>1035580035</v>
          </cell>
          <cell r="B492" t="str">
            <v xml:space="preserve">GUERRA MORENO ROYNSON </v>
          </cell>
        </row>
        <row r="493">
          <cell r="A493">
            <v>1035911786</v>
          </cell>
          <cell r="B493" t="str">
            <v xml:space="preserve">SUAREZ GRISALES DUVERNEY </v>
          </cell>
        </row>
        <row r="494">
          <cell r="A494">
            <v>1036132399</v>
          </cell>
          <cell r="B494" t="str">
            <v>ARAGON JIMENEZ EDUARD YAIR</v>
          </cell>
        </row>
        <row r="495">
          <cell r="A495">
            <v>1036399081</v>
          </cell>
          <cell r="B495" t="str">
            <v>TAMAYO MURILLO JUAN JOSE</v>
          </cell>
        </row>
        <row r="496">
          <cell r="A496">
            <v>1036600323</v>
          </cell>
          <cell r="B496" t="str">
            <v>MUÑOZ LOPEZ JUAN FERNANDO</v>
          </cell>
        </row>
        <row r="497">
          <cell r="A497">
            <v>1036638930</v>
          </cell>
          <cell r="B497" t="str">
            <v xml:space="preserve">GARCIA SEPULVEDA SEBASTIAN </v>
          </cell>
        </row>
        <row r="498">
          <cell r="A498">
            <v>1036659840</v>
          </cell>
          <cell r="B498" t="str">
            <v>CORREA GUTIERREZ SARA MELISSA</v>
          </cell>
        </row>
        <row r="499">
          <cell r="A499">
            <v>1036664422</v>
          </cell>
          <cell r="B499" t="str">
            <v>CARDONA VASQUEZ EDWIN ARLEY</v>
          </cell>
        </row>
        <row r="500">
          <cell r="A500">
            <v>1036667413</v>
          </cell>
          <cell r="B500" t="str">
            <v>LOTERO GIRALDO JOHAN STIVEN</v>
          </cell>
        </row>
        <row r="501">
          <cell r="A501">
            <v>1036838584</v>
          </cell>
          <cell r="B501" t="str">
            <v>CORTES VALENCIA ROBER DAIRO</v>
          </cell>
        </row>
        <row r="502">
          <cell r="A502">
            <v>1037071115</v>
          </cell>
          <cell r="B502" t="str">
            <v>PARRA CUERVO MANUEL FERNANDO</v>
          </cell>
        </row>
        <row r="503">
          <cell r="A503">
            <v>1037071571</v>
          </cell>
          <cell r="B503" t="str">
            <v>MARIN RAMIREZ WILLIAM ESTEBAN</v>
          </cell>
        </row>
        <row r="504">
          <cell r="A504">
            <v>1037073014</v>
          </cell>
          <cell r="B504" t="str">
            <v>MURILLO HENAO DIDIER ESNEIDER</v>
          </cell>
        </row>
        <row r="505">
          <cell r="A505">
            <v>1037073078</v>
          </cell>
          <cell r="B505" t="str">
            <v xml:space="preserve">USME CRISTIAN FERNEY </v>
          </cell>
        </row>
        <row r="506">
          <cell r="A506">
            <v>1037268618</v>
          </cell>
          <cell r="B506" t="str">
            <v>ARANGO ZABALA LUIS EMILIO</v>
          </cell>
        </row>
        <row r="507">
          <cell r="A507">
            <v>1037391442</v>
          </cell>
          <cell r="B507" t="str">
            <v>HENAO VAHOS DANIEL ESTEBAN</v>
          </cell>
        </row>
        <row r="508">
          <cell r="A508">
            <v>1037392371</v>
          </cell>
          <cell r="B508" t="str">
            <v>CHANCI ECHAVARRIA SERGIO ALEJA</v>
          </cell>
        </row>
        <row r="509">
          <cell r="A509">
            <v>1037392554</v>
          </cell>
          <cell r="B509" t="str">
            <v>ROJO TOBON JOSE FERNANDO</v>
          </cell>
        </row>
        <row r="510">
          <cell r="A510">
            <v>1037545635</v>
          </cell>
          <cell r="B510" t="str">
            <v>ECHAVARRIA CORREA JUAN GUILLER</v>
          </cell>
        </row>
        <row r="511">
          <cell r="A511">
            <v>1037606884</v>
          </cell>
          <cell r="B511" t="str">
            <v>DUQUE GIRALDO JONNATAN ALEXAND</v>
          </cell>
        </row>
        <row r="512">
          <cell r="A512">
            <v>1037618189</v>
          </cell>
          <cell r="B512" t="str">
            <v>SEPULVEDA MORALES JUAN CAMILO</v>
          </cell>
        </row>
        <row r="513">
          <cell r="A513">
            <v>1037630688</v>
          </cell>
          <cell r="B513" t="str">
            <v xml:space="preserve">MONTOYA ZAPATA NICOLAS </v>
          </cell>
        </row>
        <row r="514">
          <cell r="A514">
            <v>1037946065</v>
          </cell>
          <cell r="B514" t="str">
            <v>MARTINEZ QUICENO FRANKY DEIBY</v>
          </cell>
        </row>
        <row r="515">
          <cell r="A515">
            <v>1037946909</v>
          </cell>
          <cell r="B515" t="str">
            <v>SALAZAR MARTINEZ EIDER ANDRES</v>
          </cell>
        </row>
        <row r="516">
          <cell r="A516">
            <v>1037947002</v>
          </cell>
          <cell r="B516" t="str">
            <v xml:space="preserve">CIRO CIRO CESAR </v>
          </cell>
        </row>
        <row r="517">
          <cell r="A517">
            <v>1037950009</v>
          </cell>
          <cell r="B517" t="str">
            <v xml:space="preserve">LAVERDE VARGAS MARLON </v>
          </cell>
        </row>
        <row r="518">
          <cell r="A518">
            <v>1038417695</v>
          </cell>
          <cell r="B518" t="str">
            <v xml:space="preserve">SANCHEZ JHONNY ANDRES </v>
          </cell>
        </row>
        <row r="519">
          <cell r="A519">
            <v>1039447240</v>
          </cell>
          <cell r="B519" t="str">
            <v>LOAIZA GRISALES OSCAR HUMBERTO</v>
          </cell>
        </row>
        <row r="520">
          <cell r="A520">
            <v>1039457905</v>
          </cell>
          <cell r="B520" t="str">
            <v xml:space="preserve">MONTOYA OBANDO SEBASTIAN </v>
          </cell>
        </row>
        <row r="521">
          <cell r="A521">
            <v>1039686676</v>
          </cell>
          <cell r="B521" t="str">
            <v>JIMENEZ YALI JUAN GILBERTO</v>
          </cell>
        </row>
        <row r="522">
          <cell r="A522">
            <v>1040743363</v>
          </cell>
          <cell r="B522" t="str">
            <v>PULGARIN CHALARCA JESUS ALBERT</v>
          </cell>
        </row>
        <row r="523">
          <cell r="A523">
            <v>1040749257</v>
          </cell>
          <cell r="B523" t="str">
            <v xml:space="preserve">ATEHORTUA VALENCIA DANIELA </v>
          </cell>
        </row>
        <row r="524">
          <cell r="A524">
            <v>1040751273</v>
          </cell>
          <cell r="B524" t="str">
            <v>MONCADA ORTEGA CARLOS DANIEL</v>
          </cell>
        </row>
        <row r="525">
          <cell r="A525">
            <v>1040753229</v>
          </cell>
          <cell r="B525" t="str">
            <v>VELASQUEZ ROJAS JUAN ESTEBAN</v>
          </cell>
        </row>
        <row r="526">
          <cell r="A526">
            <v>1041230949</v>
          </cell>
          <cell r="B526" t="str">
            <v xml:space="preserve">ZAPATA MARIN FREDY </v>
          </cell>
        </row>
        <row r="527">
          <cell r="A527">
            <v>1044122342</v>
          </cell>
          <cell r="B527" t="str">
            <v>CALLEJAS ALVAREZ JHON FELIPE</v>
          </cell>
        </row>
        <row r="528">
          <cell r="A528">
            <v>1045046928</v>
          </cell>
          <cell r="B528" t="str">
            <v>OSORIO OTALVARO HOOVER ALONSO</v>
          </cell>
        </row>
        <row r="529">
          <cell r="A529">
            <v>1045048236</v>
          </cell>
          <cell r="B529" t="str">
            <v>ZAPATA JARAMILLO JUAN ANDRES</v>
          </cell>
        </row>
        <row r="530">
          <cell r="A530">
            <v>1045079347</v>
          </cell>
          <cell r="B530" t="str">
            <v>AGUIRRE GALLEGO DIEGO NORBEY</v>
          </cell>
        </row>
        <row r="531">
          <cell r="A531">
            <v>1053833772</v>
          </cell>
          <cell r="B531" t="str">
            <v>ALZATE RENDON JUAN DAVID</v>
          </cell>
        </row>
        <row r="532">
          <cell r="A532">
            <v>1053849967</v>
          </cell>
          <cell r="B532" t="str">
            <v>CARDENAS SANCHEZ FABIAN GENARO</v>
          </cell>
        </row>
        <row r="533">
          <cell r="A533">
            <v>1054540053</v>
          </cell>
          <cell r="B533" t="str">
            <v>GELVEZ GRANADA JOHN WILSON</v>
          </cell>
        </row>
        <row r="534">
          <cell r="A534">
            <v>1059813414</v>
          </cell>
          <cell r="B534" t="str">
            <v>GRANADA GONZALEZ JORGE LUIS</v>
          </cell>
        </row>
        <row r="535">
          <cell r="A535">
            <v>1059908613</v>
          </cell>
          <cell r="B535" t="str">
            <v>RAMIREZ MOSQUERA GUILLERMO ALB</v>
          </cell>
        </row>
        <row r="536">
          <cell r="A536">
            <v>1060587693</v>
          </cell>
          <cell r="B536" t="str">
            <v xml:space="preserve">LOPEZ SANCHEZ DIEGO </v>
          </cell>
        </row>
        <row r="537">
          <cell r="A537">
            <v>79308188</v>
          </cell>
          <cell r="B537" t="str">
            <v xml:space="preserve">SALAMANCA GALINDO FRANCISCO </v>
          </cell>
        </row>
        <row r="538">
          <cell r="A538">
            <v>1060650008</v>
          </cell>
          <cell r="B538" t="str">
            <v>CARDONA CASTAÑO MILTON STIVEL</v>
          </cell>
        </row>
        <row r="539">
          <cell r="A539">
            <v>1060651874</v>
          </cell>
          <cell r="B539" t="str">
            <v xml:space="preserve">OROZCO CARDONA ALEXANDER </v>
          </cell>
        </row>
        <row r="540">
          <cell r="A540">
            <v>1062088177</v>
          </cell>
          <cell r="B540" t="str">
            <v>ROA GARCIA JUAN JOSE</v>
          </cell>
        </row>
        <row r="541">
          <cell r="A541">
            <v>1070603395</v>
          </cell>
          <cell r="B541" t="str">
            <v xml:space="preserve">UGHETTI ECHEVERRIA DAVID </v>
          </cell>
        </row>
        <row r="542">
          <cell r="A542">
            <v>1071329400</v>
          </cell>
          <cell r="B542" t="str">
            <v>VALENCIA RAMIREZ RAFAEL ANTONI</v>
          </cell>
        </row>
        <row r="543">
          <cell r="A543">
            <v>1073323369</v>
          </cell>
          <cell r="B543" t="str">
            <v>ROJAS GARCIA DIEGO ALEXANDER</v>
          </cell>
        </row>
        <row r="544">
          <cell r="A544">
            <v>1077440506</v>
          </cell>
          <cell r="B544" t="str">
            <v>PALACIOS MURILLO YUBER ANTONIO</v>
          </cell>
        </row>
        <row r="545">
          <cell r="A545">
            <v>1087997575</v>
          </cell>
          <cell r="B545" t="str">
            <v>HERNANDEZ PELAEZ JOHN JAIRO</v>
          </cell>
        </row>
        <row r="546">
          <cell r="A546">
            <v>1087999758</v>
          </cell>
          <cell r="B546" t="str">
            <v>TABARES VASCO ROBINSON JAVIER</v>
          </cell>
        </row>
        <row r="547">
          <cell r="A547">
            <v>1088257356</v>
          </cell>
          <cell r="B547" t="str">
            <v>AGUIRRE ALZATE NELSON RAUL</v>
          </cell>
        </row>
        <row r="548">
          <cell r="A548">
            <v>1088276548</v>
          </cell>
          <cell r="B548" t="str">
            <v>MOLINA RAMIREZ ALVARO JAVIER</v>
          </cell>
        </row>
        <row r="549">
          <cell r="A549">
            <v>1033734286</v>
          </cell>
          <cell r="B549" t="str">
            <v>VARGAS SORACA GUSTAVO ADOLFO</v>
          </cell>
        </row>
        <row r="550">
          <cell r="A550">
            <v>1092391388</v>
          </cell>
          <cell r="B550" t="str">
            <v xml:space="preserve">ESPAÑA LOSADA DANIEL </v>
          </cell>
        </row>
        <row r="551">
          <cell r="A551">
            <v>10263007</v>
          </cell>
          <cell r="B551" t="str">
            <v xml:space="preserve">VARGAS VILLEGAS BENJAMIN </v>
          </cell>
        </row>
        <row r="552">
          <cell r="A552">
            <v>1093789818</v>
          </cell>
          <cell r="B552" t="str">
            <v>OROZCO RINCON LUCAS DIMMER ALE</v>
          </cell>
        </row>
        <row r="553">
          <cell r="A553">
            <v>1098614858</v>
          </cell>
          <cell r="B553" t="str">
            <v>DIAZ MORENO RAMIRO ANDRES</v>
          </cell>
        </row>
        <row r="554">
          <cell r="A554">
            <v>1098730792</v>
          </cell>
          <cell r="B554" t="str">
            <v>CASTILLO DIAZ JORGE ELIECER</v>
          </cell>
        </row>
        <row r="555">
          <cell r="A555">
            <v>1099362688</v>
          </cell>
          <cell r="B555" t="str">
            <v>ANTOLINEZ RIOS EDWING ALBERTO</v>
          </cell>
        </row>
        <row r="556">
          <cell r="A556">
            <v>1099364245</v>
          </cell>
          <cell r="B556" t="str">
            <v>AYALA MEJIA JOSE MAURICIO</v>
          </cell>
        </row>
        <row r="557">
          <cell r="A557">
            <v>1099368262</v>
          </cell>
          <cell r="B557" t="str">
            <v>GUALDRON PRADILLA OMAR RONALDO</v>
          </cell>
        </row>
        <row r="558">
          <cell r="A558">
            <v>1101201071</v>
          </cell>
          <cell r="B558" t="str">
            <v xml:space="preserve">LUQUE GALLEGO JEISON </v>
          </cell>
        </row>
        <row r="559">
          <cell r="A559">
            <v>1102369436</v>
          </cell>
          <cell r="B559" t="str">
            <v xml:space="preserve">ESPINOSA AVILA SERGIO </v>
          </cell>
        </row>
        <row r="560">
          <cell r="A560">
            <v>1102841856</v>
          </cell>
          <cell r="B560" t="str">
            <v>RESTREPO BURGOS JUAN CARLOS</v>
          </cell>
        </row>
        <row r="561">
          <cell r="A561">
            <v>1106772607</v>
          </cell>
          <cell r="B561" t="str">
            <v xml:space="preserve">CARVAJAL COCOMA EDINSSON </v>
          </cell>
        </row>
        <row r="562">
          <cell r="A562">
            <v>1109291434</v>
          </cell>
          <cell r="B562" t="str">
            <v xml:space="preserve">VASQUEZ GUTIERREZ FELIPE </v>
          </cell>
        </row>
        <row r="563">
          <cell r="A563">
            <v>1112776458</v>
          </cell>
          <cell r="B563" t="str">
            <v>DUQUE HERRERA CRISTIAN HUMBERT</v>
          </cell>
        </row>
        <row r="564">
          <cell r="A564">
            <v>1121335752</v>
          </cell>
          <cell r="B564" t="str">
            <v>LOPEZ ESCOBAR ELMER ESTIBEN</v>
          </cell>
        </row>
        <row r="565">
          <cell r="A565">
            <v>1128268211</v>
          </cell>
          <cell r="B565" t="str">
            <v xml:space="preserve">ALARCON LOPEZ JAIR </v>
          </cell>
        </row>
        <row r="566">
          <cell r="A566">
            <v>1128274420</v>
          </cell>
          <cell r="B566" t="str">
            <v>SANDOVAL LUNA DAVINSON DANIEL</v>
          </cell>
        </row>
        <row r="567">
          <cell r="A567">
            <v>1128387317</v>
          </cell>
          <cell r="B567" t="str">
            <v>HERNANDEZ VELASQUEZ BAIRON EST</v>
          </cell>
        </row>
        <row r="568">
          <cell r="A568">
            <v>1128398259</v>
          </cell>
          <cell r="B568" t="str">
            <v>JIMENEZ URIBE GUSTAVO ALBERTO</v>
          </cell>
        </row>
        <row r="569">
          <cell r="A569">
            <v>1128405439</v>
          </cell>
          <cell r="B569" t="str">
            <v>AGUDELO MEJIA JUAN ESTEBAN</v>
          </cell>
        </row>
        <row r="570">
          <cell r="A570">
            <v>1128417875</v>
          </cell>
          <cell r="B570" t="str">
            <v>MUÑOZ OCAMPO JUAN DAVID</v>
          </cell>
        </row>
        <row r="571">
          <cell r="A571">
            <v>1128420749</v>
          </cell>
          <cell r="B571" t="str">
            <v>HERNANDEZ GOMEZ ANDRES CAMILO</v>
          </cell>
        </row>
        <row r="572">
          <cell r="A572">
            <v>1128441467</v>
          </cell>
          <cell r="B572" t="str">
            <v xml:space="preserve">RUIZ MOSCOSO SEBASTIAN </v>
          </cell>
        </row>
        <row r="573">
          <cell r="A573">
            <v>1128460588</v>
          </cell>
          <cell r="B573" t="str">
            <v xml:space="preserve">VELASQUEZ CADAVID SEBASTIAN </v>
          </cell>
        </row>
        <row r="574">
          <cell r="A574">
            <v>1128464999</v>
          </cell>
          <cell r="B574" t="str">
            <v>CARRILLO DELGADO JULIAN ANDRES</v>
          </cell>
        </row>
        <row r="575">
          <cell r="A575">
            <v>1128473064</v>
          </cell>
          <cell r="B575" t="str">
            <v xml:space="preserve">URIBE CASTAÑEDA SEBASTIAN </v>
          </cell>
        </row>
        <row r="576">
          <cell r="A576">
            <v>1128479183</v>
          </cell>
          <cell r="B576" t="str">
            <v xml:space="preserve">MEJIA POSADA ANDREW </v>
          </cell>
        </row>
        <row r="577">
          <cell r="A577">
            <v>1128624260</v>
          </cell>
          <cell r="B577" t="str">
            <v>HENAO ROJAS OSCAR JAVIER</v>
          </cell>
        </row>
        <row r="578">
          <cell r="A578">
            <v>1128624828</v>
          </cell>
          <cell r="B578" t="str">
            <v xml:space="preserve">CASTAÑO GIRALDO YONIER </v>
          </cell>
        </row>
        <row r="579">
          <cell r="A579">
            <v>1128627257</v>
          </cell>
          <cell r="B579" t="str">
            <v>CARDONA RAMIREZ LUIS MARINO</v>
          </cell>
        </row>
        <row r="580">
          <cell r="A580">
            <v>1128628081</v>
          </cell>
          <cell r="B580" t="str">
            <v>ROJAS GUZMAN JUAN CARLOS</v>
          </cell>
        </row>
        <row r="581">
          <cell r="A581">
            <v>1146434995</v>
          </cell>
          <cell r="B581" t="str">
            <v xml:space="preserve">ATEHORTUA ZAPATA YUNIER </v>
          </cell>
        </row>
        <row r="582">
          <cell r="A582">
            <v>1146440364</v>
          </cell>
          <cell r="B582" t="str">
            <v>TORRES RODRIGUEZ JEFFERSON DE</v>
          </cell>
        </row>
        <row r="583">
          <cell r="A583">
            <v>1152212062</v>
          </cell>
          <cell r="B583" t="str">
            <v>PABON LOPEZ CARLOS ANDRES</v>
          </cell>
        </row>
        <row r="584">
          <cell r="A584">
            <v>1152449793</v>
          </cell>
          <cell r="B584" t="str">
            <v xml:space="preserve">JIMENEZ ALVAREZ SANTIAGO </v>
          </cell>
        </row>
        <row r="585">
          <cell r="A585">
            <v>1152465813</v>
          </cell>
          <cell r="B585" t="str">
            <v xml:space="preserve">DIAZ OQUENDO ANDRES </v>
          </cell>
        </row>
        <row r="586">
          <cell r="A586">
            <v>1152684084</v>
          </cell>
          <cell r="B586" t="str">
            <v xml:space="preserve">VELEZ VARELAS CRISTIAN </v>
          </cell>
        </row>
        <row r="587">
          <cell r="A587">
            <v>1152689203</v>
          </cell>
          <cell r="B587" t="str">
            <v xml:space="preserve">JIMENEZ GONZALEZ JULIAN </v>
          </cell>
        </row>
        <row r="588">
          <cell r="A588">
            <v>1152700533</v>
          </cell>
          <cell r="B588" t="str">
            <v xml:space="preserve">USUGA MATEO LEON </v>
          </cell>
        </row>
        <row r="589">
          <cell r="A589">
            <v>1152708795</v>
          </cell>
          <cell r="B589" t="str">
            <v>PEREZ SALDARRIAGA YOHAN FELIPE</v>
          </cell>
        </row>
        <row r="590">
          <cell r="A590">
            <v>1152710017</v>
          </cell>
          <cell r="B590" t="str">
            <v>VILLADA HIGUITA JEISSON ANDRES</v>
          </cell>
        </row>
        <row r="591">
          <cell r="A591">
            <v>1193206966</v>
          </cell>
          <cell r="B591" t="str">
            <v>HOLGUIN MARIN SANTIAGO ALFONSO</v>
          </cell>
        </row>
        <row r="592">
          <cell r="A592">
            <v>1216727512</v>
          </cell>
          <cell r="B592" t="str">
            <v>AGUIRRE OSORIO EDWIN ANDRES</v>
          </cell>
        </row>
        <row r="593">
          <cell r="A593">
            <v>4516319</v>
          </cell>
          <cell r="B593" t="str">
            <v>ARBELAEZ GIRALDO ANDRES MAURIC</v>
          </cell>
        </row>
        <row r="594">
          <cell r="A594">
            <v>8056116</v>
          </cell>
          <cell r="B594" t="str">
            <v>MONSALVE BOLIVAR NELSON ANDRES</v>
          </cell>
        </row>
        <row r="595">
          <cell r="A595">
            <v>8152105</v>
          </cell>
          <cell r="B595" t="str">
            <v>RESTREPO MESA CARLOS ALBEIRO</v>
          </cell>
        </row>
        <row r="596">
          <cell r="A596">
            <v>15258224</v>
          </cell>
          <cell r="B596" t="str">
            <v>ECHEVERRI VELASQUEZ JUAN GUILL</v>
          </cell>
        </row>
        <row r="597">
          <cell r="A597">
            <v>34065299</v>
          </cell>
          <cell r="B597" t="str">
            <v>ARCILA CASTAÑO MARIA ISABEL</v>
          </cell>
        </row>
        <row r="598">
          <cell r="A598">
            <v>71382678</v>
          </cell>
          <cell r="B598" t="str">
            <v>ECHEVERRY QUINTERO JUAN FERNAN</v>
          </cell>
        </row>
        <row r="599">
          <cell r="A599">
            <v>71826008</v>
          </cell>
          <cell r="B599" t="str">
            <v>ARANGO POSADA RUBIEL EUGENIO</v>
          </cell>
        </row>
        <row r="600">
          <cell r="A600">
            <v>98519590</v>
          </cell>
          <cell r="B600" t="str">
            <v>BOTERO ARBELAEZ ALVARO ANTONIO</v>
          </cell>
        </row>
        <row r="601">
          <cell r="A601">
            <v>1017144589</v>
          </cell>
          <cell r="B601" t="str">
            <v>ORTIZ MARIN JUAN DAVID</v>
          </cell>
        </row>
        <row r="602">
          <cell r="A602">
            <v>1023832303</v>
          </cell>
          <cell r="B602" t="str">
            <v>ALVAREZ URREGO NIVER ALONSO</v>
          </cell>
        </row>
        <row r="603">
          <cell r="A603">
            <v>1037389083</v>
          </cell>
          <cell r="B603" t="str">
            <v>BUILES SUCERQUIA HERMES NICOLA</v>
          </cell>
        </row>
        <row r="604">
          <cell r="A604">
            <v>1128438613</v>
          </cell>
          <cell r="B604" t="str">
            <v>TABORDA TABORDA CRISTIAN ANDRE</v>
          </cell>
        </row>
        <row r="605">
          <cell r="A605">
            <v>1152452982</v>
          </cell>
          <cell r="B605" t="str">
            <v>CIRO CIRO LUIS FERNANDO</v>
          </cell>
        </row>
        <row r="606">
          <cell r="A606">
            <v>1001145007</v>
          </cell>
          <cell r="B606" t="str">
            <v>CASTAÑEDA SERNA ANDRES CAMILO</v>
          </cell>
        </row>
        <row r="607">
          <cell r="A607">
            <v>1007243076</v>
          </cell>
          <cell r="B607" t="str">
            <v xml:space="preserve">LOPERA BEDOYA ALEJANDRO </v>
          </cell>
        </row>
        <row r="608">
          <cell r="A608">
            <v>1036679129</v>
          </cell>
          <cell r="B608" t="str">
            <v>SEPULVEDA CARDONA ANDRES ESTIVEN</v>
          </cell>
        </row>
        <row r="609">
          <cell r="A609">
            <v>1037391245</v>
          </cell>
          <cell r="B609" t="str">
            <v>CUADROS RODRIGUEZ JULIAN ARBEY</v>
          </cell>
        </row>
        <row r="610">
          <cell r="A610">
            <v>1037604017</v>
          </cell>
          <cell r="B610" t="str">
            <v>AGUDELO ORREGO HENRY ANDRES</v>
          </cell>
        </row>
        <row r="611">
          <cell r="A611">
            <v>1088005564</v>
          </cell>
          <cell r="B611" t="str">
            <v>CORRALES VASCO JHON GERARDO</v>
          </cell>
        </row>
        <row r="612">
          <cell r="A612">
            <v>1104413134</v>
          </cell>
          <cell r="B612" t="str">
            <v xml:space="preserve">ESTRADA SIERRA ANUAR </v>
          </cell>
        </row>
        <row r="613">
          <cell r="A613">
            <v>1152466310</v>
          </cell>
          <cell r="B613" t="str">
            <v xml:space="preserve">ZULUAGA VASQUEZ STIVEN </v>
          </cell>
        </row>
        <row r="614">
          <cell r="A614">
            <v>18515627</v>
          </cell>
          <cell r="B614" t="str">
            <v xml:space="preserve">SUAZA GOMEZ WILFREDO </v>
          </cell>
        </row>
        <row r="615">
          <cell r="A615">
            <v>71663113</v>
          </cell>
          <cell r="B615" t="str">
            <v>JIMENEZ HENAO ELBER YLLAN</v>
          </cell>
        </row>
        <row r="616">
          <cell r="A616">
            <v>71669293</v>
          </cell>
          <cell r="B616" t="str">
            <v>CARDENAS SIERRA JORGE MARIO</v>
          </cell>
        </row>
        <row r="617">
          <cell r="A617">
            <v>71686185</v>
          </cell>
          <cell r="B617" t="str">
            <v>GRISALES BETANCURT MARTIN CONRADO</v>
          </cell>
        </row>
        <row r="618">
          <cell r="A618">
            <v>71941297</v>
          </cell>
          <cell r="B618" t="str">
            <v>TAVERA GOMEZ DIEGO FERNANDO</v>
          </cell>
        </row>
        <row r="619">
          <cell r="A619">
            <v>74150560</v>
          </cell>
          <cell r="B619" t="str">
            <v>PINEDA YAYA JHON ALEXANDER</v>
          </cell>
        </row>
        <row r="620">
          <cell r="A620">
            <v>75108007</v>
          </cell>
          <cell r="B620" t="str">
            <v>OSPINA LOPEZ JHON FREDY</v>
          </cell>
        </row>
        <row r="621">
          <cell r="A621">
            <v>8177611</v>
          </cell>
          <cell r="B621" t="str">
            <v>CANO ACEVEDO GERMAN ANDRES</v>
          </cell>
        </row>
        <row r="622">
          <cell r="A622">
            <v>83226725</v>
          </cell>
          <cell r="B622" t="str">
            <v>MACIAS JOVEN OSCAR BERNARDO</v>
          </cell>
        </row>
        <row r="623">
          <cell r="A623">
            <v>86039427</v>
          </cell>
          <cell r="B623" t="str">
            <v>TIRADO LONDOÑO HUGO ALEXANDER</v>
          </cell>
        </row>
        <row r="624">
          <cell r="A624">
            <v>94317941</v>
          </cell>
          <cell r="B624" t="str">
            <v>ARANGUREN OCAMPO JORGE HUGO</v>
          </cell>
        </row>
        <row r="625">
          <cell r="A625">
            <v>98497108</v>
          </cell>
          <cell r="B625" t="str">
            <v xml:space="preserve">MONTOYA MARTIN JAVIER </v>
          </cell>
        </row>
        <row r="626">
          <cell r="A626">
            <v>98547981</v>
          </cell>
          <cell r="B626" t="str">
            <v>PIMIENTA HERRERA CARLOS MARIO</v>
          </cell>
        </row>
        <row r="627">
          <cell r="A627">
            <v>98557930</v>
          </cell>
          <cell r="B627" t="str">
            <v xml:space="preserve">ECHAVARRIA GONZALEZ ALEXIS </v>
          </cell>
        </row>
        <row r="628">
          <cell r="A628">
            <v>98631773</v>
          </cell>
          <cell r="B628" t="str">
            <v>SOLORZANO ARANGO CARLOS ANDRES</v>
          </cell>
        </row>
        <row r="629">
          <cell r="A629">
            <v>1000106401</v>
          </cell>
          <cell r="B629" t="str">
            <v>GUTIERREZ GUTIERREZ CRISTIAN ARLEY</v>
          </cell>
        </row>
        <row r="630">
          <cell r="A630">
            <v>1000637795</v>
          </cell>
          <cell r="B630" t="str">
            <v>DUQUE GIRALDO EDWARD STEVEN</v>
          </cell>
        </row>
        <row r="631">
          <cell r="A631">
            <v>1001450146</v>
          </cell>
          <cell r="B631" t="str">
            <v>CHAVARRIA GOMEZ CARLOS MARIO</v>
          </cell>
        </row>
        <row r="632">
          <cell r="A632">
            <v>1001774357</v>
          </cell>
          <cell r="B632" t="str">
            <v>CORREA BALVIN JOHAN GERARDO</v>
          </cell>
        </row>
        <row r="633">
          <cell r="A633">
            <v>1002148361</v>
          </cell>
          <cell r="B633" t="str">
            <v>RIVERA DAVID JUAN PABLO</v>
          </cell>
        </row>
        <row r="634">
          <cell r="A634">
            <v>1002590705</v>
          </cell>
          <cell r="B634" t="str">
            <v xml:space="preserve">ORTIZ CAMPUZANO SANTIAGO </v>
          </cell>
        </row>
        <row r="635">
          <cell r="A635">
            <v>1004778193</v>
          </cell>
          <cell r="B635" t="str">
            <v>PABON LOPEZ VICTOR MANUEL</v>
          </cell>
        </row>
        <row r="636">
          <cell r="A636">
            <v>1010034528</v>
          </cell>
          <cell r="B636" t="str">
            <v xml:space="preserve">QUINTERO BETANCUR SANTIAGO </v>
          </cell>
        </row>
        <row r="637">
          <cell r="A637">
            <v>1017157161</v>
          </cell>
          <cell r="B637" t="str">
            <v>RUIZ CARDONA MIGUEL ANGEL</v>
          </cell>
        </row>
        <row r="638">
          <cell r="A638">
            <v>1018376618</v>
          </cell>
          <cell r="B638" t="str">
            <v>BOLIVAR IBARRA YOVAN ESTEBAN</v>
          </cell>
        </row>
        <row r="639">
          <cell r="A639">
            <v>1036637746</v>
          </cell>
          <cell r="B639" t="str">
            <v>HURTADO CANO ALVARO JAVIER</v>
          </cell>
        </row>
        <row r="640">
          <cell r="A640">
            <v>1037072838</v>
          </cell>
          <cell r="B640" t="str">
            <v>PARRA HERNANDEZ JUAN FELIPE</v>
          </cell>
        </row>
        <row r="641">
          <cell r="A641">
            <v>1037573999</v>
          </cell>
          <cell r="B641" t="str">
            <v>TABARES ZAPATA SERGIO ALEJANDR</v>
          </cell>
        </row>
        <row r="642">
          <cell r="A642">
            <v>1037602525</v>
          </cell>
          <cell r="B642" t="str">
            <v>ZULETA COSSIO YEISON ANDRES</v>
          </cell>
        </row>
        <row r="643">
          <cell r="A643">
            <v>1037946673</v>
          </cell>
          <cell r="B643" t="str">
            <v>QUINTERO HERNANDEZ WILMAR ANTONIO</v>
          </cell>
        </row>
        <row r="644">
          <cell r="A644">
            <v>1047426491</v>
          </cell>
          <cell r="B644" t="str">
            <v>CORREA BELLO VRAYAN ESTEFAN</v>
          </cell>
        </row>
        <row r="645">
          <cell r="A645">
            <v>1053795587</v>
          </cell>
          <cell r="B645" t="str">
            <v>LOPEZ ZULETA SERGIO ALEJANDRO</v>
          </cell>
        </row>
        <row r="646">
          <cell r="A646">
            <v>1056785019</v>
          </cell>
          <cell r="B646" t="str">
            <v>PALACIOS DUQUE JHOAN SEBASTIAN</v>
          </cell>
        </row>
        <row r="647">
          <cell r="A647">
            <v>1057788127</v>
          </cell>
          <cell r="B647" t="str">
            <v>RAMIREZ GARCES DIEGO ALEJANDRO</v>
          </cell>
        </row>
        <row r="648">
          <cell r="A648">
            <v>1058913284</v>
          </cell>
          <cell r="B648" t="str">
            <v>GUARIN VERA JUAN DANILO</v>
          </cell>
        </row>
        <row r="649">
          <cell r="A649">
            <v>1096190901</v>
          </cell>
          <cell r="B649" t="str">
            <v>TABARES MONTOYA JUAN DAVID</v>
          </cell>
        </row>
        <row r="650">
          <cell r="A650">
            <v>1105870081</v>
          </cell>
          <cell r="B650" t="str">
            <v>AGUIRRE GONZALEZ JUAN NICOLAS</v>
          </cell>
        </row>
        <row r="651">
          <cell r="A651">
            <v>1112771690</v>
          </cell>
          <cell r="B651" t="str">
            <v>CORTES MUÑOZ CARLOS FELIPE</v>
          </cell>
        </row>
        <row r="652">
          <cell r="A652">
            <v>1115915498</v>
          </cell>
          <cell r="B652" t="str">
            <v>GARZON PEDRAZA OMAR FREDY</v>
          </cell>
        </row>
        <row r="653">
          <cell r="A653">
            <v>1118876433</v>
          </cell>
          <cell r="B653" t="str">
            <v>OLIVELLA VALLES RICHARD JOSE</v>
          </cell>
        </row>
        <row r="654">
          <cell r="A654">
            <v>1152207016</v>
          </cell>
          <cell r="B654" t="str">
            <v>GONZALEZ VILLADA JUAN MANUEL</v>
          </cell>
        </row>
        <row r="655">
          <cell r="A655">
            <v>1152450531</v>
          </cell>
          <cell r="B655" t="str">
            <v xml:space="preserve">IZQUIERDO ACEVEDO DANIEL </v>
          </cell>
        </row>
        <row r="656">
          <cell r="A656">
            <v>12995257</v>
          </cell>
          <cell r="B656" t="str">
            <v>BOTINA DELGADO JOSE JAIRO</v>
          </cell>
        </row>
        <row r="657">
          <cell r="A657">
            <v>1434177</v>
          </cell>
          <cell r="B657" t="str">
            <v xml:space="preserve">GRATEROL QUINTERO RONALD </v>
          </cell>
        </row>
        <row r="658">
          <cell r="A658">
            <v>15922889</v>
          </cell>
          <cell r="B658" t="str">
            <v>MURIEL GIRALDO GILBERTO ANDRES</v>
          </cell>
        </row>
        <row r="659">
          <cell r="A659">
            <v>17673151</v>
          </cell>
          <cell r="B659" t="str">
            <v>GONZALEZ RAMIREZ PABLO EMILIO</v>
          </cell>
        </row>
        <row r="660">
          <cell r="A660">
            <v>4416185</v>
          </cell>
          <cell r="B660" t="str">
            <v>GALVIS VALENCIA ROBERTO FABIO</v>
          </cell>
        </row>
        <row r="661">
          <cell r="A661">
            <v>70328355</v>
          </cell>
          <cell r="B661" t="str">
            <v>ARIAS GUZMAN SERGIO ANDRES</v>
          </cell>
        </row>
        <row r="662">
          <cell r="A662">
            <v>71316393</v>
          </cell>
          <cell r="B662" t="str">
            <v xml:space="preserve">VEGA CORREA YEISON </v>
          </cell>
        </row>
        <row r="663">
          <cell r="A663">
            <v>71667852</v>
          </cell>
          <cell r="B663" t="str">
            <v xml:space="preserve">LOPEZ BEDOYA ALEJANDRO </v>
          </cell>
        </row>
        <row r="664">
          <cell r="A664">
            <v>71674566</v>
          </cell>
          <cell r="B664" t="str">
            <v>CADAVID VALENCIA JUAN DIEGO</v>
          </cell>
        </row>
        <row r="665">
          <cell r="A665">
            <v>71693884</v>
          </cell>
          <cell r="B665" t="str">
            <v>RUIZ GARCIA FABIO LEON</v>
          </cell>
        </row>
        <row r="666">
          <cell r="A666">
            <v>71710564</v>
          </cell>
          <cell r="B666" t="str">
            <v>MUÑOZ VELASQUEZ JUAN GUILLERMO</v>
          </cell>
        </row>
        <row r="667">
          <cell r="A667">
            <v>71716774</v>
          </cell>
          <cell r="B667" t="str">
            <v>ACEVEDO GOMEZ LUIS EDUARDO</v>
          </cell>
        </row>
        <row r="668">
          <cell r="A668">
            <v>71716994</v>
          </cell>
          <cell r="B668" t="str">
            <v xml:space="preserve">DORIA ALEXANDER  </v>
          </cell>
        </row>
        <row r="669">
          <cell r="A669">
            <v>71740336</v>
          </cell>
          <cell r="B669" t="str">
            <v>AGUDELO JURADO JADER ALBERTO</v>
          </cell>
        </row>
        <row r="670">
          <cell r="A670">
            <v>71760875</v>
          </cell>
          <cell r="B670" t="str">
            <v>GONZALEZ MAZO EDWIN ARLEX</v>
          </cell>
        </row>
        <row r="671">
          <cell r="A671">
            <v>71783244</v>
          </cell>
          <cell r="B671" t="str">
            <v>ARENAS ORREGO EDWIN FERNEY</v>
          </cell>
        </row>
        <row r="672">
          <cell r="A672">
            <v>75064914</v>
          </cell>
          <cell r="B672" t="str">
            <v xml:space="preserve">SALAZAR GARCIA BLADIMIR </v>
          </cell>
        </row>
        <row r="673">
          <cell r="A673">
            <v>75087065</v>
          </cell>
          <cell r="B673" t="str">
            <v>CORTES MONTES JUAN DAVID</v>
          </cell>
        </row>
        <row r="674">
          <cell r="A674">
            <v>75089695</v>
          </cell>
          <cell r="B674" t="str">
            <v>ALVAREZ TABORDA JORGE ALBEIRO</v>
          </cell>
        </row>
        <row r="675">
          <cell r="A675">
            <v>78753853</v>
          </cell>
          <cell r="B675" t="str">
            <v>BENITEZ ROJAS JORGE ELIECER</v>
          </cell>
        </row>
        <row r="676">
          <cell r="A676">
            <v>79674009</v>
          </cell>
          <cell r="B676" t="str">
            <v>SALAZAR VILLA FRANKLIN HUMBERTO</v>
          </cell>
        </row>
        <row r="677">
          <cell r="A677">
            <v>80821076</v>
          </cell>
          <cell r="B677" t="str">
            <v>MONTAÑEZ MORALES FREDY URIEL</v>
          </cell>
        </row>
        <row r="678">
          <cell r="A678">
            <v>80919587</v>
          </cell>
          <cell r="B678" t="str">
            <v xml:space="preserve">PARRA HERNANDEZ GERMAN </v>
          </cell>
        </row>
        <row r="679">
          <cell r="A679">
            <v>8111021</v>
          </cell>
          <cell r="B679" t="str">
            <v>ESPINOZA GUZMAN JUAN BAUTISTA</v>
          </cell>
        </row>
        <row r="680">
          <cell r="A680">
            <v>91446577</v>
          </cell>
          <cell r="B680" t="str">
            <v>JIMENEZ PEREZ LUIS ANTONIO</v>
          </cell>
        </row>
        <row r="681">
          <cell r="A681">
            <v>98547865</v>
          </cell>
          <cell r="B681" t="str">
            <v>JIMENEZ GOMEZ HENRY ELIAS</v>
          </cell>
        </row>
        <row r="682">
          <cell r="A682">
            <v>98570609</v>
          </cell>
          <cell r="B682" t="str">
            <v xml:space="preserve">RODRIGUEZ CASTAÑO SERGIO </v>
          </cell>
        </row>
        <row r="683">
          <cell r="A683">
            <v>98575258</v>
          </cell>
          <cell r="B683" t="str">
            <v>CADAVID VELEZ LUIS JAVIER</v>
          </cell>
        </row>
        <row r="684">
          <cell r="A684">
            <v>98579634</v>
          </cell>
          <cell r="B684" t="str">
            <v xml:space="preserve">TIRADO LONDOÑO LIBARDO </v>
          </cell>
        </row>
        <row r="685">
          <cell r="A685">
            <v>98580353</v>
          </cell>
          <cell r="B685" t="str">
            <v xml:space="preserve">ECHEVERRY MARTIN ENRIQUE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1CEB1-C432-41AF-B5FE-7B2D50833F2D}" name="Tabla1" displayName="Tabla1" ref="A1:U455" totalsRowShown="0" headerRowDxfId="27" dataDxfId="26" tableBorderDxfId="25">
  <autoFilter ref="A1:U455" xr:uid="{1C41CEB1-C432-41AF-B5FE-7B2D50833F2D}"/>
  <tableColumns count="21">
    <tableColumn id="1" xr3:uid="{0E6C75EA-A478-4C5D-B306-18F4CFC1D798}" name="Cedula" dataDxfId="24"/>
    <tableColumn id="2" xr3:uid="{35776C7B-2C6F-4BE5-958A-50DEB8C77108}" name="Nombre completo" dataDxfId="23"/>
    <tableColumn id="3" xr3:uid="{DC4B3CC7-C79F-46EF-8ECB-E4EB0B7A263E}" name="Centros de Costos" dataDxfId="22"/>
    <tableColumn id="4" xr3:uid="{69A4C26D-290B-42AD-AD00-F13CC9F8C923}" name="Tipo de Contrato" dataDxfId="21"/>
    <tableColumn id="5" xr3:uid="{2C2BE44B-D0E0-4591-9616-FE9DCEFE873A}" name="Ciudad" dataDxfId="20"/>
    <tableColumn id="6" xr3:uid="{066230C6-BADD-46D5-A696-0E76CAA86A25}" name="Fecha Infracción" dataDxfId="19"/>
    <tableColumn id="7" xr3:uid="{661AADB4-DDDF-4509-9C19-03E473894BE4}" name="Lugar de la Infraccion" dataDxfId="18"/>
    <tableColumn id="8" xr3:uid="{F7F5B933-2290-4DD5-AF9D-82F65D53AF7A}" name="Código infracción" dataDxfId="17"/>
    <tableColumn id="9" xr3:uid="{78F038C3-C65F-4A63-8C1D-9CA1EF3900E3}" name="Descripción Infracciones" dataDxfId="16">
      <calculatedColumnFormula>VLOOKUP(H2,VALIDACIONES!$A$2:$B$138,2,0)</calculatedColumnFormula>
    </tableColumn>
    <tableColumn id="10" xr3:uid="{FCAC6154-DB61-423E-BCEB-B3BEAEB8DBDD}" name="Valor Infracción" dataDxfId="15"/>
    <tableColumn id="12" xr3:uid="{9A27CD8E-375B-4538-A0BB-DB3A198FAA2F}" name="Tipo de Acción" dataDxfId="14"/>
    <tableColumn id="13" xr3:uid="{8F59874D-87A9-42C3-A3F7-DE41D5E2CA20}" name="Fecha de Notificación" dataDxfId="13"/>
    <tableColumn id="14" xr3:uid="{35EC788C-EF23-4BCD-BB74-4E9BD981139C}" name="Clase de Capacitación" dataDxfId="12"/>
    <tableColumn id="15" xr3:uid="{B3A25BB2-F1DE-4612-AF3E-31A29EAF3A52}" name="Mes" dataDxfId="11"/>
    <tableColumn id="16" xr3:uid="{F84980B2-535A-4D29-A69C-882656BBD47C}" name="Año" dataDxfId="10"/>
    <tableColumn id="17" xr3:uid="{F6AA043B-E4AE-474E-BBBF-52B849A4E7E3}" name="Control Infracciones" dataDxfId="9"/>
    <tableColumn id="11" xr3:uid="{AA1491AA-B754-4998-B9C7-5E6C4766AA73}" name="ESTADO" dataDxfId="8"/>
    <tableColumn id="19" xr3:uid="{1D4005F7-6243-44BD-9205-0F3A50FBB81D}" name="DEVOLUCION NOTIFICACION" dataDxfId="7"/>
    <tableColumn id="20" xr3:uid="{D1699898-37F6-4969-87EE-64F4CF89F949}" name="DEVOLUCION REGISTRO DE FORMACION" dataDxfId="6"/>
    <tableColumn id="21" xr3:uid="{99D68A3B-82F8-4BB7-B262-FF599E46FD0E}" name="CAPACITACION Y EVALUACION" dataDxfId="5"/>
    <tableColumn id="18" xr3:uid="{4B89A058-B760-41C0-AC25-ECF2A13028A3}" name="Observacion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7F84-426A-488F-BDF6-05EF3ADE526C}">
  <sheetPr>
    <tabColor rgb="FF7030A0"/>
  </sheetPr>
  <dimension ref="A1:W75"/>
  <sheetViews>
    <sheetView showGridLines="0" tabSelected="1" zoomScale="70" zoomScaleNormal="70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"/>
  <cols>
    <col min="1" max="1" width="15.7109375" style="251" bestFit="1" customWidth="1"/>
    <col min="2" max="2" width="49.5703125" style="251" bestFit="1" customWidth="1"/>
    <col min="3" max="3" width="30.5703125" style="251" bestFit="1" customWidth="1"/>
    <col min="4" max="4" width="26.85546875" style="251" bestFit="1" customWidth="1"/>
    <col min="5" max="5" width="15.7109375" style="251" bestFit="1" customWidth="1"/>
    <col min="6" max="6" width="26.28515625" style="251" bestFit="1" customWidth="1"/>
    <col min="7" max="7" width="37.28515625" style="251" bestFit="1" customWidth="1"/>
    <col min="8" max="8" width="18.85546875" style="251" bestFit="1" customWidth="1"/>
    <col min="9" max="9" width="13.5703125" style="251" bestFit="1" customWidth="1"/>
    <col min="10" max="10" width="91.7109375" style="252" bestFit="1" customWidth="1"/>
    <col min="11" max="11" width="25.7109375" style="251" bestFit="1" customWidth="1"/>
    <col min="12" max="12" width="12.85546875" style="251" bestFit="1" customWidth="1"/>
    <col min="13" max="13" width="12.42578125" style="251" bestFit="1" customWidth="1"/>
    <col min="14" max="14" width="24.5703125" style="251" bestFit="1" customWidth="1"/>
    <col min="15" max="15" width="20.7109375" style="251" bestFit="1" customWidth="1"/>
    <col min="16" max="16" width="54.7109375" style="251" bestFit="1" customWidth="1"/>
    <col min="17" max="17" width="28.28515625" style="251" bestFit="1" customWidth="1"/>
    <col min="18" max="18" width="37.85546875" style="251" bestFit="1" customWidth="1"/>
    <col min="19" max="19" width="34.5703125" style="251" bestFit="1" customWidth="1"/>
    <col min="20" max="20" width="27.140625" style="251" bestFit="1" customWidth="1"/>
    <col min="21" max="21" width="38.7109375" style="251" bestFit="1" customWidth="1"/>
    <col min="22" max="22" width="39.5703125" style="251" bestFit="1" customWidth="1"/>
    <col min="23" max="23" width="73.42578125" style="252" bestFit="1" customWidth="1"/>
    <col min="24" max="16384" width="9.140625" style="251"/>
  </cols>
  <sheetData>
    <row r="1" spans="1:23" ht="31.5" x14ac:dyDescent="0.2">
      <c r="A1" s="248" t="s">
        <v>2</v>
      </c>
      <c r="B1" s="248" t="s">
        <v>63</v>
      </c>
      <c r="C1" s="248" t="s">
        <v>1071</v>
      </c>
      <c r="D1" s="248" t="s">
        <v>64</v>
      </c>
      <c r="E1" s="248" t="s">
        <v>65</v>
      </c>
      <c r="F1" s="249" t="s">
        <v>66</v>
      </c>
      <c r="G1" s="248" t="s">
        <v>67</v>
      </c>
      <c r="H1" s="248" t="s">
        <v>68</v>
      </c>
      <c r="I1" s="248" t="s">
        <v>69</v>
      </c>
      <c r="J1" s="248" t="s">
        <v>70</v>
      </c>
      <c r="K1" s="248" t="s">
        <v>71</v>
      </c>
      <c r="L1" s="248" t="s">
        <v>1</v>
      </c>
      <c r="M1" s="248" t="s">
        <v>0</v>
      </c>
      <c r="N1" s="250" t="s">
        <v>72</v>
      </c>
      <c r="O1" s="248" t="s">
        <v>73</v>
      </c>
      <c r="P1" s="248" t="s">
        <v>74</v>
      </c>
      <c r="Q1" s="248" t="s">
        <v>75</v>
      </c>
      <c r="R1" s="248" t="s">
        <v>76</v>
      </c>
      <c r="S1" s="248" t="s">
        <v>77</v>
      </c>
      <c r="T1" s="248" t="s">
        <v>78</v>
      </c>
      <c r="U1" s="248" t="s">
        <v>79</v>
      </c>
      <c r="V1" s="248" t="s">
        <v>80</v>
      </c>
      <c r="W1" s="248" t="s">
        <v>81</v>
      </c>
    </row>
    <row r="2" spans="1:23" ht="45" x14ac:dyDescent="0.2">
      <c r="A2" s="251">
        <v>1036132399</v>
      </c>
      <c r="B2" s="251" t="str">
        <f>VLOOKUP(A2,'[1] BD CONDUCTORES'!$A$2:$B$691,2,FALSE)</f>
        <v>ARAGON JIMENEZ EDUARD YAIR</v>
      </c>
      <c r="C2" s="252" t="s">
        <v>30</v>
      </c>
      <c r="D2" s="251" t="s">
        <v>82</v>
      </c>
      <c r="E2" s="251" t="s">
        <v>83</v>
      </c>
      <c r="F2" s="253">
        <v>45681</v>
      </c>
      <c r="G2" s="251" t="s">
        <v>84</v>
      </c>
      <c r="H2" s="251" t="s">
        <v>4</v>
      </c>
      <c r="I2" s="251" t="s">
        <v>85</v>
      </c>
      <c r="J2" s="252" t="str">
        <f>VLOOKUP(H2,VALIDACIONES!$A$2:$B$138,2,0)</f>
        <v>Estacionar un vehículo en los sitios prohibidos por el Código Nacional de Tránsito, reglamentado por la Res.3027.</v>
      </c>
      <c r="K2" s="254">
        <v>603917</v>
      </c>
      <c r="L2" s="251">
        <f>MONTH(F2)</f>
        <v>1</v>
      </c>
      <c r="M2" s="251">
        <f>YEAR(F2)</f>
        <v>2025</v>
      </c>
      <c r="N2" s="252" t="s">
        <v>86</v>
      </c>
      <c r="O2" s="253">
        <v>45747</v>
      </c>
      <c r="P2" s="251" t="s">
        <v>87</v>
      </c>
      <c r="Q2" s="252" t="s">
        <v>88</v>
      </c>
      <c r="R2" s="251" t="s">
        <v>89</v>
      </c>
      <c r="S2" s="251" t="s">
        <v>90</v>
      </c>
      <c r="T2" s="251" t="s">
        <v>91</v>
      </c>
      <c r="U2" s="251" t="s">
        <v>91</v>
      </c>
      <c r="V2" s="251" t="s">
        <v>90</v>
      </c>
      <c r="W2" s="252" t="s">
        <v>92</v>
      </c>
    </row>
    <row r="3" spans="1:23" ht="30" x14ac:dyDescent="0.2">
      <c r="A3" s="251">
        <v>71666329</v>
      </c>
      <c r="B3" s="251" t="str">
        <f>VLOOKUP(A3,'[1] BD CONDUCTORES'!$A$2:$B$691,2,FALSE)</f>
        <v>ORTIZ FORONDA JORGE ALBERTO</v>
      </c>
      <c r="C3" s="252" t="s">
        <v>24</v>
      </c>
      <c r="D3" s="251" t="s">
        <v>82</v>
      </c>
      <c r="E3" s="251" t="s">
        <v>83</v>
      </c>
      <c r="F3" s="253">
        <v>45670</v>
      </c>
      <c r="G3" s="251" t="s">
        <v>93</v>
      </c>
      <c r="H3" s="251" t="s">
        <v>4</v>
      </c>
      <c r="J3" s="252" t="str">
        <f>VLOOKUP(H3,VALIDACIONES!$A$2:$B$138,2,0)</f>
        <v>Estacionar un vehículo en los sitios prohibidos por el Código Nacional de Tránsito, reglamentado por la Res.3027.</v>
      </c>
      <c r="K3" s="254">
        <v>604054</v>
      </c>
      <c r="L3" s="251">
        <f t="shared" ref="L3:L22" si="0">MONTH(F3)</f>
        <v>1</v>
      </c>
      <c r="M3" s="251">
        <f t="shared" ref="M3:M22" si="1">YEAR(F3)</f>
        <v>2025</v>
      </c>
      <c r="N3" s="252" t="s">
        <v>86</v>
      </c>
      <c r="O3" s="253">
        <v>45747</v>
      </c>
      <c r="P3" s="251" t="s">
        <v>87</v>
      </c>
      <c r="Q3" s="252" t="s">
        <v>94</v>
      </c>
      <c r="R3" s="251" t="s">
        <v>89</v>
      </c>
      <c r="S3" s="251" t="s">
        <v>91</v>
      </c>
      <c r="T3" s="251" t="s">
        <v>91</v>
      </c>
      <c r="U3" s="251" t="s">
        <v>91</v>
      </c>
      <c r="V3" s="251" t="s">
        <v>90</v>
      </c>
      <c r="W3" s="252" t="s">
        <v>95</v>
      </c>
    </row>
    <row r="4" spans="1:23" ht="30" x14ac:dyDescent="0.2">
      <c r="A4" s="251">
        <v>8152105</v>
      </c>
      <c r="B4" s="251" t="str">
        <f>VLOOKUP(A4,'[1] BD CONDUCTORES'!$A$2:$B$691,2,FALSE)</f>
        <v>RESTREPO MESA CARLOS ALBEIRO</v>
      </c>
      <c r="C4" s="252" t="s">
        <v>24</v>
      </c>
      <c r="D4" s="251" t="s">
        <v>82</v>
      </c>
      <c r="E4" s="251" t="s">
        <v>83</v>
      </c>
      <c r="F4" s="253">
        <v>45677</v>
      </c>
      <c r="G4" s="251" t="s">
        <v>96</v>
      </c>
      <c r="H4" s="251" t="s">
        <v>4</v>
      </c>
      <c r="J4" s="252" t="str">
        <f>VLOOKUP(H4,VALIDACIONES!$A$2:$B$138,2,0)</f>
        <v>Estacionar un vehículo en los sitios prohibidos por el Código Nacional de Tránsito, reglamentado por la Res.3027.</v>
      </c>
      <c r="K4" s="254">
        <v>377448</v>
      </c>
      <c r="L4" s="251">
        <f t="shared" si="0"/>
        <v>1</v>
      </c>
      <c r="M4" s="251">
        <f t="shared" si="1"/>
        <v>2025</v>
      </c>
      <c r="N4" s="252" t="s">
        <v>86</v>
      </c>
      <c r="O4" s="253">
        <v>45747</v>
      </c>
      <c r="P4" s="251" t="s">
        <v>87</v>
      </c>
      <c r="Q4" s="252" t="s">
        <v>94</v>
      </c>
      <c r="R4" s="251" t="s">
        <v>89</v>
      </c>
      <c r="S4" s="251" t="s">
        <v>90</v>
      </c>
      <c r="T4" s="251" t="s">
        <v>91</v>
      </c>
      <c r="U4" s="251" t="s">
        <v>91</v>
      </c>
      <c r="V4" s="251" t="s">
        <v>91</v>
      </c>
    </row>
    <row r="5" spans="1:23" ht="30" x14ac:dyDescent="0.2">
      <c r="A5" s="251">
        <v>98624721</v>
      </c>
      <c r="B5" s="251" t="str">
        <f>VLOOKUP(A5,'[1] BD CONDUCTORES'!$A$2:$B$691,2,FALSE)</f>
        <v>SANCHEZ OTALVARO WILFER ELIECE</v>
      </c>
      <c r="C5" s="252" t="s">
        <v>23</v>
      </c>
      <c r="D5" s="251" t="s">
        <v>82</v>
      </c>
      <c r="E5" s="251" t="s">
        <v>83</v>
      </c>
      <c r="F5" s="253">
        <v>45686</v>
      </c>
      <c r="G5" s="251" t="s">
        <v>93</v>
      </c>
      <c r="H5" s="251" t="s">
        <v>4</v>
      </c>
      <c r="J5" s="252" t="str">
        <f>VLOOKUP(H5,VALIDACIONES!$A$2:$B$138,2,0)</f>
        <v>Estacionar un vehículo en los sitios prohibidos por el Código Nacional de Tránsito, reglamentado por la Res.3027.</v>
      </c>
      <c r="K5" s="254">
        <v>604054</v>
      </c>
      <c r="L5" s="251">
        <f t="shared" si="0"/>
        <v>1</v>
      </c>
      <c r="M5" s="251">
        <f t="shared" si="1"/>
        <v>2025</v>
      </c>
      <c r="N5" s="252" t="s">
        <v>86</v>
      </c>
      <c r="O5" s="253">
        <v>45747</v>
      </c>
      <c r="P5" s="251" t="s">
        <v>87</v>
      </c>
      <c r="Q5" s="252" t="s">
        <v>94</v>
      </c>
      <c r="R5" s="251" t="s">
        <v>89</v>
      </c>
      <c r="S5" s="251" t="s">
        <v>90</v>
      </c>
      <c r="T5" s="251" t="s">
        <v>91</v>
      </c>
      <c r="U5" s="251" t="s">
        <v>91</v>
      </c>
      <c r="V5" s="251" t="s">
        <v>90</v>
      </c>
    </row>
    <row r="6" spans="1:23" ht="30" x14ac:dyDescent="0.2">
      <c r="A6" s="255">
        <v>70565141</v>
      </c>
      <c r="B6" s="251" t="str">
        <f>VLOOKUP(A6,'[1] BD CONDUCTORES'!$A$2:$B$691,2,FALSE)</f>
        <v>JARAMILLO GIL CARLOS ALBERTO</v>
      </c>
      <c r="C6" s="252" t="s">
        <v>24</v>
      </c>
      <c r="D6" s="251" t="s">
        <v>82</v>
      </c>
      <c r="E6" s="251" t="s">
        <v>83</v>
      </c>
      <c r="F6" s="253">
        <v>45693</v>
      </c>
      <c r="G6" s="251" t="s">
        <v>93</v>
      </c>
      <c r="H6" s="251" t="s">
        <v>4</v>
      </c>
      <c r="J6" s="252" t="str">
        <f>VLOOKUP(H6,VALIDACIONES!$A$2:$B$138,2,0)</f>
        <v>Estacionar un vehículo en los sitios prohibidos por el Código Nacional de Tránsito, reglamentado por la Res.3027.</v>
      </c>
      <c r="K6" s="256">
        <v>603917</v>
      </c>
      <c r="L6" s="251">
        <f t="shared" si="0"/>
        <v>2</v>
      </c>
      <c r="M6" s="251">
        <f t="shared" si="1"/>
        <v>2025</v>
      </c>
      <c r="N6" s="252" t="s">
        <v>86</v>
      </c>
      <c r="O6" s="253">
        <v>45747</v>
      </c>
      <c r="P6" s="251" t="s">
        <v>87</v>
      </c>
      <c r="Q6" s="252" t="s">
        <v>94</v>
      </c>
      <c r="R6" s="251" t="s">
        <v>89</v>
      </c>
      <c r="S6" s="251" t="s">
        <v>90</v>
      </c>
      <c r="T6" s="251" t="s">
        <v>90</v>
      </c>
      <c r="V6" s="251" t="s">
        <v>90</v>
      </c>
    </row>
    <row r="7" spans="1:23" ht="30" x14ac:dyDescent="0.2">
      <c r="A7" s="255">
        <v>71784723</v>
      </c>
      <c r="B7" s="251" t="str">
        <f>VLOOKUP(A7,'[1] BD CONDUCTORES'!$A$2:$B$691,2,FALSE)</f>
        <v>MARIN MUÑOZ JOSE ALEXANDER</v>
      </c>
      <c r="C7" s="252" t="s">
        <v>24</v>
      </c>
      <c r="D7" s="251" t="s">
        <v>82</v>
      </c>
      <c r="E7" s="251" t="s">
        <v>83</v>
      </c>
      <c r="F7" s="257">
        <v>45712</v>
      </c>
      <c r="G7" s="251" t="s">
        <v>93</v>
      </c>
      <c r="H7" s="251" t="s">
        <v>4</v>
      </c>
      <c r="J7" s="252" t="str">
        <f>VLOOKUP(H7,VALIDACIONES!$A$2:$B$138,2,0)</f>
        <v>Estacionar un vehículo en los sitios prohibidos por el Código Nacional de Tránsito, reglamentado por la Res.3027.</v>
      </c>
      <c r="K7" s="256">
        <v>604054</v>
      </c>
      <c r="L7" s="251">
        <f t="shared" si="0"/>
        <v>2</v>
      </c>
      <c r="M7" s="251">
        <f t="shared" si="1"/>
        <v>2025</v>
      </c>
      <c r="N7" s="252" t="s">
        <v>86</v>
      </c>
      <c r="O7" s="253">
        <v>45747</v>
      </c>
      <c r="P7" s="251" t="s">
        <v>87</v>
      </c>
      <c r="Q7" s="252" t="s">
        <v>88</v>
      </c>
      <c r="R7" s="251" t="s">
        <v>89</v>
      </c>
      <c r="S7" s="251" t="s">
        <v>90</v>
      </c>
      <c r="T7" s="251" t="s">
        <v>90</v>
      </c>
      <c r="U7" s="251" t="s">
        <v>90</v>
      </c>
      <c r="V7" s="251" t="s">
        <v>90</v>
      </c>
    </row>
    <row r="8" spans="1:23" ht="30" x14ac:dyDescent="0.2">
      <c r="A8" s="255">
        <v>1023831141</v>
      </c>
      <c r="B8" s="251" t="str">
        <f>VLOOKUP(A8,'[1] BD CONDUCTORES'!$A$2:$B$691,2,FALSE)</f>
        <v>ARBOLEDA GALLEGO JORGE LUIS</v>
      </c>
      <c r="C8" s="252" t="s">
        <v>24</v>
      </c>
      <c r="D8" s="251" t="s">
        <v>82</v>
      </c>
      <c r="E8" s="251" t="s">
        <v>83</v>
      </c>
      <c r="F8" s="257">
        <v>44745</v>
      </c>
      <c r="G8" s="251" t="s">
        <v>93</v>
      </c>
      <c r="H8" s="251" t="s">
        <v>97</v>
      </c>
      <c r="J8" s="252" t="s">
        <v>98</v>
      </c>
      <c r="K8" s="256">
        <v>22485447</v>
      </c>
      <c r="L8" s="251">
        <f t="shared" si="0"/>
        <v>7</v>
      </c>
      <c r="M8" s="251">
        <f t="shared" si="1"/>
        <v>2022</v>
      </c>
      <c r="N8" s="251" t="s">
        <v>99</v>
      </c>
      <c r="O8" s="253"/>
      <c r="Q8" s="252"/>
    </row>
    <row r="9" spans="1:23" ht="60" x14ac:dyDescent="0.2">
      <c r="A9" s="255">
        <v>75087065</v>
      </c>
      <c r="B9" s="251" t="str">
        <f>VLOOKUP(A9,'[1] BD CONDUCTORES'!$A$2:$B$691,2,FALSE)</f>
        <v>CORTES MONTES JUAN DAVID</v>
      </c>
      <c r="C9" s="252" t="s">
        <v>22</v>
      </c>
      <c r="D9" s="251" t="s">
        <v>82</v>
      </c>
      <c r="E9" s="251" t="s">
        <v>100</v>
      </c>
      <c r="F9" s="257">
        <v>45728</v>
      </c>
      <c r="G9" s="251" t="s">
        <v>101</v>
      </c>
      <c r="H9" s="251" t="s">
        <v>14</v>
      </c>
      <c r="I9" s="251" t="s">
        <v>102</v>
      </c>
      <c r="J9" s="252" t="str">
        <f>VLOOKUP(H9,VALIDACIONES!$A$2:$B$138,2,0)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K9" s="256">
        <v>1207855</v>
      </c>
      <c r="L9" s="251">
        <f t="shared" si="0"/>
        <v>3</v>
      </c>
      <c r="M9" s="251">
        <f t="shared" si="1"/>
        <v>2025</v>
      </c>
      <c r="N9" s="252" t="s">
        <v>86</v>
      </c>
      <c r="O9" s="253">
        <v>45777</v>
      </c>
      <c r="P9" s="251" t="s">
        <v>87</v>
      </c>
      <c r="Q9" s="252" t="s">
        <v>88</v>
      </c>
      <c r="R9" s="251" t="s">
        <v>89</v>
      </c>
      <c r="S9" s="251" t="s">
        <v>91</v>
      </c>
      <c r="T9" s="251" t="s">
        <v>91</v>
      </c>
      <c r="U9" s="251" t="s">
        <v>90</v>
      </c>
      <c r="V9" s="251" t="s">
        <v>90</v>
      </c>
    </row>
    <row r="10" spans="1:23" ht="30" x14ac:dyDescent="0.2">
      <c r="A10" s="255">
        <v>70033808</v>
      </c>
      <c r="B10" s="251" t="s">
        <v>46</v>
      </c>
      <c r="C10" s="252" t="s">
        <v>24</v>
      </c>
      <c r="D10" s="251" t="s">
        <v>82</v>
      </c>
      <c r="E10" s="251" t="s">
        <v>83</v>
      </c>
      <c r="F10" s="257">
        <v>45736</v>
      </c>
      <c r="G10" s="251" t="s">
        <v>103</v>
      </c>
      <c r="H10" s="251" t="s">
        <v>10</v>
      </c>
      <c r="J10" s="252" t="str">
        <f>VLOOKUP(H10,VALIDACIONES!$A$2:$B$138,2,0)</f>
        <v>Conducir un vehículo a velocidad superior a la máxima permitida, la cual deberá estar señalizada en forma sectorizada, no obstante esta no podrá ser superior a (verlistado)</v>
      </c>
      <c r="K10" s="256">
        <v>603930</v>
      </c>
      <c r="L10" s="251">
        <f t="shared" si="0"/>
        <v>3</v>
      </c>
      <c r="M10" s="251">
        <f t="shared" si="1"/>
        <v>2025</v>
      </c>
      <c r="N10" s="252" t="s">
        <v>86</v>
      </c>
      <c r="O10" s="253">
        <v>45777</v>
      </c>
      <c r="P10" s="251" t="s">
        <v>87</v>
      </c>
      <c r="Q10" s="252" t="s">
        <v>94</v>
      </c>
      <c r="R10" s="251" t="s">
        <v>89</v>
      </c>
      <c r="S10" s="251" t="s">
        <v>90</v>
      </c>
      <c r="T10" s="251" t="s">
        <v>90</v>
      </c>
      <c r="V10" s="251" t="s">
        <v>90</v>
      </c>
    </row>
    <row r="11" spans="1:23" ht="30" x14ac:dyDescent="0.2">
      <c r="A11" s="255">
        <v>15509092</v>
      </c>
      <c r="B11" s="251" t="str">
        <f>VLOOKUP(A11,'[1] BD CONDUCTORES'!$A$2:$B$691,2,FALSE)</f>
        <v>MISAS RUEDA LUIS ALBEIRO</v>
      </c>
      <c r="C11" s="252" t="s">
        <v>27</v>
      </c>
      <c r="D11" s="251" t="s">
        <v>82</v>
      </c>
      <c r="E11" s="251" t="s">
        <v>83</v>
      </c>
      <c r="F11" s="257">
        <v>45745</v>
      </c>
      <c r="G11" s="251" t="s">
        <v>93</v>
      </c>
      <c r="H11" s="251" t="s">
        <v>4</v>
      </c>
      <c r="J11" s="252" t="str">
        <f>VLOOKUP(H11,VALIDACIONES!$A$2:$B$138,2,0)</f>
        <v>Estacionar un vehículo en los sitios prohibidos por el Código Nacional de Tránsito, reglamentado por la Res.3027.</v>
      </c>
      <c r="K11" s="256">
        <v>604054</v>
      </c>
      <c r="L11" s="251">
        <f t="shared" si="0"/>
        <v>3</v>
      </c>
      <c r="M11" s="251">
        <f t="shared" si="1"/>
        <v>2025</v>
      </c>
      <c r="N11" s="252" t="s">
        <v>86</v>
      </c>
      <c r="O11" s="253">
        <v>45777</v>
      </c>
      <c r="P11" s="251" t="s">
        <v>87</v>
      </c>
      <c r="Q11" s="252" t="s">
        <v>94</v>
      </c>
      <c r="R11" s="251" t="s">
        <v>89</v>
      </c>
      <c r="S11" s="251" t="s">
        <v>90</v>
      </c>
      <c r="T11" s="251" t="s">
        <v>90</v>
      </c>
      <c r="V11" s="251" t="s">
        <v>90</v>
      </c>
    </row>
    <row r="12" spans="1:23" ht="30" x14ac:dyDescent="0.2">
      <c r="A12" s="251">
        <v>1017153007</v>
      </c>
      <c r="B12" s="251" t="s">
        <v>47</v>
      </c>
      <c r="C12" s="252" t="s">
        <v>21</v>
      </c>
      <c r="D12" s="251" t="s">
        <v>82</v>
      </c>
      <c r="E12" s="251" t="s">
        <v>83</v>
      </c>
      <c r="F12" s="253">
        <v>45766</v>
      </c>
      <c r="G12" s="251" t="s">
        <v>104</v>
      </c>
      <c r="H12" s="251" t="s">
        <v>10</v>
      </c>
      <c r="I12" s="251" t="s">
        <v>105</v>
      </c>
      <c r="J12" s="252" t="str">
        <f>VLOOKUP(H12,VALIDACIONES!$A$2:$B$138,2,0)</f>
        <v>Conducir un vehículo a velocidad superior a la máxima permitida, la cual deberá estar señalizada en forma sectorizada, no obstante esta no podrá ser superior a (verlistado)</v>
      </c>
      <c r="K12" s="256">
        <v>603930</v>
      </c>
      <c r="L12" s="251">
        <f t="shared" si="0"/>
        <v>4</v>
      </c>
      <c r="M12" s="251">
        <f t="shared" si="1"/>
        <v>2025</v>
      </c>
      <c r="N12" s="252" t="s">
        <v>86</v>
      </c>
      <c r="O12" s="253">
        <v>45793</v>
      </c>
      <c r="P12" s="251" t="s">
        <v>87</v>
      </c>
      <c r="Q12" s="252" t="s">
        <v>88</v>
      </c>
      <c r="R12" s="251" t="s">
        <v>89</v>
      </c>
      <c r="S12" s="251" t="s">
        <v>90</v>
      </c>
      <c r="T12" s="251" t="s">
        <v>91</v>
      </c>
      <c r="U12" s="251" t="s">
        <v>91</v>
      </c>
      <c r="V12" s="251" t="s">
        <v>90</v>
      </c>
    </row>
    <row r="13" spans="1:23" ht="60" x14ac:dyDescent="0.2">
      <c r="A13" s="251">
        <v>79909780</v>
      </c>
      <c r="B13" s="251" t="str">
        <f>VLOOKUP(A13,'[1] BD CONDUCTORES'!$A$2:$B$691,2,FALSE)</f>
        <v xml:space="preserve">LOPEZ MARTINEZ DARLEY </v>
      </c>
      <c r="C13" s="252" t="s">
        <v>22</v>
      </c>
      <c r="D13" s="251" t="s">
        <v>82</v>
      </c>
      <c r="E13" s="251" t="s">
        <v>100</v>
      </c>
      <c r="F13" s="253">
        <v>45758</v>
      </c>
      <c r="G13" s="251" t="s">
        <v>101</v>
      </c>
      <c r="H13" s="251" t="s">
        <v>14</v>
      </c>
      <c r="I13" s="251" t="s">
        <v>106</v>
      </c>
      <c r="J13" s="252" t="str">
        <f>VLOOKUP(H13,VALIDACIONES!$A$2:$B$138,2,0)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K13" s="256">
        <v>1207855</v>
      </c>
      <c r="L13" s="251">
        <f t="shared" si="0"/>
        <v>4</v>
      </c>
      <c r="M13" s="251">
        <f t="shared" si="1"/>
        <v>2025</v>
      </c>
      <c r="N13" s="252" t="s">
        <v>86</v>
      </c>
      <c r="O13" s="253">
        <v>45793</v>
      </c>
      <c r="P13" s="251" t="s">
        <v>87</v>
      </c>
      <c r="Q13" s="252" t="s">
        <v>94</v>
      </c>
      <c r="R13" s="251" t="s">
        <v>89</v>
      </c>
      <c r="S13" s="251" t="s">
        <v>91</v>
      </c>
      <c r="T13" s="251" t="s">
        <v>91</v>
      </c>
      <c r="U13" s="251" t="s">
        <v>91</v>
      </c>
      <c r="V13" s="251" t="s">
        <v>91</v>
      </c>
    </row>
    <row r="14" spans="1:23" ht="30" x14ac:dyDescent="0.2">
      <c r="A14" s="251">
        <v>71223585</v>
      </c>
      <c r="B14" s="251" t="str">
        <f>VLOOKUP(A14,'[1] BD CONDUCTORES'!$A$2:$B$691,2,FALSE)</f>
        <v>CASTRILLON LOPEZ CARLOS ANDRES</v>
      </c>
      <c r="C14" s="252" t="s">
        <v>24</v>
      </c>
      <c r="D14" s="251" t="s">
        <v>82</v>
      </c>
      <c r="E14" s="251" t="s">
        <v>83</v>
      </c>
      <c r="F14" s="253">
        <v>45754</v>
      </c>
      <c r="G14" s="251" t="s">
        <v>93</v>
      </c>
      <c r="H14" s="251" t="s">
        <v>4</v>
      </c>
      <c r="I14" s="251" t="s">
        <v>107</v>
      </c>
      <c r="J14" s="252" t="str">
        <f>VLOOKUP(H14,VALIDACIONES!$A$2:$B$138,2,0)</f>
        <v>Estacionar un vehículo en los sitios prohibidos por el Código Nacional de Tránsito, reglamentado por la Res.3027.</v>
      </c>
      <c r="K14" s="256">
        <v>604054</v>
      </c>
      <c r="L14" s="251">
        <f t="shared" si="0"/>
        <v>4</v>
      </c>
      <c r="M14" s="251">
        <f t="shared" si="1"/>
        <v>2025</v>
      </c>
      <c r="N14" s="252" t="s">
        <v>86</v>
      </c>
      <c r="O14" s="253">
        <v>45793</v>
      </c>
      <c r="P14" s="251" t="s">
        <v>87</v>
      </c>
      <c r="Q14" s="252" t="s">
        <v>88</v>
      </c>
      <c r="R14" s="251" t="s">
        <v>89</v>
      </c>
      <c r="S14" s="251" t="s">
        <v>91</v>
      </c>
      <c r="T14" s="251" t="s">
        <v>91</v>
      </c>
      <c r="U14" s="251" t="s">
        <v>91</v>
      </c>
      <c r="V14" s="251" t="s">
        <v>90</v>
      </c>
    </row>
    <row r="15" spans="1:23" ht="30" x14ac:dyDescent="0.2">
      <c r="A15" s="251">
        <v>1036638930</v>
      </c>
      <c r="B15" s="251" t="str">
        <f>VLOOKUP(A15,'[1] BD CONDUCTORES'!$A$2:$B$691,2,FALSE)</f>
        <v xml:space="preserve">GARCIA SEPULVEDA SEBASTIAN </v>
      </c>
      <c r="C15" s="252" t="s">
        <v>29</v>
      </c>
      <c r="D15" s="251" t="s">
        <v>82</v>
      </c>
      <c r="E15" s="251" t="s">
        <v>83</v>
      </c>
      <c r="F15" s="253">
        <v>45749</v>
      </c>
      <c r="G15" s="251" t="s">
        <v>108</v>
      </c>
      <c r="H15" s="251" t="s">
        <v>15</v>
      </c>
      <c r="I15" s="251" t="s">
        <v>109</v>
      </c>
      <c r="J15" s="252" t="str">
        <f>VLOOKUP(H15,VALIDACIONES!$A$2:$B$138,2,0)</f>
        <v>Las demas conductas que constituyan infraccion a las normas de transito y que no se encuentren descritas en este acto administrativo.</v>
      </c>
      <c r="K15" s="256">
        <v>201351</v>
      </c>
      <c r="L15" s="251">
        <f t="shared" si="0"/>
        <v>4</v>
      </c>
      <c r="M15" s="251">
        <f t="shared" si="1"/>
        <v>2025</v>
      </c>
      <c r="N15" s="252" t="s">
        <v>86</v>
      </c>
      <c r="O15" s="253"/>
      <c r="Q15" s="252" t="s">
        <v>94</v>
      </c>
      <c r="R15" s="251" t="s">
        <v>89</v>
      </c>
      <c r="S15" s="251" t="s">
        <v>90</v>
      </c>
      <c r="T15" s="251" t="s">
        <v>90</v>
      </c>
      <c r="V15" s="251" t="s">
        <v>90</v>
      </c>
    </row>
    <row r="16" spans="1:23" ht="60" x14ac:dyDescent="0.2">
      <c r="A16" s="251">
        <v>1060649387</v>
      </c>
      <c r="B16" s="251" t="str">
        <f>VLOOKUP(A16,'[1] BD CONDUCTORES'!$A$2:$B$691,2,FALSE)</f>
        <v>PATIÑO ALVAREZ JOHAN SEBASTIAN</v>
      </c>
      <c r="C16" s="252" t="s">
        <v>22</v>
      </c>
      <c r="D16" s="251" t="s">
        <v>82</v>
      </c>
      <c r="E16" s="251" t="s">
        <v>100</v>
      </c>
      <c r="F16" s="253">
        <v>45770</v>
      </c>
      <c r="G16" s="251" t="s">
        <v>101</v>
      </c>
      <c r="H16" s="251" t="s">
        <v>11</v>
      </c>
      <c r="I16" s="258" t="s">
        <v>110</v>
      </c>
      <c r="J16" s="252" t="str">
        <f>VLOOKUP(H16,VALIDACIONES!$A$2:$B$138,2,0)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16" s="256">
        <v>603928</v>
      </c>
      <c r="L16" s="251">
        <f t="shared" si="0"/>
        <v>4</v>
      </c>
      <c r="M16" s="251">
        <f t="shared" si="1"/>
        <v>2025</v>
      </c>
      <c r="N16" s="252" t="s">
        <v>86</v>
      </c>
      <c r="O16" s="253">
        <v>45793</v>
      </c>
      <c r="P16" s="251" t="s">
        <v>87</v>
      </c>
      <c r="Q16" s="252" t="s">
        <v>94</v>
      </c>
      <c r="R16" s="251" t="s">
        <v>89</v>
      </c>
      <c r="S16" s="251" t="s">
        <v>91</v>
      </c>
      <c r="T16" s="251" t="s">
        <v>91</v>
      </c>
      <c r="U16" s="251" t="s">
        <v>90</v>
      </c>
      <c r="V16" s="251" t="s">
        <v>91</v>
      </c>
    </row>
    <row r="17" spans="1:23" ht="30" x14ac:dyDescent="0.2">
      <c r="A17" s="251">
        <v>1060649387</v>
      </c>
      <c r="B17" s="251" t="str">
        <f>VLOOKUP(A17,'[1] BD CONDUCTORES'!$A$2:$B$691,2,FALSE)</f>
        <v>PATIÑO ALVAREZ JOHAN SEBASTIAN</v>
      </c>
      <c r="C17" s="252" t="s">
        <v>22</v>
      </c>
      <c r="D17" s="251" t="s">
        <v>82</v>
      </c>
      <c r="E17" s="251" t="s">
        <v>100</v>
      </c>
      <c r="F17" s="253">
        <v>45770</v>
      </c>
      <c r="G17" s="251" t="s">
        <v>101</v>
      </c>
      <c r="H17" s="251" t="s">
        <v>12</v>
      </c>
      <c r="I17" s="251" t="s">
        <v>110</v>
      </c>
      <c r="J17" s="252" t="str">
        <f>VLOOKUP(H17,VALIDACIONES!$A$2:$B$138,2,0)</f>
        <v>ConducirsinportarelSeguroObligatoriodeAccidentesdetránsitoordenadoporlaley.Además,elvehículoseráinmovilizado.</v>
      </c>
      <c r="K17" s="256">
        <v>1207855</v>
      </c>
      <c r="L17" s="251">
        <f t="shared" si="0"/>
        <v>4</v>
      </c>
      <c r="M17" s="251">
        <f t="shared" si="1"/>
        <v>2025</v>
      </c>
      <c r="N17" s="252" t="s">
        <v>86</v>
      </c>
      <c r="O17" s="253">
        <v>45793</v>
      </c>
      <c r="P17" s="251" t="s">
        <v>87</v>
      </c>
      <c r="Q17" s="252" t="s">
        <v>94</v>
      </c>
      <c r="R17" s="251" t="s">
        <v>89</v>
      </c>
      <c r="S17" s="251" t="s">
        <v>91</v>
      </c>
      <c r="T17" s="251" t="s">
        <v>91</v>
      </c>
      <c r="U17" s="251" t="s">
        <v>90</v>
      </c>
      <c r="V17" s="251" t="s">
        <v>91</v>
      </c>
    </row>
    <row r="18" spans="1:23" ht="60" x14ac:dyDescent="0.2">
      <c r="A18" s="251">
        <v>1018376618</v>
      </c>
      <c r="B18" s="251" t="s">
        <v>35</v>
      </c>
      <c r="C18" s="252" t="s">
        <v>30</v>
      </c>
      <c r="D18" s="251" t="s">
        <v>82</v>
      </c>
      <c r="E18" s="251" t="s">
        <v>83</v>
      </c>
      <c r="F18" s="253">
        <v>45806</v>
      </c>
      <c r="G18" s="251" t="s">
        <v>93</v>
      </c>
      <c r="H18" s="251" t="s">
        <v>11</v>
      </c>
      <c r="J18" s="252" t="str">
        <f>VLOOKUP(H18,VALIDACIONES!$A$2:$B$138,2,0)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18" s="256">
        <v>604054</v>
      </c>
      <c r="L18" s="251">
        <f t="shared" si="0"/>
        <v>5</v>
      </c>
      <c r="M18" s="251">
        <f t="shared" si="1"/>
        <v>2025</v>
      </c>
      <c r="N18" s="252" t="s">
        <v>86</v>
      </c>
      <c r="O18" s="253">
        <v>45819</v>
      </c>
      <c r="P18" s="251" t="s">
        <v>87</v>
      </c>
      <c r="Q18" s="252" t="s">
        <v>94</v>
      </c>
      <c r="R18" s="251" t="s">
        <v>89</v>
      </c>
      <c r="S18" s="251" t="s">
        <v>91</v>
      </c>
      <c r="T18" s="251" t="s">
        <v>91</v>
      </c>
      <c r="U18" s="251" t="s">
        <v>91</v>
      </c>
      <c r="V18" s="251" t="s">
        <v>91</v>
      </c>
    </row>
    <row r="19" spans="1:23" ht="60" x14ac:dyDescent="0.2">
      <c r="A19" s="251">
        <v>75092999</v>
      </c>
      <c r="B19" s="251" t="s">
        <v>36</v>
      </c>
      <c r="C19" s="252" t="s">
        <v>22</v>
      </c>
      <c r="D19" s="251" t="s">
        <v>82</v>
      </c>
      <c r="E19" s="251" t="s">
        <v>100</v>
      </c>
      <c r="F19" s="253">
        <v>45806</v>
      </c>
      <c r="G19" s="251" t="s">
        <v>101</v>
      </c>
      <c r="H19" s="251" t="s">
        <v>11</v>
      </c>
      <c r="J19" s="252" t="str">
        <f>VLOOKUP(H19,VALIDACIONES!$A$2:$B$138,2,0)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19" s="256">
        <v>603939</v>
      </c>
      <c r="L19" s="251">
        <f t="shared" si="0"/>
        <v>5</v>
      </c>
      <c r="M19" s="251">
        <f t="shared" si="1"/>
        <v>2025</v>
      </c>
      <c r="N19" s="252" t="s">
        <v>86</v>
      </c>
      <c r="O19" s="253">
        <v>45819</v>
      </c>
      <c r="P19" s="251" t="s">
        <v>87</v>
      </c>
      <c r="Q19" s="252" t="s">
        <v>94</v>
      </c>
      <c r="R19" s="251" t="s">
        <v>89</v>
      </c>
      <c r="S19" s="251" t="s">
        <v>90</v>
      </c>
      <c r="T19" s="251" t="s">
        <v>90</v>
      </c>
      <c r="U19" s="251" t="s">
        <v>91</v>
      </c>
    </row>
    <row r="20" spans="1:23" ht="60" x14ac:dyDescent="0.2">
      <c r="A20" s="251">
        <v>8111021</v>
      </c>
      <c r="B20" s="251" t="s">
        <v>38</v>
      </c>
      <c r="C20" s="252" t="s">
        <v>30</v>
      </c>
      <c r="D20" s="251" t="s">
        <v>82</v>
      </c>
      <c r="E20" s="251" t="s">
        <v>83</v>
      </c>
      <c r="F20" s="253">
        <v>45805</v>
      </c>
      <c r="G20" s="251" t="s">
        <v>101</v>
      </c>
      <c r="H20" s="251" t="s">
        <v>11</v>
      </c>
      <c r="J20" s="252" t="str">
        <f>VLOOKUP(H20,VALIDACIONES!$A$2:$B$138,2,0)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20" s="256">
        <v>604054</v>
      </c>
      <c r="L20" s="251">
        <f t="shared" si="0"/>
        <v>5</v>
      </c>
      <c r="M20" s="251">
        <f t="shared" si="1"/>
        <v>2025</v>
      </c>
      <c r="N20" s="252" t="s">
        <v>86</v>
      </c>
      <c r="O20" s="253">
        <v>45819</v>
      </c>
      <c r="P20" s="251" t="s">
        <v>87</v>
      </c>
      <c r="Q20" s="252" t="s">
        <v>94</v>
      </c>
      <c r="R20" s="251" t="s">
        <v>89</v>
      </c>
      <c r="S20" s="251" t="s">
        <v>90</v>
      </c>
      <c r="T20" s="251" t="s">
        <v>90</v>
      </c>
      <c r="U20" s="251" t="s">
        <v>91</v>
      </c>
    </row>
    <row r="21" spans="1:23" ht="30" x14ac:dyDescent="0.2">
      <c r="A21" s="251">
        <v>1144173726</v>
      </c>
      <c r="B21" s="251" t="s">
        <v>48</v>
      </c>
      <c r="C21" s="252" t="s">
        <v>21</v>
      </c>
      <c r="D21" s="251" t="s">
        <v>82</v>
      </c>
      <c r="E21" s="251" t="s">
        <v>83</v>
      </c>
      <c r="F21" s="253">
        <v>45806</v>
      </c>
      <c r="G21" s="251" t="s">
        <v>93</v>
      </c>
      <c r="H21" s="251" t="s">
        <v>4</v>
      </c>
      <c r="J21" s="252" t="str">
        <f>VLOOKUP(H21,VALIDACIONES!$A$2:$B$138,2,0)</f>
        <v>Estacionar un vehículo en los sitios prohibidos por el Código Nacional de Tránsito, reglamentado por la Res.3027.</v>
      </c>
      <c r="K21" s="256">
        <v>604054</v>
      </c>
      <c r="L21" s="251">
        <f t="shared" si="0"/>
        <v>5</v>
      </c>
      <c r="M21" s="251">
        <f t="shared" si="1"/>
        <v>2025</v>
      </c>
      <c r="N21" s="252" t="s">
        <v>86</v>
      </c>
      <c r="O21" s="253">
        <v>45819</v>
      </c>
      <c r="P21" s="251" t="s">
        <v>87</v>
      </c>
      <c r="Q21" s="252" t="s">
        <v>94</v>
      </c>
      <c r="R21" s="251" t="s">
        <v>89</v>
      </c>
      <c r="S21" s="251" t="s">
        <v>91</v>
      </c>
      <c r="T21" s="251" t="s">
        <v>90</v>
      </c>
      <c r="U21" s="251" t="s">
        <v>90</v>
      </c>
      <c r="V21" s="251" t="s">
        <v>91</v>
      </c>
    </row>
    <row r="22" spans="1:23" ht="30" x14ac:dyDescent="0.2">
      <c r="A22" s="251">
        <v>1152466310</v>
      </c>
      <c r="B22" s="251" t="s">
        <v>62</v>
      </c>
      <c r="C22" s="252" t="s">
        <v>30</v>
      </c>
      <c r="D22" s="251" t="s">
        <v>82</v>
      </c>
      <c r="E22" s="251" t="s">
        <v>83</v>
      </c>
      <c r="F22" s="253">
        <v>45800</v>
      </c>
      <c r="G22" s="251" t="s">
        <v>111</v>
      </c>
      <c r="H22" s="251" t="s">
        <v>7</v>
      </c>
      <c r="I22" s="251" t="s">
        <v>112</v>
      </c>
      <c r="J22" s="252" t="str">
        <f>VLOOKUP(H22,VALIDACIONES!$A$2:$B$138,2,0)</f>
        <v>Transitar por los siguientes sitios restringidos o en horas prohibidas por laautoridad competente. Además, el vehículo será inmovilizado.(verlistado)</v>
      </c>
      <c r="K22" s="256">
        <v>604000</v>
      </c>
      <c r="L22" s="251">
        <f t="shared" si="0"/>
        <v>5</v>
      </c>
      <c r="M22" s="251">
        <f t="shared" si="1"/>
        <v>2025</v>
      </c>
      <c r="N22" s="252" t="s">
        <v>86</v>
      </c>
      <c r="O22" s="253">
        <v>45819</v>
      </c>
      <c r="P22" s="251" t="s">
        <v>87</v>
      </c>
      <c r="Q22" s="252" t="s">
        <v>88</v>
      </c>
      <c r="R22" s="251" t="s">
        <v>89</v>
      </c>
      <c r="S22" s="251" t="s">
        <v>90</v>
      </c>
      <c r="U22" s="251" t="s">
        <v>91</v>
      </c>
    </row>
    <row r="23" spans="1:23" ht="30" x14ac:dyDescent="0.2">
      <c r="A23" s="251">
        <v>1089718997</v>
      </c>
      <c r="B23" s="251" t="s">
        <v>54</v>
      </c>
      <c r="C23" s="252" t="s">
        <v>22</v>
      </c>
      <c r="D23" s="251" t="s">
        <v>82</v>
      </c>
      <c r="E23" s="251" t="s">
        <v>100</v>
      </c>
      <c r="F23" s="253">
        <v>45826</v>
      </c>
      <c r="G23" s="251" t="s">
        <v>103</v>
      </c>
      <c r="H23" s="251" t="s">
        <v>10</v>
      </c>
      <c r="I23" s="251" t="s">
        <v>113</v>
      </c>
      <c r="J23" s="252" t="str">
        <f>VLOOKUP(H23,VALIDACIONES!$A$2:$B$138,2,0)</f>
        <v>Conducir un vehículo a velocidad superior a la máxima permitida, la cual deberá estar señalizada en forma sectorizada, no obstante esta no podrá ser superior a (verlistado)</v>
      </c>
      <c r="K23" s="256">
        <v>603930</v>
      </c>
      <c r="L23" s="251">
        <f t="shared" ref="L23:L31" si="2">MONTH(F23)</f>
        <v>6</v>
      </c>
      <c r="M23" s="251">
        <f t="shared" ref="M23:M31" si="3">YEAR(F23)</f>
        <v>2025</v>
      </c>
      <c r="N23" s="251" t="s">
        <v>114</v>
      </c>
      <c r="O23" s="253">
        <v>45842</v>
      </c>
      <c r="P23" s="251" t="s">
        <v>87</v>
      </c>
      <c r="Q23" s="252"/>
    </row>
    <row r="24" spans="1:23" ht="30" x14ac:dyDescent="0.2">
      <c r="A24" s="251">
        <v>1036132399</v>
      </c>
      <c r="B24" s="251" t="s">
        <v>54</v>
      </c>
      <c r="C24" s="252" t="s">
        <v>30</v>
      </c>
      <c r="D24" s="251" t="s">
        <v>82</v>
      </c>
      <c r="E24" s="251" t="s">
        <v>83</v>
      </c>
      <c r="F24" s="253">
        <v>45852</v>
      </c>
      <c r="G24" s="251" t="s">
        <v>115</v>
      </c>
      <c r="H24" s="251" t="s">
        <v>6</v>
      </c>
      <c r="I24" s="251" t="s">
        <v>85</v>
      </c>
      <c r="J24" s="252" t="str">
        <f>VLOOKUP(H24,VALIDACIONES!$A$2:$B$138,2,0)</f>
        <v>Noportarcomomínimoelsiguienteequipodeprevenciónyseguridad.(verlistado)</v>
      </c>
      <c r="K24" s="256">
        <v>603930</v>
      </c>
      <c r="L24" s="251">
        <f t="shared" si="2"/>
        <v>7</v>
      </c>
      <c r="M24" s="251">
        <f t="shared" si="3"/>
        <v>2025</v>
      </c>
      <c r="N24" s="251" t="s">
        <v>114</v>
      </c>
      <c r="O24" s="253">
        <v>45877</v>
      </c>
      <c r="P24" s="251" t="s">
        <v>87</v>
      </c>
      <c r="Q24" s="252"/>
      <c r="R24" s="251" t="s">
        <v>89</v>
      </c>
    </row>
    <row r="25" spans="1:23" ht="60" x14ac:dyDescent="0.2">
      <c r="A25" s="251">
        <v>10271854</v>
      </c>
      <c r="B25" s="251" t="s">
        <v>40</v>
      </c>
      <c r="C25" s="252" t="s">
        <v>22</v>
      </c>
      <c r="D25" s="251" t="s">
        <v>82</v>
      </c>
      <c r="E25" s="251" t="s">
        <v>100</v>
      </c>
      <c r="F25" s="253">
        <v>45879</v>
      </c>
      <c r="G25" s="251" t="s">
        <v>101</v>
      </c>
      <c r="H25" s="251" t="s">
        <v>14</v>
      </c>
      <c r="I25" s="251" t="s">
        <v>116</v>
      </c>
      <c r="J25" s="252" t="str">
        <f>VLOOKUP(H25,VALIDACIONES!$A$2:$B$138,2,0)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K25" s="256">
        <v>1207855</v>
      </c>
      <c r="L25" s="251">
        <f t="shared" si="2"/>
        <v>8</v>
      </c>
      <c r="M25" s="251">
        <f t="shared" si="3"/>
        <v>2025</v>
      </c>
      <c r="N25" s="251" t="s">
        <v>114</v>
      </c>
      <c r="O25" s="253">
        <v>45911</v>
      </c>
      <c r="P25" s="251" t="s">
        <v>117</v>
      </c>
      <c r="Q25" s="252" t="s">
        <v>94</v>
      </c>
      <c r="R25" s="251" t="s">
        <v>89</v>
      </c>
      <c r="S25" s="251" t="s">
        <v>91</v>
      </c>
      <c r="T25" s="251" t="s">
        <v>90</v>
      </c>
      <c r="U25" s="251" t="s">
        <v>91</v>
      </c>
      <c r="V25" s="251" t="s">
        <v>91</v>
      </c>
    </row>
    <row r="26" spans="1:23" ht="30" x14ac:dyDescent="0.2">
      <c r="A26" s="251">
        <v>71692190</v>
      </c>
      <c r="B26" s="251" t="s">
        <v>44</v>
      </c>
      <c r="C26" s="252" t="s">
        <v>25</v>
      </c>
      <c r="D26" s="251" t="s">
        <v>25</v>
      </c>
      <c r="E26" s="251" t="s">
        <v>83</v>
      </c>
      <c r="F26" s="253">
        <v>45898</v>
      </c>
      <c r="G26" s="251" t="s">
        <v>118</v>
      </c>
      <c r="H26" s="251" t="s">
        <v>15</v>
      </c>
      <c r="I26" s="251" t="s">
        <v>119</v>
      </c>
      <c r="J26" s="252" t="str">
        <f>VLOOKUP(H26,VALIDACIONES!$A$2:$B$138,2,0)</f>
        <v>Las demas conductas que constituyan infraccion a las normas de transito y que no se encuentren descritas en este acto administrativo.</v>
      </c>
      <c r="K26" s="256">
        <v>201351</v>
      </c>
      <c r="L26" s="251">
        <v>8</v>
      </c>
      <c r="M26" s="251">
        <v>2025</v>
      </c>
      <c r="N26" s="251" t="s">
        <v>114</v>
      </c>
      <c r="O26" s="253">
        <v>45911</v>
      </c>
      <c r="P26" s="251" t="s">
        <v>117</v>
      </c>
      <c r="Q26" s="252" t="s">
        <v>120</v>
      </c>
      <c r="R26" s="251" t="s">
        <v>89</v>
      </c>
      <c r="U26" s="251" t="s">
        <v>121</v>
      </c>
      <c r="V26" s="251" t="s">
        <v>122</v>
      </c>
      <c r="W26" s="251" t="s">
        <v>123</v>
      </c>
    </row>
    <row r="27" spans="1:23" ht="30" x14ac:dyDescent="0.2">
      <c r="A27" s="251">
        <v>8402361</v>
      </c>
      <c r="B27" s="251" t="s">
        <v>45</v>
      </c>
      <c r="C27" s="252" t="s">
        <v>26</v>
      </c>
      <c r="D27" s="251" t="s">
        <v>82</v>
      </c>
      <c r="E27" s="251" t="s">
        <v>83</v>
      </c>
      <c r="F27" s="253">
        <v>45892</v>
      </c>
      <c r="G27" s="251" t="s">
        <v>103</v>
      </c>
      <c r="H27" s="251" t="s">
        <v>10</v>
      </c>
      <c r="I27" s="251" t="s">
        <v>124</v>
      </c>
      <c r="J27" s="252" t="str">
        <f>VLOOKUP(H27,VALIDACIONES!$A$2:$B$138,2,0)</f>
        <v>Conducir un vehículo a velocidad superior a la máxima permitida, la cual deberá estar señalizada en forma sectorizada, no obstante esta no podrá ser superior a (verlistado)</v>
      </c>
      <c r="K27" s="256">
        <v>603930</v>
      </c>
      <c r="L27" s="251">
        <f>MONTH(F27)</f>
        <v>8</v>
      </c>
      <c r="M27" s="251">
        <f t="shared" si="3"/>
        <v>2025</v>
      </c>
      <c r="N27" s="251" t="s">
        <v>114</v>
      </c>
      <c r="O27" s="253">
        <v>45911</v>
      </c>
      <c r="P27" s="251" t="s">
        <v>87</v>
      </c>
      <c r="Q27" s="252"/>
      <c r="R27" s="251" t="s">
        <v>89</v>
      </c>
    </row>
    <row r="28" spans="1:23" ht="60" x14ac:dyDescent="0.2">
      <c r="A28" s="251">
        <v>98570609</v>
      </c>
      <c r="B28" s="251" t="s">
        <v>52</v>
      </c>
      <c r="C28" s="252" t="s">
        <v>27</v>
      </c>
      <c r="D28" s="251" t="s">
        <v>82</v>
      </c>
      <c r="E28" s="251" t="s">
        <v>83</v>
      </c>
      <c r="F28" s="253">
        <v>45878</v>
      </c>
      <c r="G28" s="251" t="s">
        <v>93</v>
      </c>
      <c r="H28" s="251" t="s">
        <v>11</v>
      </c>
      <c r="J28" s="252" t="str">
        <f>VLOOKUP(H28,VALIDACIONES!$A$2:$B$138,2,0)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28" s="256">
        <v>604054</v>
      </c>
      <c r="L28" s="251">
        <f t="shared" si="2"/>
        <v>8</v>
      </c>
      <c r="M28" s="251">
        <f t="shared" si="3"/>
        <v>2025</v>
      </c>
      <c r="N28" s="251" t="s">
        <v>114</v>
      </c>
      <c r="O28" s="253">
        <v>45911</v>
      </c>
      <c r="P28" s="251" t="s">
        <v>117</v>
      </c>
      <c r="Q28" s="252" t="s">
        <v>94</v>
      </c>
      <c r="R28" s="251" t="s">
        <v>89</v>
      </c>
      <c r="S28" s="251" t="s">
        <v>91</v>
      </c>
      <c r="T28" s="251" t="s">
        <v>90</v>
      </c>
      <c r="U28" s="251" t="s">
        <v>91</v>
      </c>
      <c r="V28" s="251" t="s">
        <v>91</v>
      </c>
    </row>
    <row r="29" spans="1:23" ht="30" x14ac:dyDescent="0.2">
      <c r="A29" s="251">
        <v>71613262</v>
      </c>
      <c r="B29" s="251" t="s">
        <v>61</v>
      </c>
      <c r="C29" s="252" t="s">
        <v>30</v>
      </c>
      <c r="D29" s="251" t="s">
        <v>82</v>
      </c>
      <c r="E29" s="251" t="s">
        <v>83</v>
      </c>
      <c r="F29" s="253">
        <v>45873</v>
      </c>
      <c r="G29" s="251" t="s">
        <v>125</v>
      </c>
      <c r="H29" s="251" t="s">
        <v>9</v>
      </c>
      <c r="I29" s="251" t="s">
        <v>126</v>
      </c>
      <c r="J29" s="252" t="str">
        <f>VLOOKUP(H29,VALIDACIONES!$A$2:$B$138,2,0)</f>
        <v>Transitarenvehículosde3.5omástoneladasporelcarrilizquierdodelavíacuandohubieremásdeuncarril.</v>
      </c>
      <c r="K29" s="256">
        <v>603939</v>
      </c>
      <c r="L29" s="251">
        <f t="shared" si="2"/>
        <v>8</v>
      </c>
      <c r="M29" s="251">
        <f t="shared" si="3"/>
        <v>2025</v>
      </c>
      <c r="N29" s="251" t="s">
        <v>114</v>
      </c>
      <c r="O29" s="253">
        <v>45911</v>
      </c>
      <c r="P29" s="251" t="s">
        <v>117</v>
      </c>
      <c r="Q29" s="252" t="s">
        <v>94</v>
      </c>
      <c r="R29" s="251" t="s">
        <v>89</v>
      </c>
      <c r="S29" s="251" t="s">
        <v>90</v>
      </c>
      <c r="T29" s="251" t="s">
        <v>90</v>
      </c>
      <c r="U29" s="251" t="s">
        <v>91</v>
      </c>
      <c r="V29" s="251" t="s">
        <v>90</v>
      </c>
    </row>
    <row r="30" spans="1:23" ht="30" x14ac:dyDescent="0.2">
      <c r="A30" s="251">
        <v>71268105</v>
      </c>
      <c r="B30" s="251" t="s">
        <v>57</v>
      </c>
      <c r="C30" s="252" t="s">
        <v>28</v>
      </c>
      <c r="D30" s="251" t="s">
        <v>25</v>
      </c>
      <c r="E30" s="251" t="s">
        <v>83</v>
      </c>
      <c r="F30" s="253">
        <v>45887</v>
      </c>
      <c r="G30" s="251" t="s">
        <v>127</v>
      </c>
      <c r="H30" s="251" t="s">
        <v>10</v>
      </c>
      <c r="I30" s="251" t="s">
        <v>128</v>
      </c>
      <c r="J30" s="252" t="str">
        <f>VLOOKUP(H30,VALIDACIONES!$A$2:$B$138,2,0)</f>
        <v>Conducir un vehículo a velocidad superior a la máxima permitida, la cual deberá estar señalizada en forma sectorizada, no obstante esta no podrá ser superior a (verlistado)</v>
      </c>
      <c r="K30" s="256">
        <v>603939</v>
      </c>
      <c r="L30" s="251">
        <f t="shared" si="2"/>
        <v>8</v>
      </c>
      <c r="M30" s="251">
        <f t="shared" si="3"/>
        <v>2025</v>
      </c>
      <c r="N30" s="251" t="s">
        <v>114</v>
      </c>
      <c r="O30" s="253">
        <v>45911</v>
      </c>
      <c r="P30" s="251" t="s">
        <v>87</v>
      </c>
      <c r="Q30" s="252" t="s">
        <v>88</v>
      </c>
      <c r="R30" s="251" t="s">
        <v>89</v>
      </c>
      <c r="S30" s="251" t="s">
        <v>91</v>
      </c>
      <c r="T30" s="251" t="s">
        <v>91</v>
      </c>
      <c r="U30" s="251" t="s">
        <v>91</v>
      </c>
      <c r="V30" s="251" t="s">
        <v>90</v>
      </c>
    </row>
    <row r="31" spans="1:23" ht="30" x14ac:dyDescent="0.2">
      <c r="A31" s="251">
        <v>1070603395</v>
      </c>
      <c r="B31" s="251" t="s">
        <v>58</v>
      </c>
      <c r="C31" s="252" t="s">
        <v>24</v>
      </c>
      <c r="D31" s="251" t="s">
        <v>82</v>
      </c>
      <c r="E31" s="251" t="s">
        <v>83</v>
      </c>
      <c r="F31" s="253">
        <v>45884</v>
      </c>
      <c r="G31" s="251" t="s">
        <v>129</v>
      </c>
      <c r="H31" s="251" t="s">
        <v>4</v>
      </c>
      <c r="I31" s="251" t="s">
        <v>130</v>
      </c>
      <c r="J31" s="252" t="str">
        <f>VLOOKUP(H31,VALIDACIONES!$A$2:$B$138,2,0)</f>
        <v>Estacionar un vehículo en los sitios prohibidos por el Código Nacional de Tránsito, reglamentado por la Res.3027.</v>
      </c>
      <c r="K31" s="256">
        <v>603939</v>
      </c>
      <c r="L31" s="251">
        <f t="shared" si="2"/>
        <v>8</v>
      </c>
      <c r="M31" s="251">
        <f t="shared" si="3"/>
        <v>2025</v>
      </c>
      <c r="N31" s="251" t="s">
        <v>114</v>
      </c>
      <c r="O31" s="253">
        <v>45911</v>
      </c>
      <c r="P31" s="251" t="s">
        <v>117</v>
      </c>
      <c r="Q31" s="252" t="s">
        <v>88</v>
      </c>
      <c r="R31" s="251" t="s">
        <v>89</v>
      </c>
      <c r="U31" s="251" t="s">
        <v>91</v>
      </c>
    </row>
    <row r="32" spans="1:23" ht="30" x14ac:dyDescent="0.2">
      <c r="A32" s="251">
        <v>1001237255</v>
      </c>
      <c r="B32" s="251" t="s">
        <v>33</v>
      </c>
      <c r="C32" s="252" t="s">
        <v>30</v>
      </c>
      <c r="D32" s="251" t="s">
        <v>82</v>
      </c>
      <c r="E32" s="251" t="s">
        <v>83</v>
      </c>
      <c r="F32" s="253">
        <v>45909</v>
      </c>
      <c r="G32" s="251" t="s">
        <v>118</v>
      </c>
      <c r="H32" s="251" t="s">
        <v>5</v>
      </c>
      <c r="I32" s="251" t="s">
        <v>131</v>
      </c>
      <c r="J32" s="252" t="str">
        <f>VLOOKUP(H32,VALIDACIONES!$A$2:$B$138,2,0)</f>
        <v>Noutilizarelcinturóndeseguridadporpartedelosocupantesdelvehículoyloscinturonesdeseguridadenlosasientostraserosenlosvehículosfabricadosapartirdelaño2004.</v>
      </c>
      <c r="K32" s="256">
        <v>603939</v>
      </c>
      <c r="L32" s="251">
        <f t="shared" ref="L32:L34" si="4">MONTH(F32)</f>
        <v>9</v>
      </c>
      <c r="M32" s="251">
        <f t="shared" ref="M32:M34" si="5">YEAR(F32)</f>
        <v>2025</v>
      </c>
      <c r="N32" s="251" t="s">
        <v>114</v>
      </c>
      <c r="O32" s="253">
        <v>45939</v>
      </c>
      <c r="P32" s="251" t="s">
        <v>132</v>
      </c>
      <c r="Q32" s="252" t="s">
        <v>88</v>
      </c>
      <c r="R32" s="251" t="s">
        <v>89</v>
      </c>
    </row>
    <row r="33" spans="1:22" ht="30" x14ac:dyDescent="0.2">
      <c r="A33" s="251">
        <v>1001237255</v>
      </c>
      <c r="B33" s="251" t="s">
        <v>33</v>
      </c>
      <c r="C33" s="252" t="s">
        <v>30</v>
      </c>
      <c r="D33" s="251" t="s">
        <v>82</v>
      </c>
      <c r="E33" s="251" t="s">
        <v>83</v>
      </c>
      <c r="F33" s="253">
        <v>45902</v>
      </c>
      <c r="G33" s="251" t="s">
        <v>118</v>
      </c>
      <c r="H33" s="251" t="s">
        <v>15</v>
      </c>
      <c r="I33" s="251" t="s">
        <v>131</v>
      </c>
      <c r="J33" s="252" t="str">
        <f>VLOOKUP(H33,VALIDACIONES!$A$2:$B$138,2,0)</f>
        <v>Las demas conductas que constituyan infraccion a las normas de transito y que no se encuentren descritas en este acto administrativo.</v>
      </c>
      <c r="K33" s="256">
        <v>201351</v>
      </c>
      <c r="L33" s="251">
        <f t="shared" si="4"/>
        <v>9</v>
      </c>
      <c r="M33" s="251">
        <f t="shared" si="5"/>
        <v>2025</v>
      </c>
      <c r="N33" s="251" t="s">
        <v>114</v>
      </c>
      <c r="O33" s="253">
        <v>45939</v>
      </c>
      <c r="P33" s="251" t="s">
        <v>87</v>
      </c>
      <c r="Q33" s="252" t="s">
        <v>94</v>
      </c>
      <c r="R33" s="251" t="s">
        <v>89</v>
      </c>
    </row>
    <row r="34" spans="1:22" ht="30" x14ac:dyDescent="0.2">
      <c r="A34" s="251">
        <v>75108007</v>
      </c>
      <c r="B34" s="251" t="s">
        <v>49</v>
      </c>
      <c r="C34" s="252" t="s">
        <v>22</v>
      </c>
      <c r="D34" s="251" t="s">
        <v>82</v>
      </c>
      <c r="E34" s="251" t="s">
        <v>100</v>
      </c>
      <c r="F34" s="253">
        <v>45906</v>
      </c>
      <c r="G34" s="251" t="s">
        <v>133</v>
      </c>
      <c r="H34" s="251" t="s">
        <v>4</v>
      </c>
      <c r="I34" s="251" t="s">
        <v>134</v>
      </c>
      <c r="J34" s="252" t="str">
        <f>VLOOKUP(H34,VALIDACIONES!$A$2:$B$138,2,0)</f>
        <v>Estacionar un vehículo en los sitios prohibidos por el Código Nacional de Tránsito, reglamentado por la Res.3027.</v>
      </c>
      <c r="K34" s="256">
        <v>603930</v>
      </c>
      <c r="L34" s="251">
        <f t="shared" si="4"/>
        <v>9</v>
      </c>
      <c r="M34" s="251">
        <f t="shared" si="5"/>
        <v>2025</v>
      </c>
      <c r="N34" s="251" t="s">
        <v>114</v>
      </c>
      <c r="O34" s="253">
        <v>45939</v>
      </c>
      <c r="P34" s="251" t="s">
        <v>117</v>
      </c>
      <c r="Q34" s="252" t="s">
        <v>88</v>
      </c>
      <c r="R34" s="251" t="s">
        <v>89</v>
      </c>
    </row>
    <row r="35" spans="1:22" x14ac:dyDescent="0.2">
      <c r="A35" s="251">
        <v>8433989</v>
      </c>
      <c r="B35" s="251" t="s">
        <v>37</v>
      </c>
      <c r="C35" s="252" t="s">
        <v>21</v>
      </c>
      <c r="D35" s="251" t="s">
        <v>135</v>
      </c>
      <c r="E35" s="251" t="s">
        <v>83</v>
      </c>
      <c r="F35" s="253">
        <v>45961</v>
      </c>
      <c r="G35" s="251" t="s">
        <v>93</v>
      </c>
      <c r="H35" s="251" t="s">
        <v>8</v>
      </c>
      <c r="I35" s="251" t="s">
        <v>136</v>
      </c>
      <c r="J35" s="252" t="str">
        <f>VLOOKUP(H35,VALIDACIONES!$A$2:$B$138,2,0)</f>
        <v>Conducir motocicleta sin observar las siguientes normas.(verlistadodesituaciones)</v>
      </c>
      <c r="K35" s="256">
        <v>604054</v>
      </c>
      <c r="L35" s="251">
        <f t="shared" ref="L35:L44" si="6">MONTH(F35)</f>
        <v>10</v>
      </c>
      <c r="M35" s="251">
        <f t="shared" ref="M35:M44" si="7">YEAR(F35)</f>
        <v>2025</v>
      </c>
      <c r="N35" s="251" t="s">
        <v>114</v>
      </c>
      <c r="O35" s="253">
        <v>45967</v>
      </c>
      <c r="P35" s="251" t="s">
        <v>117</v>
      </c>
      <c r="Q35" s="252"/>
    </row>
    <row r="36" spans="1:22" ht="30" x14ac:dyDescent="0.2">
      <c r="A36" s="251">
        <v>1017154790</v>
      </c>
      <c r="B36" s="251" t="s">
        <v>41</v>
      </c>
      <c r="C36" s="252" t="s">
        <v>25</v>
      </c>
      <c r="D36" s="251" t="s">
        <v>25</v>
      </c>
      <c r="E36" s="251" t="s">
        <v>83</v>
      </c>
      <c r="F36" s="253">
        <v>45946</v>
      </c>
      <c r="G36" s="251" t="s">
        <v>93</v>
      </c>
      <c r="H36" s="251" t="s">
        <v>4</v>
      </c>
      <c r="I36" s="251" t="s">
        <v>137</v>
      </c>
      <c r="J36" s="252" t="str">
        <f>VLOOKUP(H36,VALIDACIONES!$A$2:$B$138,2,0)</f>
        <v>Estacionar un vehículo en los sitios prohibidos por el Código Nacional de Tránsito, reglamentado por la Res.3027.</v>
      </c>
      <c r="K36" s="256">
        <v>604054</v>
      </c>
      <c r="L36" s="251">
        <f t="shared" si="6"/>
        <v>10</v>
      </c>
      <c r="M36" s="251">
        <f t="shared" si="7"/>
        <v>2025</v>
      </c>
      <c r="N36" s="251" t="s">
        <v>114</v>
      </c>
      <c r="O36" s="253"/>
      <c r="Q36" s="252"/>
    </row>
    <row r="37" spans="1:22" ht="30" x14ac:dyDescent="0.2">
      <c r="A37" s="251">
        <v>1152450531</v>
      </c>
      <c r="B37" s="251" t="s">
        <v>43</v>
      </c>
      <c r="C37" s="252" t="s">
        <v>25</v>
      </c>
      <c r="D37" s="251" t="s">
        <v>25</v>
      </c>
      <c r="E37" s="251" t="s">
        <v>83</v>
      </c>
      <c r="F37" s="253">
        <v>45939</v>
      </c>
      <c r="G37" s="251" t="s">
        <v>138</v>
      </c>
      <c r="H37" s="251" t="s">
        <v>7</v>
      </c>
      <c r="I37" s="251" t="s">
        <v>139</v>
      </c>
      <c r="J37" s="252" t="str">
        <f>VLOOKUP(H37,VALIDACIONES!$A$2:$B$138,2,0)</f>
        <v>Transitar por los siguientes sitios restringidos o en horas prohibidas por laautoridad competente. Además, el vehículo será inmovilizado.(verlistado)</v>
      </c>
      <c r="K37" s="256">
        <v>603930</v>
      </c>
      <c r="L37" s="251">
        <f t="shared" si="6"/>
        <v>10</v>
      </c>
      <c r="M37" s="251">
        <f t="shared" si="7"/>
        <v>2025</v>
      </c>
      <c r="N37" s="251" t="s">
        <v>114</v>
      </c>
      <c r="O37" s="253"/>
      <c r="Q37" s="252"/>
    </row>
    <row r="38" spans="1:22" ht="60" x14ac:dyDescent="0.2">
      <c r="A38" s="251">
        <v>70033808</v>
      </c>
      <c r="B38" s="251" t="s">
        <v>46</v>
      </c>
      <c r="C38" s="252" t="s">
        <v>24</v>
      </c>
      <c r="D38" s="251" t="s">
        <v>82</v>
      </c>
      <c r="E38" s="251" t="s">
        <v>83</v>
      </c>
      <c r="F38" s="253">
        <v>45952</v>
      </c>
      <c r="G38" s="251" t="s">
        <v>93</v>
      </c>
      <c r="H38" s="251" t="s">
        <v>13</v>
      </c>
      <c r="I38" s="251" t="s">
        <v>140</v>
      </c>
      <c r="J38" s="252" t="str">
        <f>VLOOKUP(H38,VALIDACIONES!$A$2:$B$138,2,0)</f>
        <v>Transitarensentidocontrarioalestipuladoparalavía,calzadaocarril.Enelcasodemotocicletaseprocederaasuinmovilizaciónhastatantonosepagueelvalordelamultaolaautoridadcompetentedecidasobresuimposicionenlosterminosdelosarticulos135y136delcódigonacionaldetránsito.</v>
      </c>
      <c r="K38" s="256">
        <v>1207762</v>
      </c>
      <c r="L38" s="251">
        <f t="shared" si="6"/>
        <v>10</v>
      </c>
      <c r="M38" s="251">
        <f t="shared" si="7"/>
        <v>2025</v>
      </c>
      <c r="N38" s="251" t="s">
        <v>114</v>
      </c>
      <c r="O38" s="253">
        <v>45967</v>
      </c>
      <c r="P38" s="251" t="s">
        <v>117</v>
      </c>
      <c r="Q38" s="252"/>
    </row>
    <row r="39" spans="1:22" ht="30" x14ac:dyDescent="0.2">
      <c r="A39" s="251">
        <v>1017139302</v>
      </c>
      <c r="B39" s="251" t="s">
        <v>53</v>
      </c>
      <c r="C39" s="252" t="s">
        <v>27</v>
      </c>
      <c r="D39" s="251" t="s">
        <v>82</v>
      </c>
      <c r="E39" s="251" t="s">
        <v>83</v>
      </c>
      <c r="F39" s="253">
        <v>45936</v>
      </c>
      <c r="G39" s="251" t="s">
        <v>138</v>
      </c>
      <c r="H39" s="251" t="s">
        <v>7</v>
      </c>
      <c r="J39" s="252" t="str">
        <f>VLOOKUP(H39,VALIDACIONES!$A$2:$B$138,2,0)</f>
        <v>Transitar por los siguientes sitios restringidos o en horas prohibidas por laautoridad competente. Además, el vehículo será inmovilizado.(verlistado)</v>
      </c>
      <c r="K39" s="256">
        <v>603930</v>
      </c>
      <c r="L39" s="251">
        <f t="shared" si="6"/>
        <v>10</v>
      </c>
      <c r="M39" s="251">
        <f t="shared" si="7"/>
        <v>2025</v>
      </c>
      <c r="N39" s="251" t="s">
        <v>114</v>
      </c>
      <c r="O39" s="253"/>
      <c r="Q39" s="252"/>
    </row>
    <row r="40" spans="1:22" ht="60" x14ac:dyDescent="0.2">
      <c r="A40" s="251">
        <v>71315786</v>
      </c>
      <c r="B40" s="251" t="s">
        <v>56</v>
      </c>
      <c r="C40" s="252" t="s">
        <v>24</v>
      </c>
      <c r="D40" s="251" t="s">
        <v>82</v>
      </c>
      <c r="E40" s="251" t="s">
        <v>83</v>
      </c>
      <c r="F40" s="253">
        <v>45950</v>
      </c>
      <c r="G40" s="251" t="s">
        <v>125</v>
      </c>
      <c r="H40" s="251" t="s">
        <v>11</v>
      </c>
      <c r="I40" s="251" t="s">
        <v>141</v>
      </c>
      <c r="J40" s="252" t="str">
        <f>VLOOKUP(H40,VALIDACIONES!$A$2:$B$138,2,0)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40" s="256">
        <v>603939</v>
      </c>
      <c r="L40" s="251">
        <f t="shared" si="6"/>
        <v>10</v>
      </c>
      <c r="M40" s="251">
        <f t="shared" si="7"/>
        <v>2025</v>
      </c>
      <c r="N40" s="251" t="s">
        <v>114</v>
      </c>
      <c r="O40" s="253">
        <v>45967</v>
      </c>
      <c r="P40" s="251" t="s">
        <v>117</v>
      </c>
      <c r="Q40" s="252"/>
    </row>
    <row r="41" spans="1:22" ht="60" x14ac:dyDescent="0.2">
      <c r="A41" s="251">
        <v>71315786</v>
      </c>
      <c r="B41" s="251" t="s">
        <v>56</v>
      </c>
      <c r="C41" s="252" t="s">
        <v>24</v>
      </c>
      <c r="D41" s="251" t="s">
        <v>82</v>
      </c>
      <c r="E41" s="251" t="s">
        <v>83</v>
      </c>
      <c r="F41" s="253">
        <v>45949</v>
      </c>
      <c r="G41" s="251" t="s">
        <v>138</v>
      </c>
      <c r="H41" s="251" t="s">
        <v>11</v>
      </c>
      <c r="I41" s="251" t="s">
        <v>141</v>
      </c>
      <c r="J41" s="252" t="str">
        <f>VLOOKUP(H41,VALIDACIONES!$A$2:$B$138,2,0)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41" s="256">
        <v>603930</v>
      </c>
      <c r="L41" s="251">
        <f t="shared" si="6"/>
        <v>10</v>
      </c>
      <c r="M41" s="251">
        <f t="shared" si="7"/>
        <v>2025</v>
      </c>
      <c r="N41" s="251" t="s">
        <v>114</v>
      </c>
      <c r="O41" s="253">
        <v>45967</v>
      </c>
      <c r="P41" s="251" t="s">
        <v>117</v>
      </c>
      <c r="Q41" s="252"/>
    </row>
    <row r="42" spans="1:22" ht="30" x14ac:dyDescent="0.2">
      <c r="A42" s="251">
        <v>71315786</v>
      </c>
      <c r="B42" s="251" t="s">
        <v>56</v>
      </c>
      <c r="C42" s="252" t="s">
        <v>24</v>
      </c>
      <c r="D42" s="251" t="s">
        <v>82</v>
      </c>
      <c r="E42" s="251" t="s">
        <v>83</v>
      </c>
      <c r="F42" s="253">
        <v>45953</v>
      </c>
      <c r="G42" s="251" t="s">
        <v>125</v>
      </c>
      <c r="H42" s="251" t="s">
        <v>12</v>
      </c>
      <c r="I42" s="251" t="s">
        <v>141</v>
      </c>
      <c r="J42" s="252" t="str">
        <f>VLOOKUP(H42,VALIDACIONES!$A$2:$B$138,2,0)</f>
        <v>ConducirsinportarelSeguroObligatoriodeAccidentesdetránsitoordenadoporlaley.Además,elvehículoseráinmovilizado.</v>
      </c>
      <c r="K42" s="256">
        <v>1207877</v>
      </c>
      <c r="L42" s="251">
        <f t="shared" si="6"/>
        <v>10</v>
      </c>
      <c r="M42" s="251">
        <f t="shared" si="7"/>
        <v>2025</v>
      </c>
      <c r="N42" s="251" t="s">
        <v>114</v>
      </c>
      <c r="O42" s="253">
        <v>45967</v>
      </c>
      <c r="P42" s="251" t="s">
        <v>117</v>
      </c>
      <c r="Q42" s="252"/>
    </row>
    <row r="43" spans="1:22" ht="30" x14ac:dyDescent="0.2">
      <c r="A43" s="251">
        <v>98570609</v>
      </c>
      <c r="B43" s="251" t="s">
        <v>52</v>
      </c>
      <c r="C43" s="252" t="s">
        <v>27</v>
      </c>
      <c r="D43" s="251" t="s">
        <v>82</v>
      </c>
      <c r="E43" s="251" t="s">
        <v>83</v>
      </c>
      <c r="F43" s="253">
        <v>45950</v>
      </c>
      <c r="G43" s="251" t="s">
        <v>93</v>
      </c>
      <c r="H43" s="251" t="s">
        <v>4</v>
      </c>
      <c r="J43" s="252" t="str">
        <f>VLOOKUP(H43,VALIDACIONES!$A$2:$B$138,2,0)</f>
        <v>Estacionar un vehículo en los sitios prohibidos por el Código Nacional de Tránsito, reglamentado por la Res.3027.</v>
      </c>
      <c r="K43" s="256">
        <v>604054</v>
      </c>
      <c r="L43" s="251">
        <f t="shared" si="6"/>
        <v>10</v>
      </c>
      <c r="M43" s="251">
        <f t="shared" si="7"/>
        <v>2025</v>
      </c>
      <c r="N43" s="251" t="s">
        <v>114</v>
      </c>
      <c r="O43" s="253"/>
      <c r="Q43" s="252"/>
    </row>
    <row r="44" spans="1:22" ht="30" x14ac:dyDescent="0.2">
      <c r="A44" s="251">
        <v>98529108</v>
      </c>
      <c r="B44" s="251" t="s">
        <v>60</v>
      </c>
      <c r="C44" s="252" t="s">
        <v>25</v>
      </c>
      <c r="D44" s="251" t="s">
        <v>25</v>
      </c>
      <c r="E44" s="251" t="s">
        <v>83</v>
      </c>
      <c r="F44" s="253">
        <v>45945</v>
      </c>
      <c r="G44" s="251" t="s">
        <v>93</v>
      </c>
      <c r="H44" s="251" t="s">
        <v>4</v>
      </c>
      <c r="J44" s="252" t="str">
        <f>VLOOKUP(H44,VALIDACIONES!$A$2:$B$138,2,0)</f>
        <v>Estacionar un vehículo en los sitios prohibidos por el Código Nacional de Tránsito, reglamentado por la Res.3027.</v>
      </c>
      <c r="K44" s="256">
        <v>604054</v>
      </c>
      <c r="L44" s="251">
        <f t="shared" si="6"/>
        <v>10</v>
      </c>
      <c r="M44" s="251">
        <f t="shared" si="7"/>
        <v>2025</v>
      </c>
      <c r="N44" s="251" t="s">
        <v>114</v>
      </c>
      <c r="O44" s="253"/>
      <c r="Q44" s="252" t="s">
        <v>94</v>
      </c>
      <c r="R44" s="251" t="s">
        <v>89</v>
      </c>
      <c r="S44" s="251" t="s">
        <v>90</v>
      </c>
      <c r="T44" s="251" t="s">
        <v>90</v>
      </c>
      <c r="U44" s="251" t="s">
        <v>90</v>
      </c>
      <c r="V44" s="251" t="s">
        <v>90</v>
      </c>
    </row>
    <row r="45" spans="1:22" ht="60" x14ac:dyDescent="0.3">
      <c r="A45" s="251">
        <v>8129204</v>
      </c>
      <c r="B45" s="251" t="s">
        <v>39</v>
      </c>
      <c r="C45" s="252" t="s">
        <v>21</v>
      </c>
      <c r="D45" s="251" t="s">
        <v>135</v>
      </c>
      <c r="E45" s="251" t="s">
        <v>83</v>
      </c>
      <c r="F45" s="253">
        <v>45990</v>
      </c>
      <c r="G45" s="251" t="s">
        <v>142</v>
      </c>
      <c r="H45" s="251" t="s">
        <v>11</v>
      </c>
      <c r="I45" s="259" t="s">
        <v>143</v>
      </c>
      <c r="J45" s="252" t="str">
        <f>VLOOKUP(H45,VALIDACIONES!$A$2:$B$138,2,0)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45" s="256">
        <v>603939</v>
      </c>
      <c r="L45" s="251">
        <f t="shared" ref="L45:L49" si="8">MONTH(F45)</f>
        <v>11</v>
      </c>
      <c r="M45" s="251">
        <f t="shared" ref="M45:M49" si="9">YEAR(F45)</f>
        <v>2025</v>
      </c>
      <c r="N45" s="251" t="s">
        <v>114</v>
      </c>
      <c r="O45" s="253" t="s">
        <v>114</v>
      </c>
      <c r="P45" s="251" t="s">
        <v>117</v>
      </c>
      <c r="Q45" s="252" t="s">
        <v>88</v>
      </c>
      <c r="R45" s="251" t="s">
        <v>89</v>
      </c>
      <c r="S45" s="251" t="s">
        <v>90</v>
      </c>
      <c r="T45" s="251" t="s">
        <v>90</v>
      </c>
      <c r="U45" s="251" t="s">
        <v>91</v>
      </c>
      <c r="V45" s="251" t="s">
        <v>90</v>
      </c>
    </row>
    <row r="46" spans="1:22" ht="60" x14ac:dyDescent="0.3">
      <c r="A46" s="251">
        <v>98531237</v>
      </c>
      <c r="B46" s="251" t="s">
        <v>42</v>
      </c>
      <c r="C46" s="252" t="s">
        <v>29</v>
      </c>
      <c r="D46" s="251" t="s">
        <v>82</v>
      </c>
      <c r="E46" s="251" t="s">
        <v>83</v>
      </c>
      <c r="F46" s="253">
        <v>45988</v>
      </c>
      <c r="G46" s="251" t="s">
        <v>93</v>
      </c>
      <c r="H46" s="251" t="s">
        <v>11</v>
      </c>
      <c r="I46" s="259" t="s">
        <v>144</v>
      </c>
      <c r="J46" s="252" t="str">
        <f>VLOOKUP(H46,VALIDACIONES!$A$2:$B$138,2,0)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46" s="256">
        <v>604054</v>
      </c>
      <c r="L46" s="251">
        <f t="shared" si="8"/>
        <v>11</v>
      </c>
      <c r="M46" s="251">
        <f t="shared" si="9"/>
        <v>2025</v>
      </c>
      <c r="N46" s="251" t="s">
        <v>114</v>
      </c>
      <c r="O46" s="253"/>
      <c r="P46" s="251" t="s">
        <v>117</v>
      </c>
      <c r="Q46" s="252" t="s">
        <v>88</v>
      </c>
      <c r="R46" s="251" t="s">
        <v>145</v>
      </c>
      <c r="S46" s="251" t="s">
        <v>90</v>
      </c>
      <c r="T46" s="251" t="s">
        <v>90</v>
      </c>
      <c r="U46" s="251" t="s">
        <v>91</v>
      </c>
      <c r="V46" s="251" t="s">
        <v>90</v>
      </c>
    </row>
    <row r="47" spans="1:22" ht="30" x14ac:dyDescent="0.3">
      <c r="A47" s="251">
        <v>98531237</v>
      </c>
      <c r="B47" s="251" t="s">
        <v>42</v>
      </c>
      <c r="C47" s="252" t="s">
        <v>29</v>
      </c>
      <c r="D47" s="251" t="s">
        <v>82</v>
      </c>
      <c r="E47" s="251" t="s">
        <v>83</v>
      </c>
      <c r="F47" s="253">
        <v>45971</v>
      </c>
      <c r="G47" s="251" t="s">
        <v>93</v>
      </c>
      <c r="H47" s="251" t="s">
        <v>3</v>
      </c>
      <c r="I47" s="259" t="s">
        <v>146</v>
      </c>
      <c r="J47" s="252" t="str">
        <f>VLOOKUP(H47,VALIDACIONES!$A$2:$B$138,2,0)</f>
        <v>Conducirunvehículodeserviciopúblicoquenolleveelavisodetarifasoficialesencondicionesdefácillecturaparalospasajerosoposeeresteavisodeterioradooadulterado.</v>
      </c>
      <c r="K47" s="256">
        <v>305095</v>
      </c>
      <c r="L47" s="251">
        <f t="shared" ref="L47" si="10">MONTH(F47)</f>
        <v>11</v>
      </c>
      <c r="M47" s="251">
        <f t="shared" ref="M47" si="11">YEAR(F47)</f>
        <v>2025</v>
      </c>
      <c r="N47" s="251" t="s">
        <v>114</v>
      </c>
      <c r="O47" s="253"/>
      <c r="P47" s="251" t="s">
        <v>117</v>
      </c>
      <c r="Q47" s="252" t="s">
        <v>88</v>
      </c>
      <c r="R47" s="251" t="s">
        <v>145</v>
      </c>
      <c r="S47" s="251" t="s">
        <v>90</v>
      </c>
      <c r="T47" s="251" t="s">
        <v>90</v>
      </c>
      <c r="U47" s="251" t="s">
        <v>91</v>
      </c>
      <c r="V47" s="251" t="s">
        <v>90</v>
      </c>
    </row>
    <row r="48" spans="1:22" ht="30" x14ac:dyDescent="0.2">
      <c r="A48" s="251">
        <v>98482941</v>
      </c>
      <c r="B48" s="251" t="s">
        <v>59</v>
      </c>
      <c r="C48" s="252" t="s">
        <v>24</v>
      </c>
      <c r="D48" s="251" t="s">
        <v>82</v>
      </c>
      <c r="E48" s="251" t="s">
        <v>83</v>
      </c>
      <c r="F48" s="253">
        <v>45986</v>
      </c>
      <c r="G48" s="251" t="s">
        <v>118</v>
      </c>
      <c r="H48" s="251" t="s">
        <v>4</v>
      </c>
      <c r="J48" s="252" t="str">
        <f>VLOOKUP(H48,VALIDACIONES!$A$2:$B$138,2,0)</f>
        <v>Estacionar un vehículo en los sitios prohibidos por el Código Nacional de Tránsito, reglamentado por la Res.3027.</v>
      </c>
      <c r="K48" s="256">
        <v>604043</v>
      </c>
      <c r="L48" s="251">
        <f t="shared" si="8"/>
        <v>11</v>
      </c>
      <c r="M48" s="251">
        <f t="shared" si="9"/>
        <v>2025</v>
      </c>
      <c r="N48" s="251" t="s">
        <v>114</v>
      </c>
      <c r="O48" s="253"/>
      <c r="P48" s="251" t="s">
        <v>117</v>
      </c>
      <c r="Q48" s="252" t="s">
        <v>88</v>
      </c>
      <c r="R48" s="251" t="s">
        <v>89</v>
      </c>
      <c r="S48" s="251" t="s">
        <v>90</v>
      </c>
      <c r="T48" s="251" t="s">
        <v>90</v>
      </c>
      <c r="U48" s="251" t="s">
        <v>91</v>
      </c>
      <c r="V48" s="251" t="s">
        <v>90</v>
      </c>
    </row>
    <row r="49" spans="1:22" ht="30" x14ac:dyDescent="0.3">
      <c r="A49" s="251">
        <v>1037663209</v>
      </c>
      <c r="B49" s="251" t="s">
        <v>34</v>
      </c>
      <c r="C49" s="252" t="s">
        <v>21</v>
      </c>
      <c r="D49" s="251" t="s">
        <v>135</v>
      </c>
      <c r="E49" s="251" t="s">
        <v>83</v>
      </c>
      <c r="F49" s="253">
        <v>45955</v>
      </c>
      <c r="G49" s="251" t="s">
        <v>104</v>
      </c>
      <c r="H49" s="251" t="s">
        <v>10</v>
      </c>
      <c r="I49" s="259" t="s">
        <v>147</v>
      </c>
      <c r="J49" s="252" t="str">
        <f>VLOOKUP(H49,VALIDACIONES!$A$2:$B$138,2,0)</f>
        <v>Conducir un vehículo a velocidad superior a la máxima permitida, la cual deberá estar señalizada en forma sectorizada, no obstante esta no podrá ser superior a (verlistado)</v>
      </c>
      <c r="K49" s="256">
        <v>603939</v>
      </c>
      <c r="L49" s="251">
        <f t="shared" si="8"/>
        <v>10</v>
      </c>
      <c r="M49" s="251">
        <f t="shared" si="9"/>
        <v>2025</v>
      </c>
      <c r="O49" s="253"/>
      <c r="Q49" s="252"/>
    </row>
    <row r="50" spans="1:22" ht="16.5" x14ac:dyDescent="0.3">
      <c r="A50" s="251">
        <v>1037663209</v>
      </c>
      <c r="B50" s="251" t="s">
        <v>34</v>
      </c>
      <c r="C50" s="252" t="s">
        <v>21</v>
      </c>
      <c r="D50" s="251" t="s">
        <v>135</v>
      </c>
      <c r="E50" s="251" t="s">
        <v>83</v>
      </c>
      <c r="F50" s="253">
        <v>46001</v>
      </c>
      <c r="G50" s="251" t="s">
        <v>118</v>
      </c>
      <c r="H50" s="251" t="s">
        <v>8</v>
      </c>
      <c r="I50" s="259" t="s">
        <v>147</v>
      </c>
      <c r="J50" s="252" t="str">
        <f>VLOOKUP(H50,VALIDACIONES!$A$2:$B$138,2,0)</f>
        <v>Conducir motocicleta sin observar las siguientes normas.(verlistadodesituaciones)</v>
      </c>
      <c r="K50" s="256">
        <v>603939</v>
      </c>
      <c r="L50" s="251">
        <f t="shared" ref="L50:L55" si="12">MONTH(F50)</f>
        <v>12</v>
      </c>
      <c r="M50" s="251">
        <f t="shared" ref="M50:M55" si="13">YEAR(F50)</f>
        <v>2025</v>
      </c>
      <c r="N50" s="251" t="s">
        <v>114</v>
      </c>
      <c r="O50" s="253">
        <v>46095</v>
      </c>
      <c r="P50" s="251" t="s">
        <v>117</v>
      </c>
      <c r="Q50" s="252" t="s">
        <v>88</v>
      </c>
      <c r="R50" s="251" t="s">
        <v>89</v>
      </c>
      <c r="S50" s="251" t="s">
        <v>90</v>
      </c>
      <c r="T50" s="251" t="s">
        <v>90</v>
      </c>
      <c r="U50" s="251" t="s">
        <v>90</v>
      </c>
      <c r="V50" s="251" t="s">
        <v>90</v>
      </c>
    </row>
    <row r="51" spans="1:22" ht="60" x14ac:dyDescent="0.3">
      <c r="A51" s="251">
        <v>1037663209</v>
      </c>
      <c r="B51" s="251" t="s">
        <v>34</v>
      </c>
      <c r="C51" s="252" t="s">
        <v>21</v>
      </c>
      <c r="D51" s="251" t="s">
        <v>135</v>
      </c>
      <c r="E51" s="251" t="s">
        <v>83</v>
      </c>
      <c r="F51" s="253">
        <v>45909</v>
      </c>
      <c r="G51" s="251" t="s">
        <v>104</v>
      </c>
      <c r="H51" s="251" t="s">
        <v>14</v>
      </c>
      <c r="I51" s="259" t="s">
        <v>147</v>
      </c>
      <c r="J51" s="252" t="str">
        <f>VLOOKUP(H51,VALIDACIONES!$A$2:$B$138,2,0)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K51" s="256">
        <v>1207860</v>
      </c>
      <c r="L51" s="251">
        <f t="shared" ref="L51" si="14">MONTH(F51)</f>
        <v>9</v>
      </c>
      <c r="M51" s="251">
        <f t="shared" ref="M51" si="15">YEAR(F51)</f>
        <v>2025</v>
      </c>
      <c r="O51" s="253"/>
      <c r="Q51" s="252"/>
    </row>
    <row r="52" spans="1:22" ht="60" x14ac:dyDescent="0.3">
      <c r="A52" s="251">
        <v>4415359</v>
      </c>
      <c r="B52" s="251" t="s">
        <v>50</v>
      </c>
      <c r="C52" s="252" t="s">
        <v>22</v>
      </c>
      <c r="D52" s="251" t="s">
        <v>82</v>
      </c>
      <c r="E52" s="251" t="s">
        <v>100</v>
      </c>
      <c r="F52" s="253">
        <v>46004</v>
      </c>
      <c r="G52" s="251" t="s">
        <v>101</v>
      </c>
      <c r="H52" s="251" t="s">
        <v>14</v>
      </c>
      <c r="I52" s="259" t="s">
        <v>148</v>
      </c>
      <c r="J52" s="252" t="str">
        <f>VLOOKUP(H52,VALIDACIONES!$A$2:$B$138,2,0)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K52" s="256">
        <v>1207855</v>
      </c>
      <c r="L52" s="251">
        <f t="shared" si="12"/>
        <v>12</v>
      </c>
      <c r="M52" s="251">
        <f t="shared" si="13"/>
        <v>2025</v>
      </c>
      <c r="N52" s="251" t="s">
        <v>114</v>
      </c>
      <c r="O52" s="253">
        <v>46095</v>
      </c>
      <c r="P52" s="251" t="s">
        <v>117</v>
      </c>
      <c r="Q52" s="252" t="s">
        <v>88</v>
      </c>
      <c r="R52" s="251" t="s">
        <v>89</v>
      </c>
      <c r="S52" s="251" t="s">
        <v>90</v>
      </c>
      <c r="T52" s="251" t="s">
        <v>90</v>
      </c>
      <c r="U52" s="251" t="s">
        <v>90</v>
      </c>
      <c r="V52" s="251" t="s">
        <v>90</v>
      </c>
    </row>
    <row r="53" spans="1:22" ht="60" x14ac:dyDescent="0.3">
      <c r="A53" s="251">
        <v>71798982</v>
      </c>
      <c r="B53" s="251" t="s">
        <v>55</v>
      </c>
      <c r="C53" s="252" t="s">
        <v>30</v>
      </c>
      <c r="D53" s="251" t="s">
        <v>82</v>
      </c>
      <c r="E53" s="251" t="s">
        <v>83</v>
      </c>
      <c r="F53" s="253">
        <v>45993</v>
      </c>
      <c r="G53" s="251" t="s">
        <v>138</v>
      </c>
      <c r="H53" s="251" t="s">
        <v>11</v>
      </c>
      <c r="I53" s="259" t="s">
        <v>112</v>
      </c>
      <c r="J53" s="252" t="str">
        <f>VLOOKUP(H53,VALIDACIONES!$A$2:$B$138,2,0)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53" s="256">
        <v>603930</v>
      </c>
      <c r="L53" s="251">
        <f t="shared" si="12"/>
        <v>12</v>
      </c>
      <c r="M53" s="251">
        <f t="shared" si="13"/>
        <v>2025</v>
      </c>
      <c r="N53" s="251" t="s">
        <v>114</v>
      </c>
      <c r="O53" s="253">
        <v>46095</v>
      </c>
      <c r="P53" s="251" t="s">
        <v>117</v>
      </c>
      <c r="Q53" s="252" t="s">
        <v>88</v>
      </c>
      <c r="R53" s="251" t="s">
        <v>89</v>
      </c>
      <c r="S53" s="251" t="s">
        <v>90</v>
      </c>
      <c r="T53" s="251" t="s">
        <v>90</v>
      </c>
      <c r="U53" s="251" t="s">
        <v>90</v>
      </c>
      <c r="V53" s="251" t="s">
        <v>90</v>
      </c>
    </row>
    <row r="54" spans="1:22" ht="30" x14ac:dyDescent="0.2">
      <c r="A54" s="251">
        <v>1040743363</v>
      </c>
      <c r="B54" s="251" t="s">
        <v>51</v>
      </c>
      <c r="C54" s="252" t="s">
        <v>24</v>
      </c>
      <c r="D54" s="251" t="s">
        <v>82</v>
      </c>
      <c r="E54" s="251" t="s">
        <v>83</v>
      </c>
      <c r="F54" s="253">
        <v>46021</v>
      </c>
      <c r="G54" s="251" t="s">
        <v>149</v>
      </c>
      <c r="H54" s="251" t="s">
        <v>5</v>
      </c>
      <c r="J54" s="252" t="str">
        <f>VLOOKUP(H54,VALIDACIONES!$A$2:$B$138,2,0)</f>
        <v>Noutilizarelcinturóndeseguridadporpartedelosocupantesdelvehículoyloscinturonesdeseguridadenlosasientostraserosenlosvehículosfabricadosapartirdelaño2004.</v>
      </c>
      <c r="K54" s="256">
        <v>603930</v>
      </c>
      <c r="L54" s="251">
        <f t="shared" si="12"/>
        <v>12</v>
      </c>
      <c r="M54" s="251">
        <f t="shared" si="13"/>
        <v>2025</v>
      </c>
      <c r="N54" s="251" t="s">
        <v>114</v>
      </c>
      <c r="O54" s="253">
        <v>46095</v>
      </c>
      <c r="P54" s="251" t="s">
        <v>117</v>
      </c>
      <c r="Q54" s="252" t="s">
        <v>88</v>
      </c>
      <c r="R54" s="251" t="s">
        <v>89</v>
      </c>
      <c r="S54" s="251" t="s">
        <v>90</v>
      </c>
      <c r="T54" s="251" t="s">
        <v>90</v>
      </c>
      <c r="U54" s="251" t="s">
        <v>90</v>
      </c>
      <c r="V54" s="251" t="s">
        <v>90</v>
      </c>
    </row>
    <row r="55" spans="1:22" ht="30" x14ac:dyDescent="0.3">
      <c r="A55" s="251">
        <v>1070603395</v>
      </c>
      <c r="B55" s="251" t="s">
        <v>58</v>
      </c>
      <c r="C55" s="252" t="s">
        <v>24</v>
      </c>
      <c r="D55" s="251" t="s">
        <v>82</v>
      </c>
      <c r="E55" s="251" t="s">
        <v>83</v>
      </c>
      <c r="F55" s="253">
        <v>46007</v>
      </c>
      <c r="G55" s="251" t="s">
        <v>125</v>
      </c>
      <c r="H55" s="251" t="s">
        <v>10</v>
      </c>
      <c r="I55" s="259" t="s">
        <v>130</v>
      </c>
      <c r="J55" s="252" t="str">
        <f>VLOOKUP(H55,VALIDACIONES!$A$2:$B$138,2,0)</f>
        <v>Conducir un vehículo a velocidad superior a la máxima permitida, la cual deberá estar señalizada en forma sectorizada, no obstante esta no podrá ser superior a (verlistado)</v>
      </c>
      <c r="K55" s="256">
        <v>603939</v>
      </c>
      <c r="L55" s="251">
        <f t="shared" si="12"/>
        <v>12</v>
      </c>
      <c r="M55" s="251">
        <f t="shared" si="13"/>
        <v>2025</v>
      </c>
      <c r="N55" s="251" t="s">
        <v>114</v>
      </c>
      <c r="O55" s="253">
        <v>46095</v>
      </c>
      <c r="P55" s="251" t="s">
        <v>117</v>
      </c>
      <c r="Q55" s="252" t="s">
        <v>88</v>
      </c>
      <c r="R55" s="251" t="s">
        <v>89</v>
      </c>
      <c r="S55" s="251" t="s">
        <v>90</v>
      </c>
      <c r="T55" s="251" t="s">
        <v>90</v>
      </c>
      <c r="U55" s="251" t="s">
        <v>90</v>
      </c>
      <c r="V55" s="251" t="s">
        <v>90</v>
      </c>
    </row>
    <row r="56" spans="1:22" ht="16.5" x14ac:dyDescent="0.3">
      <c r="A56" s="251">
        <v>1033375997</v>
      </c>
      <c r="B56" s="251" t="s">
        <v>150</v>
      </c>
      <c r="C56" s="252" t="s">
        <v>24</v>
      </c>
      <c r="D56" s="251" t="s">
        <v>82</v>
      </c>
      <c r="E56" s="251" t="s">
        <v>83</v>
      </c>
      <c r="F56" s="253">
        <v>46053</v>
      </c>
      <c r="G56" s="251" t="s">
        <v>93</v>
      </c>
      <c r="H56" s="251" t="s">
        <v>32</v>
      </c>
      <c r="I56" s="259" t="s">
        <v>151</v>
      </c>
      <c r="J56" s="252" t="str">
        <f>VLOOKUP(H56,VALIDACIONES!$A$2:$B$138,2,0)</f>
        <v>No acatar las señales o requerimientos impartidos por los agentes de Tránsito.</v>
      </c>
      <c r="K56" s="256">
        <v>633232</v>
      </c>
      <c r="L56" s="251">
        <f t="shared" ref="L56:L60" si="16">MONTH(F56)</f>
        <v>1</v>
      </c>
      <c r="M56" s="251">
        <f t="shared" ref="M56:M60" si="17">YEAR(F56)</f>
        <v>2026</v>
      </c>
      <c r="N56" s="251" t="s">
        <v>114</v>
      </c>
      <c r="O56" s="253">
        <v>46099</v>
      </c>
      <c r="P56" s="251" t="s">
        <v>132</v>
      </c>
      <c r="Q56" s="252" t="s">
        <v>88</v>
      </c>
      <c r="R56" s="251" t="s">
        <v>89</v>
      </c>
      <c r="S56" s="251" t="s">
        <v>90</v>
      </c>
      <c r="T56" s="251" t="s">
        <v>90</v>
      </c>
      <c r="U56" s="251" t="s">
        <v>91</v>
      </c>
      <c r="V56" s="251" t="s">
        <v>90</v>
      </c>
    </row>
    <row r="57" spans="1:22" ht="30" x14ac:dyDescent="0.3">
      <c r="A57" s="251">
        <v>71693884</v>
      </c>
      <c r="B57" s="251" t="s">
        <v>152</v>
      </c>
      <c r="C57" s="252" t="s">
        <v>153</v>
      </c>
      <c r="D57" s="251" t="s">
        <v>82</v>
      </c>
      <c r="E57" s="251" t="s">
        <v>83</v>
      </c>
      <c r="F57" s="253">
        <v>46045</v>
      </c>
      <c r="G57" s="251" t="s">
        <v>93</v>
      </c>
      <c r="H57" s="251" t="s">
        <v>4</v>
      </c>
      <c r="I57" s="259" t="s">
        <v>154</v>
      </c>
      <c r="J57" s="252" t="str">
        <f>VLOOKUP(H57,VALIDACIONES!$A$2:$B$138,2,0)</f>
        <v>Estacionar un vehículo en los sitios prohibidos por el Código Nacional de Tránsito, reglamentado por la Res.3027.</v>
      </c>
      <c r="K57" s="256">
        <v>633232</v>
      </c>
      <c r="L57" s="251">
        <f t="shared" si="16"/>
        <v>1</v>
      </c>
      <c r="M57" s="251">
        <f t="shared" si="17"/>
        <v>2026</v>
      </c>
      <c r="N57" s="251" t="s">
        <v>114</v>
      </c>
      <c r="O57" s="253">
        <v>46099</v>
      </c>
      <c r="P57" s="251" t="s">
        <v>132</v>
      </c>
      <c r="Q57" s="252" t="s">
        <v>88</v>
      </c>
      <c r="R57" s="251" t="s">
        <v>89</v>
      </c>
      <c r="S57" s="251" t="s">
        <v>90</v>
      </c>
      <c r="T57" s="251" t="s">
        <v>90</v>
      </c>
      <c r="U57" s="251" t="s">
        <v>91</v>
      </c>
      <c r="V57" s="251" t="s">
        <v>90</v>
      </c>
    </row>
    <row r="58" spans="1:22" ht="45" x14ac:dyDescent="0.3">
      <c r="A58" s="251">
        <v>1036684908</v>
      </c>
      <c r="B58" s="251" t="s">
        <v>155</v>
      </c>
      <c r="C58" s="252" t="s">
        <v>27</v>
      </c>
      <c r="D58" s="251" t="s">
        <v>82</v>
      </c>
      <c r="E58" s="251" t="s">
        <v>83</v>
      </c>
      <c r="F58" s="253">
        <v>46039</v>
      </c>
      <c r="G58" s="251" t="s">
        <v>93</v>
      </c>
      <c r="H58" s="251" t="s">
        <v>31</v>
      </c>
      <c r="I58" s="259" t="s">
        <v>156</v>
      </c>
      <c r="J58" s="252" t="str">
        <f>VLOOKUP(H58,VALIDACIONES!$A$2:$B$138,2,0)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K58" s="256">
        <v>337385</v>
      </c>
      <c r="L58" s="251">
        <f t="shared" si="16"/>
        <v>1</v>
      </c>
      <c r="M58" s="251">
        <f t="shared" si="17"/>
        <v>2026</v>
      </c>
      <c r="N58" s="251" t="s">
        <v>114</v>
      </c>
      <c r="O58" s="253">
        <v>46099</v>
      </c>
      <c r="P58" s="251" t="s">
        <v>132</v>
      </c>
      <c r="Q58" s="252" t="s">
        <v>88</v>
      </c>
      <c r="R58" s="251" t="s">
        <v>89</v>
      </c>
      <c r="S58" s="251" t="s">
        <v>90</v>
      </c>
      <c r="T58" s="251" t="s">
        <v>90</v>
      </c>
      <c r="U58" s="251" t="s">
        <v>91</v>
      </c>
      <c r="V58" s="251" t="s">
        <v>90</v>
      </c>
    </row>
    <row r="59" spans="1:22" ht="30" x14ac:dyDescent="0.3">
      <c r="A59" s="251">
        <v>71798982</v>
      </c>
      <c r="B59" s="251" t="s">
        <v>55</v>
      </c>
      <c r="C59" s="252" t="s">
        <v>30</v>
      </c>
      <c r="D59" s="251" t="s">
        <v>82</v>
      </c>
      <c r="E59" s="251" t="s">
        <v>83</v>
      </c>
      <c r="F59" s="253">
        <v>46031</v>
      </c>
      <c r="G59" s="251" t="s">
        <v>138</v>
      </c>
      <c r="H59" s="251" t="s">
        <v>10</v>
      </c>
      <c r="I59" s="259" t="s">
        <v>157</v>
      </c>
      <c r="J59" s="252" t="str">
        <f>VLOOKUP(H59,VALIDACIONES!$A$2:$B$138,2,0)</f>
        <v>Conducir un vehículo a velocidad superior a la máxima permitida, la cual deberá estar señalizada en forma sectorizada, no obstante esta no podrá ser superior a (verlistado)</v>
      </c>
      <c r="K59" s="256">
        <v>633105</v>
      </c>
      <c r="L59" s="251">
        <f t="shared" si="16"/>
        <v>1</v>
      </c>
      <c r="M59" s="251">
        <f t="shared" si="17"/>
        <v>2026</v>
      </c>
      <c r="N59" s="251" t="s">
        <v>114</v>
      </c>
      <c r="O59" s="253">
        <v>46099</v>
      </c>
      <c r="P59" s="251" t="s">
        <v>132</v>
      </c>
      <c r="Q59" s="252" t="s">
        <v>94</v>
      </c>
      <c r="R59" s="251" t="s">
        <v>89</v>
      </c>
      <c r="S59" s="251" t="s">
        <v>90</v>
      </c>
      <c r="T59" s="251" t="s">
        <v>90</v>
      </c>
      <c r="U59" s="251" t="s">
        <v>91</v>
      </c>
      <c r="V59" s="251" t="s">
        <v>91</v>
      </c>
    </row>
    <row r="60" spans="1:22" ht="30" x14ac:dyDescent="0.3">
      <c r="A60" s="251">
        <v>71530504</v>
      </c>
      <c r="B60" s="251" t="s">
        <v>158</v>
      </c>
      <c r="C60" s="252" t="s">
        <v>30</v>
      </c>
      <c r="D60" s="251" t="s">
        <v>82</v>
      </c>
      <c r="E60" s="251" t="s">
        <v>83</v>
      </c>
      <c r="F60" s="253">
        <v>46041</v>
      </c>
      <c r="G60" s="251" t="s">
        <v>125</v>
      </c>
      <c r="H60" s="251" t="s">
        <v>9</v>
      </c>
      <c r="I60" s="259" t="s">
        <v>159</v>
      </c>
      <c r="J60" s="252" t="str">
        <f>VLOOKUP(H60,VALIDACIONES!$A$2:$B$138,2,0)</f>
        <v>Transitarenvehículosde3.5omástoneladasporelcarrilizquierdodelavíacuandohubieremásdeuncarril.</v>
      </c>
      <c r="K60" s="256">
        <v>633111</v>
      </c>
      <c r="L60" s="251">
        <f t="shared" si="16"/>
        <v>1</v>
      </c>
      <c r="M60" s="251">
        <f t="shared" si="17"/>
        <v>2026</v>
      </c>
      <c r="N60" s="251" t="s">
        <v>114</v>
      </c>
      <c r="O60" s="253">
        <v>46099</v>
      </c>
      <c r="P60" s="251" t="s">
        <v>132</v>
      </c>
      <c r="Q60" s="252" t="s">
        <v>88</v>
      </c>
      <c r="R60" s="251" t="s">
        <v>89</v>
      </c>
      <c r="S60" s="251" t="s">
        <v>90</v>
      </c>
      <c r="T60" s="251" t="s">
        <v>90</v>
      </c>
      <c r="U60" s="251" t="s">
        <v>91</v>
      </c>
      <c r="V60" s="251" t="s">
        <v>90</v>
      </c>
    </row>
    <row r="61" spans="1:22" ht="30" x14ac:dyDescent="0.3">
      <c r="A61" s="251">
        <v>1022034949</v>
      </c>
      <c r="B61" s="251" t="s">
        <v>160</v>
      </c>
      <c r="C61" s="252" t="s">
        <v>29</v>
      </c>
      <c r="D61" s="251" t="s">
        <v>82</v>
      </c>
      <c r="E61" s="251" t="s">
        <v>83</v>
      </c>
      <c r="F61" s="253">
        <v>46055</v>
      </c>
      <c r="G61" s="251" t="s">
        <v>125</v>
      </c>
      <c r="H61" s="251" t="s">
        <v>12</v>
      </c>
      <c r="I61" s="259"/>
      <c r="J61" s="252" t="str">
        <f>VLOOKUP(H61,VALIDACIONES!$A$2:$B$138,2,0)</f>
        <v>ConducirsinportarelSeguroObligatoriodeAccidentesdetránsitoordenadoporlaley.Además,elvehículoseráinmovilizado.</v>
      </c>
      <c r="K61" s="256">
        <v>1266222</v>
      </c>
      <c r="L61" s="251">
        <f t="shared" ref="L61:L64" si="18">MONTH(F61)</f>
        <v>2</v>
      </c>
      <c r="M61" s="251">
        <f t="shared" ref="M61:M64" si="19">YEAR(F61)</f>
        <v>2026</v>
      </c>
      <c r="O61" s="253"/>
      <c r="Q61" s="252"/>
    </row>
    <row r="62" spans="1:22" ht="30" x14ac:dyDescent="0.3">
      <c r="A62" s="251">
        <v>1000635424</v>
      </c>
      <c r="B62" s="251" t="s">
        <v>161</v>
      </c>
      <c r="C62" s="252" t="s">
        <v>27</v>
      </c>
      <c r="D62" s="251" t="s">
        <v>82</v>
      </c>
      <c r="E62" s="251" t="s">
        <v>83</v>
      </c>
      <c r="F62" s="253">
        <v>46078</v>
      </c>
      <c r="G62" s="251" t="s">
        <v>93</v>
      </c>
      <c r="H62" s="251" t="s">
        <v>4</v>
      </c>
      <c r="I62" s="259" t="s">
        <v>162</v>
      </c>
      <c r="J62" s="252" t="str">
        <f>VLOOKUP(H62,VALIDACIONES!$A$2:$B$138,2,0)</f>
        <v>Estacionar un vehículo en los sitios prohibidos por el Código Nacional de Tránsito, reglamentado por la Res.3027.</v>
      </c>
      <c r="K62" s="256">
        <v>633232</v>
      </c>
      <c r="L62" s="251">
        <f t="shared" si="18"/>
        <v>2</v>
      </c>
      <c r="M62" s="251">
        <f t="shared" si="19"/>
        <v>2026</v>
      </c>
      <c r="N62" s="251" t="s">
        <v>114</v>
      </c>
      <c r="O62" s="253">
        <v>46099</v>
      </c>
      <c r="P62" s="251" t="s">
        <v>117</v>
      </c>
      <c r="Q62" s="252"/>
      <c r="R62" s="251" t="s">
        <v>89</v>
      </c>
      <c r="S62" s="251" t="s">
        <v>90</v>
      </c>
      <c r="T62" s="251" t="s">
        <v>90</v>
      </c>
      <c r="U62" s="251" t="s">
        <v>91</v>
      </c>
      <c r="V62" s="251" t="s">
        <v>90</v>
      </c>
    </row>
    <row r="63" spans="1:22" ht="30" x14ac:dyDescent="0.3">
      <c r="A63" s="251">
        <v>71613262</v>
      </c>
      <c r="B63" s="251" t="s">
        <v>61</v>
      </c>
      <c r="C63" s="252" t="s">
        <v>30</v>
      </c>
      <c r="D63" s="251" t="s">
        <v>82</v>
      </c>
      <c r="E63" s="251" t="s">
        <v>83</v>
      </c>
      <c r="F63" s="253">
        <v>46062</v>
      </c>
      <c r="G63" s="251" t="s">
        <v>125</v>
      </c>
      <c r="H63" s="251" t="s">
        <v>9</v>
      </c>
      <c r="I63" s="259" t="s">
        <v>126</v>
      </c>
      <c r="J63" s="252" t="str">
        <f>VLOOKUP(H63,VALIDACIONES!$A$2:$B$138,2,0)</f>
        <v>Transitarenvehículosde3.5omástoneladasporelcarrilizquierdodelavíacuandohubieremásdeuncarril.</v>
      </c>
      <c r="K63" s="256">
        <v>633111</v>
      </c>
      <c r="L63" s="251">
        <f t="shared" si="18"/>
        <v>2</v>
      </c>
      <c r="M63" s="251">
        <f t="shared" si="19"/>
        <v>2026</v>
      </c>
      <c r="N63" s="251" t="s">
        <v>114</v>
      </c>
      <c r="O63" s="253">
        <v>46099</v>
      </c>
      <c r="P63" s="251" t="s">
        <v>117</v>
      </c>
      <c r="Q63" s="252"/>
      <c r="R63" s="251" t="s">
        <v>89</v>
      </c>
      <c r="S63" s="251" t="s">
        <v>90</v>
      </c>
      <c r="T63" s="251" t="s">
        <v>90</v>
      </c>
      <c r="U63" s="251" t="s">
        <v>91</v>
      </c>
      <c r="V63" s="251" t="s">
        <v>90</v>
      </c>
    </row>
    <row r="64" spans="1:22" ht="30" x14ac:dyDescent="0.3">
      <c r="A64" s="251">
        <v>1128386181</v>
      </c>
      <c r="B64" s="251" t="s">
        <v>163</v>
      </c>
      <c r="C64" s="252" t="s">
        <v>164</v>
      </c>
      <c r="D64" s="251" t="s">
        <v>82</v>
      </c>
      <c r="E64" s="251" t="s">
        <v>83</v>
      </c>
      <c r="F64" s="253">
        <v>46077</v>
      </c>
      <c r="G64" s="251" t="s">
        <v>93</v>
      </c>
      <c r="H64" s="251" t="s">
        <v>165</v>
      </c>
      <c r="I64" s="259" t="s">
        <v>166</v>
      </c>
      <c r="J64" s="252" t="str">
        <f>VLOOKUP(H64,VALIDACIONES!$A$2:$B$138,2,0)</f>
        <v>Cuandosedetecteoadviertaunainfracciónalasnormasdeemisióncontaminantesodegeneraciónderuidoporvehículosautomotores</v>
      </c>
      <c r="K64" s="256">
        <v>1266101</v>
      </c>
      <c r="L64" s="251">
        <f t="shared" si="18"/>
        <v>2</v>
      </c>
      <c r="M64" s="251">
        <f t="shared" si="19"/>
        <v>2026</v>
      </c>
      <c r="N64" s="251" t="s">
        <v>114</v>
      </c>
      <c r="O64" s="253">
        <v>46099</v>
      </c>
      <c r="P64" s="251" t="s">
        <v>117</v>
      </c>
      <c r="Q64" s="252"/>
      <c r="R64" s="251" t="s">
        <v>89</v>
      </c>
      <c r="S64" s="251" t="s">
        <v>90</v>
      </c>
      <c r="T64" s="251" t="s">
        <v>90</v>
      </c>
      <c r="U64" s="251" t="s">
        <v>91</v>
      </c>
      <c r="V64" s="251" t="s">
        <v>90</v>
      </c>
    </row>
    <row r="65" spans="1:23" ht="30" x14ac:dyDescent="0.2">
      <c r="A65" s="251">
        <v>1017249531</v>
      </c>
      <c r="B65" s="251" t="s">
        <v>167</v>
      </c>
      <c r="C65" s="252" t="s">
        <v>21</v>
      </c>
      <c r="D65" s="251" t="s">
        <v>135</v>
      </c>
      <c r="E65" s="251" t="s">
        <v>83</v>
      </c>
      <c r="F65" s="253">
        <v>46097</v>
      </c>
      <c r="G65" s="251" t="s">
        <v>93</v>
      </c>
      <c r="H65" s="251" t="s">
        <v>7</v>
      </c>
      <c r="I65" s="251" t="s">
        <v>168</v>
      </c>
      <c r="J65" s="252" t="str">
        <f>VLOOKUP(H65,VALIDACIONES!$A$2:$B$138,2,0)</f>
        <v>Transitar por los siguientes sitios restringidos o en horas prohibidas por laautoridad competente. Además, el vehículo será inmovilizado.(verlistado)</v>
      </c>
      <c r="K65" s="256">
        <v>633105</v>
      </c>
      <c r="L65" s="251">
        <f t="shared" ref="L65:L73" si="20">MONTH(F65)</f>
        <v>3</v>
      </c>
      <c r="M65" s="251">
        <f t="shared" ref="M65:M73" si="21">YEAR(F65)</f>
        <v>2026</v>
      </c>
      <c r="N65" s="251" t="s">
        <v>114</v>
      </c>
      <c r="O65" s="253">
        <v>46169</v>
      </c>
      <c r="P65" s="251" t="s">
        <v>117</v>
      </c>
      <c r="Q65" s="252"/>
      <c r="R65" s="251" t="s">
        <v>89</v>
      </c>
      <c r="S65" s="251" t="s">
        <v>90</v>
      </c>
      <c r="T65" s="251" t="s">
        <v>90</v>
      </c>
      <c r="U65" s="251" t="s">
        <v>91</v>
      </c>
      <c r="V65" s="251" t="s">
        <v>90</v>
      </c>
    </row>
    <row r="66" spans="1:23" x14ac:dyDescent="0.2">
      <c r="A66" s="251">
        <v>9977142</v>
      </c>
      <c r="B66" s="251" t="s">
        <v>169</v>
      </c>
      <c r="C66" s="252" t="s">
        <v>24</v>
      </c>
      <c r="D66" s="251" t="s">
        <v>82</v>
      </c>
      <c r="E66" s="251" t="s">
        <v>83</v>
      </c>
      <c r="F66" s="253">
        <v>46103</v>
      </c>
      <c r="G66" s="251" t="s">
        <v>170</v>
      </c>
      <c r="H66" s="251" t="s">
        <v>97</v>
      </c>
      <c r="I66" s="251" t="s">
        <v>171</v>
      </c>
      <c r="J66" s="252" t="e">
        <f>VLOOKUP(H66,VALIDACIONES!$A$2:$B$138,2,0)</f>
        <v>#N/A</v>
      </c>
      <c r="K66" s="256" t="s">
        <v>172</v>
      </c>
      <c r="L66" s="251">
        <f t="shared" si="20"/>
        <v>3</v>
      </c>
      <c r="M66" s="251">
        <f t="shared" si="21"/>
        <v>2026</v>
      </c>
      <c r="N66" s="251" t="s">
        <v>114</v>
      </c>
      <c r="O66" s="253">
        <v>46169</v>
      </c>
      <c r="P66" s="251" t="s">
        <v>117</v>
      </c>
      <c r="Q66" s="252"/>
      <c r="R66" s="251" t="s">
        <v>145</v>
      </c>
      <c r="S66" s="251" t="s">
        <v>90</v>
      </c>
      <c r="T66" s="251" t="s">
        <v>90</v>
      </c>
      <c r="U66" s="251" t="s">
        <v>122</v>
      </c>
      <c r="V66" s="251" t="s">
        <v>90</v>
      </c>
    </row>
    <row r="67" spans="1:23" x14ac:dyDescent="0.2">
      <c r="A67" s="251">
        <v>1152465154</v>
      </c>
      <c r="B67" s="251" t="s">
        <v>173</v>
      </c>
      <c r="C67" s="252" t="s">
        <v>21</v>
      </c>
      <c r="D67" s="251" t="s">
        <v>135</v>
      </c>
      <c r="E67" s="251" t="s">
        <v>83</v>
      </c>
      <c r="F67" s="253">
        <v>46089</v>
      </c>
      <c r="G67" s="251" t="s">
        <v>93</v>
      </c>
      <c r="H67" s="251" t="s">
        <v>8</v>
      </c>
      <c r="I67" s="251" t="s">
        <v>174</v>
      </c>
      <c r="J67" s="252" t="str">
        <f>VLOOKUP(H67,VALIDACIONES!$A$2:$B$138,2,0)</f>
        <v>Conducir motocicleta sin observar las siguientes normas.(verlistadodesituaciones)</v>
      </c>
      <c r="K67" s="256">
        <v>633232</v>
      </c>
      <c r="L67" s="251">
        <f t="shared" si="20"/>
        <v>3</v>
      </c>
      <c r="M67" s="251">
        <f t="shared" si="21"/>
        <v>2026</v>
      </c>
      <c r="N67" s="251" t="s">
        <v>114</v>
      </c>
      <c r="O67" s="253">
        <v>46169</v>
      </c>
      <c r="P67" s="251" t="s">
        <v>117</v>
      </c>
      <c r="Q67" s="252"/>
      <c r="R67" s="251" t="s">
        <v>89</v>
      </c>
      <c r="S67" s="251" t="s">
        <v>90</v>
      </c>
      <c r="T67" s="251" t="s">
        <v>90</v>
      </c>
      <c r="U67" s="251" t="s">
        <v>91</v>
      </c>
      <c r="V67" s="251" t="s">
        <v>90</v>
      </c>
    </row>
    <row r="68" spans="1:23" ht="30" x14ac:dyDescent="0.2">
      <c r="A68" s="251">
        <v>15325218</v>
      </c>
      <c r="B68" s="251" t="s">
        <v>175</v>
      </c>
      <c r="C68" s="252" t="s">
        <v>176</v>
      </c>
      <c r="D68" s="251" t="s">
        <v>82</v>
      </c>
      <c r="E68" s="251" t="s">
        <v>83</v>
      </c>
      <c r="F68" s="253">
        <v>46101</v>
      </c>
      <c r="G68" s="251" t="s">
        <v>93</v>
      </c>
      <c r="H68" s="251" t="s">
        <v>4</v>
      </c>
      <c r="J68" s="252" t="str">
        <f>VLOOKUP(H68,VALIDACIONES!$A$2:$B$138,2,0)</f>
        <v>Estacionar un vehículo en los sitios prohibidos por el Código Nacional de Tránsito, reglamentado por la Res.3027.</v>
      </c>
      <c r="K68" s="256">
        <v>633232</v>
      </c>
      <c r="L68" s="251">
        <f t="shared" si="20"/>
        <v>3</v>
      </c>
      <c r="M68" s="251">
        <f t="shared" si="21"/>
        <v>2026</v>
      </c>
      <c r="N68" s="251" t="s">
        <v>114</v>
      </c>
      <c r="O68" s="253"/>
      <c r="P68" s="251" t="s">
        <v>117</v>
      </c>
      <c r="Q68" s="252"/>
      <c r="R68" s="251" t="s">
        <v>89</v>
      </c>
      <c r="S68" s="251" t="s">
        <v>90</v>
      </c>
      <c r="T68" s="251" t="s">
        <v>90</v>
      </c>
      <c r="U68" s="251" t="s">
        <v>91</v>
      </c>
      <c r="V68" s="251" t="s">
        <v>90</v>
      </c>
      <c r="W68" s="252" t="s">
        <v>177</v>
      </c>
    </row>
    <row r="69" spans="1:23" ht="30" x14ac:dyDescent="0.2">
      <c r="A69" s="251">
        <v>10549212</v>
      </c>
      <c r="B69" s="251" t="s">
        <v>178</v>
      </c>
      <c r="C69" s="252" t="s">
        <v>179</v>
      </c>
      <c r="D69" s="251" t="s">
        <v>82</v>
      </c>
      <c r="E69" s="251" t="s">
        <v>100</v>
      </c>
      <c r="F69" s="253">
        <v>46108</v>
      </c>
      <c r="G69" s="251" t="s">
        <v>101</v>
      </c>
      <c r="H69" s="251" t="s">
        <v>180</v>
      </c>
      <c r="J69" s="252" t="str">
        <f>VLOOKUP(H69,VALIDACIONES!$A$2:$B$138,2,0)</f>
        <v>Bloquearunacalzadaointersecciónconunvehículo,salvocuandoelbloqueoobedezcaalaocurrenciadeunaccidente.</v>
      </c>
      <c r="K69" s="256">
        <v>633111</v>
      </c>
      <c r="L69" s="251">
        <f t="shared" si="20"/>
        <v>3</v>
      </c>
      <c r="M69" s="251">
        <f t="shared" si="21"/>
        <v>2026</v>
      </c>
      <c r="N69" s="251" t="s">
        <v>114</v>
      </c>
      <c r="O69" s="253">
        <v>46169</v>
      </c>
      <c r="P69" s="251" t="s">
        <v>117</v>
      </c>
      <c r="Q69" s="252"/>
      <c r="R69" s="251" t="s">
        <v>89</v>
      </c>
      <c r="S69" s="251" t="s">
        <v>90</v>
      </c>
      <c r="T69" s="251" t="s">
        <v>90</v>
      </c>
      <c r="U69" s="251" t="s">
        <v>91</v>
      </c>
      <c r="V69" s="251" t="s">
        <v>90</v>
      </c>
      <c r="W69" s="252" t="s">
        <v>177</v>
      </c>
    </row>
    <row r="70" spans="1:23" x14ac:dyDescent="0.2">
      <c r="A70" s="251">
        <v>1007562395</v>
      </c>
      <c r="B70" s="251" t="s">
        <v>181</v>
      </c>
      <c r="C70" s="252" t="s">
        <v>176</v>
      </c>
      <c r="D70" s="251" t="s">
        <v>82</v>
      </c>
      <c r="E70" s="251" t="s">
        <v>83</v>
      </c>
      <c r="F70" s="253">
        <v>46091</v>
      </c>
      <c r="G70" s="251" t="s">
        <v>118</v>
      </c>
      <c r="H70" s="251" t="s">
        <v>182</v>
      </c>
      <c r="I70" s="251" t="s">
        <v>183</v>
      </c>
      <c r="J70" s="252" t="str">
        <f>VLOOKUP(H70,VALIDACIONES!$A$2:$B$138,2,0)</f>
        <v>Dejardeseñalizar(verlistadodesituaciones)</v>
      </c>
      <c r="K70" s="256">
        <v>633111</v>
      </c>
      <c r="L70" s="251">
        <f t="shared" si="20"/>
        <v>3</v>
      </c>
      <c r="M70" s="251">
        <f t="shared" si="21"/>
        <v>2026</v>
      </c>
      <c r="N70" s="251" t="s">
        <v>114</v>
      </c>
      <c r="O70" s="253">
        <v>46169</v>
      </c>
      <c r="P70" s="251" t="s">
        <v>117</v>
      </c>
      <c r="Q70" s="252"/>
      <c r="R70" s="251" t="s">
        <v>89</v>
      </c>
      <c r="S70" s="251" t="s">
        <v>90</v>
      </c>
      <c r="T70" s="251" t="s">
        <v>90</v>
      </c>
      <c r="U70" s="251" t="s">
        <v>91</v>
      </c>
      <c r="V70" s="251" t="s">
        <v>90</v>
      </c>
    </row>
    <row r="71" spans="1:23" ht="30" x14ac:dyDescent="0.2">
      <c r="A71" s="251">
        <v>1036684908</v>
      </c>
      <c r="B71" s="251" t="s">
        <v>184</v>
      </c>
      <c r="C71" s="252" t="s">
        <v>27</v>
      </c>
      <c r="D71" s="251" t="s">
        <v>82</v>
      </c>
      <c r="E71" s="251" t="s">
        <v>83</v>
      </c>
      <c r="F71" s="253">
        <v>46101</v>
      </c>
      <c r="G71" s="251" t="s">
        <v>149</v>
      </c>
      <c r="H71" s="251" t="s">
        <v>7</v>
      </c>
      <c r="I71" s="251" t="s">
        <v>185</v>
      </c>
      <c r="J71" s="252" t="str">
        <f>VLOOKUP(H71,VALIDACIONES!$A$2:$B$138,2,0)</f>
        <v>Transitar por los siguientes sitios restringidos o en horas prohibidas por laautoridad competente. Además, el vehículo será inmovilizado.(verlistado)</v>
      </c>
      <c r="K71" s="256">
        <v>633105</v>
      </c>
      <c r="L71" s="251">
        <f t="shared" si="20"/>
        <v>3</v>
      </c>
      <c r="M71" s="251">
        <f t="shared" si="21"/>
        <v>2026</v>
      </c>
      <c r="N71" s="251" t="s">
        <v>114</v>
      </c>
      <c r="O71" s="253">
        <v>46170</v>
      </c>
      <c r="P71" s="251" t="s">
        <v>117</v>
      </c>
      <c r="Q71" s="252"/>
      <c r="R71" s="251" t="s">
        <v>89</v>
      </c>
      <c r="S71" s="251" t="s">
        <v>90</v>
      </c>
      <c r="T71" s="251" t="s">
        <v>90</v>
      </c>
      <c r="U71" s="251" t="s">
        <v>91</v>
      </c>
      <c r="V71" s="251" t="s">
        <v>90</v>
      </c>
    </row>
    <row r="72" spans="1:23" x14ac:dyDescent="0.2">
      <c r="A72" s="251">
        <v>98631773</v>
      </c>
      <c r="B72" s="251" t="s">
        <v>186</v>
      </c>
      <c r="C72" s="252" t="s">
        <v>176</v>
      </c>
      <c r="D72" s="251" t="s">
        <v>82</v>
      </c>
      <c r="E72" s="251" t="s">
        <v>83</v>
      </c>
      <c r="F72" s="253">
        <v>46106</v>
      </c>
      <c r="G72" s="251" t="s">
        <v>187</v>
      </c>
      <c r="H72" s="251" t="s">
        <v>32</v>
      </c>
      <c r="I72" s="251" t="s">
        <v>188</v>
      </c>
      <c r="J72" s="252" t="str">
        <f>VLOOKUP(H72,VALIDACIONES!$A$2:$B$138,2,0)</f>
        <v>No acatar las señales o requerimientos impartidos por los agentes de Tránsito.</v>
      </c>
      <c r="K72" s="256">
        <v>633111</v>
      </c>
      <c r="L72" s="251">
        <f t="shared" si="20"/>
        <v>3</v>
      </c>
      <c r="M72" s="251">
        <f t="shared" si="21"/>
        <v>2026</v>
      </c>
      <c r="N72" s="251" t="s">
        <v>114</v>
      </c>
      <c r="O72" s="253">
        <v>46170</v>
      </c>
      <c r="P72" s="251" t="s">
        <v>117</v>
      </c>
      <c r="Q72" s="252"/>
      <c r="R72" s="251" t="s">
        <v>145</v>
      </c>
      <c r="S72" s="251" t="s">
        <v>90</v>
      </c>
      <c r="T72" s="251" t="s">
        <v>90</v>
      </c>
      <c r="U72" s="251" t="s">
        <v>91</v>
      </c>
      <c r="V72" s="251" t="s">
        <v>90</v>
      </c>
      <c r="W72" s="252" t="s">
        <v>189</v>
      </c>
    </row>
    <row r="73" spans="1:23" ht="30" x14ac:dyDescent="0.2">
      <c r="A73" s="251">
        <v>71613262</v>
      </c>
      <c r="B73" s="251" t="s">
        <v>190</v>
      </c>
      <c r="C73" s="252" t="s">
        <v>30</v>
      </c>
      <c r="D73" s="251" t="s">
        <v>82</v>
      </c>
      <c r="E73" s="251" t="s">
        <v>83</v>
      </c>
      <c r="F73" s="253">
        <v>46106</v>
      </c>
      <c r="G73" s="251" t="s">
        <v>125</v>
      </c>
      <c r="H73" s="251" t="s">
        <v>9</v>
      </c>
      <c r="J73" s="252" t="str">
        <f>VLOOKUP(H73,VALIDACIONES!$A$2:$B$138,2,0)</f>
        <v>Transitarenvehículosde3.5omástoneladasporelcarrilizquierdodelavíacuandohubieremásdeuncarril.</v>
      </c>
      <c r="K73" s="256">
        <v>633111</v>
      </c>
      <c r="L73" s="251">
        <f t="shared" si="20"/>
        <v>3</v>
      </c>
      <c r="M73" s="251">
        <f t="shared" si="21"/>
        <v>2026</v>
      </c>
      <c r="N73" s="251" t="s">
        <v>114</v>
      </c>
      <c r="O73" s="253">
        <v>46170</v>
      </c>
      <c r="P73" s="251" t="s">
        <v>117</v>
      </c>
      <c r="Q73" s="252"/>
      <c r="R73" s="251" t="s">
        <v>89</v>
      </c>
      <c r="S73" s="251" t="s">
        <v>90</v>
      </c>
      <c r="T73" s="251" t="s">
        <v>90</v>
      </c>
      <c r="U73" s="251" t="s">
        <v>91</v>
      </c>
      <c r="V73" s="251" t="s">
        <v>90</v>
      </c>
      <c r="W73" s="252" t="s">
        <v>177</v>
      </c>
    </row>
    <row r="74" spans="1:23" ht="60" x14ac:dyDescent="0.2">
      <c r="A74" s="251">
        <v>71383929</v>
      </c>
      <c r="B74" s="251" t="s">
        <v>191</v>
      </c>
      <c r="C74" s="252" t="s">
        <v>29</v>
      </c>
      <c r="D74" s="251" t="s">
        <v>82</v>
      </c>
      <c r="E74" s="251" t="s">
        <v>83</v>
      </c>
      <c r="F74" s="253">
        <v>46135</v>
      </c>
      <c r="G74" s="251" t="s">
        <v>93</v>
      </c>
      <c r="H74" s="251" t="s">
        <v>11</v>
      </c>
      <c r="I74" s="251" t="s">
        <v>144</v>
      </c>
      <c r="J74" s="252" t="str">
        <f>VLOOKUP(H74,VALIDACIONES!$A$2:$B$138,2,0)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K74" s="256">
        <v>633232</v>
      </c>
      <c r="L74" s="251">
        <f t="shared" ref="L74:L75" si="22">MONTH(F74)</f>
        <v>4</v>
      </c>
      <c r="M74" s="251">
        <f t="shared" ref="M74:M75" si="23">YEAR(F74)</f>
        <v>2026</v>
      </c>
      <c r="N74" s="251" t="s">
        <v>114</v>
      </c>
      <c r="O74" s="253">
        <v>46170</v>
      </c>
      <c r="Q74" s="252"/>
    </row>
    <row r="75" spans="1:23" ht="16.5" x14ac:dyDescent="0.3">
      <c r="A75" s="251">
        <v>1106739051</v>
      </c>
      <c r="B75" s="251" t="s">
        <v>192</v>
      </c>
      <c r="C75" s="252" t="s">
        <v>21</v>
      </c>
      <c r="D75" s="251" t="s">
        <v>135</v>
      </c>
      <c r="E75" s="251" t="s">
        <v>83</v>
      </c>
      <c r="F75" s="253">
        <v>46121</v>
      </c>
      <c r="G75" s="251" t="s">
        <v>111</v>
      </c>
      <c r="H75" s="251" t="s">
        <v>8</v>
      </c>
      <c r="I75" s="259" t="s">
        <v>193</v>
      </c>
      <c r="J75" s="252" t="str">
        <f>VLOOKUP(H75,VALIDACIONES!$A$2:$B$138,2,0)</f>
        <v>Conducir motocicleta sin observar las siguientes normas.(verlistadodesituaciones)</v>
      </c>
      <c r="K75" s="256">
        <v>633111</v>
      </c>
      <c r="L75" s="251">
        <f t="shared" si="22"/>
        <v>4</v>
      </c>
      <c r="M75" s="251">
        <f t="shared" si="23"/>
        <v>2026</v>
      </c>
      <c r="N75" s="251" t="s">
        <v>114</v>
      </c>
      <c r="O75" s="253">
        <v>46170</v>
      </c>
      <c r="Q75" s="252"/>
    </row>
  </sheetData>
  <autoFilter ref="A1:W75" xr:uid="{77E37F84-426A-488F-BDF6-05EF3ADE526C}"/>
  <phoneticPr fontId="21" type="noConversion"/>
  <dataValidations count="2">
    <dataValidation type="whole" errorStyle="information" operator="greaterThan" allowBlank="1" showInputMessage="1" showErrorMessage="1" errorTitle="Error Ingreso de Datos" error="Ingrese sólo números, sin puntos, comas, letras ó caracteres especiales" sqref="A13 A19" xr:uid="{77BAFA52-15E3-49D2-B758-DE8BB6E90D9F}">
      <formula1>0</formula1>
    </dataValidation>
    <dataValidation type="custom" errorStyle="information" allowBlank="1" showInputMessage="1" showErrorMessage="1" errorTitle="Error de Ingreso de Datos" error="Debe ingresar sólo TEXTO, sin números, letras ó caracteres especiales." sqref="B12 B18:B19 B25:B75 B10" xr:uid="{44CFD676-05D8-4501-B516-BB3263ABF89B}">
      <formula1>ISTEXT(B10)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691E7B8-D073-49A0-A3FB-F2E535B22712}">
          <x14:formula1>
            <xm:f>VALIDACIONES!$M$2:$M$4</xm:f>
          </x14:formula1>
          <xm:sqref>N1:N75</xm:sqref>
        </x14:dataValidation>
        <x14:dataValidation type="list" allowBlank="1" showInputMessage="1" showErrorMessage="1" xr:uid="{EFA77B78-89E9-484E-B92F-9F0476FA3D77}">
          <x14:formula1>
            <xm:f>VALIDACIONES!$O$2:$O$3</xm:f>
          </x14:formula1>
          <xm:sqref>V2:V17 S2:T37</xm:sqref>
        </x14:dataValidation>
        <x14:dataValidation type="list" allowBlank="1" showInputMessage="1" showErrorMessage="1" xr:uid="{0B523264-D2E4-4A4E-BBAD-708C67C85BF3}">
          <x14:formula1>
            <xm:f>VALIDACIONES!$N$2:$N$3</xm:f>
          </x14:formula1>
          <xm:sqref>R2:R73</xm:sqref>
        </x14:dataValidation>
        <x14:dataValidation type="list" allowBlank="1" showErrorMessage="1" xr:uid="{80C345AA-3D19-4AD2-B795-FE7518FFB5E7}">
          <x14:formula1>
            <xm:f>VALIDACIONES!$J$2:$J$17</xm:f>
          </x14:formula1>
          <xm:sqref>E1:E64</xm:sqref>
        </x14:dataValidation>
        <x14:dataValidation type="list" allowBlank="1" showErrorMessage="1" xr:uid="{5301AA14-8575-4D47-92F8-37EC217FFCBD}">
          <x14:formula1>
            <xm:f>VALIDACIONES!$K$2:$K$11</xm:f>
          </x14:formula1>
          <xm:sqref>P2:P73</xm:sqref>
        </x14:dataValidation>
        <x14:dataValidation type="list" allowBlank="1" showInputMessage="1" showErrorMessage="1" xr:uid="{61BF8665-47E4-4097-B53A-539ACB126BAD}">
          <x14:formula1>
            <xm:f>VALIDACIONES!$L$2:$L$4</xm:f>
          </x14:formula1>
          <xm:sqref>Q2:Q60</xm:sqref>
        </x14:dataValidation>
        <x14:dataValidation type="list" allowBlank="1" showErrorMessage="1" xr:uid="{66F7C685-F759-4B1E-BCBB-91817322371E}">
          <x14:formula1>
            <xm:f>VALIDACIONES!$I$2:$I$4</xm:f>
          </x14:formula1>
          <xm:sqref>D2:D48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D799-A7D8-427B-911B-3654FE30873A}">
  <dimension ref="A1:I9"/>
  <sheetViews>
    <sheetView workbookViewId="0">
      <selection activeCell="F8" sqref="F8"/>
    </sheetView>
  </sheetViews>
  <sheetFormatPr baseColWidth="10" defaultColWidth="9.140625" defaultRowHeight="12.75" x14ac:dyDescent="0.2"/>
  <cols>
    <col min="1" max="1" width="15.42578125" style="240" customWidth="1"/>
    <col min="2" max="2" width="40.85546875" style="236" customWidth="1"/>
    <col min="3" max="3" width="9.28515625" style="236" bestFit="1" customWidth="1"/>
    <col min="4" max="4" width="7" style="236" customWidth="1"/>
    <col min="5" max="5" width="25" style="236" customWidth="1"/>
    <col min="6" max="6" width="46.5703125" style="236" customWidth="1"/>
    <col min="7" max="7" width="39.42578125" style="236" customWidth="1"/>
    <col min="8" max="9" width="46.5703125" style="236" customWidth="1"/>
    <col min="10" max="16384" width="9.140625" style="236"/>
  </cols>
  <sheetData>
    <row r="1" spans="1:9" x14ac:dyDescent="0.2">
      <c r="A1" s="239" t="s">
        <v>194</v>
      </c>
      <c r="B1" s="234" t="s">
        <v>195</v>
      </c>
      <c r="C1" s="234" t="s">
        <v>196</v>
      </c>
      <c r="D1" s="234" t="s">
        <v>197</v>
      </c>
      <c r="E1" s="235" t="s">
        <v>198</v>
      </c>
      <c r="F1" s="235" t="s">
        <v>199</v>
      </c>
      <c r="G1" s="235" t="s">
        <v>200</v>
      </c>
      <c r="H1" s="235" t="s">
        <v>201</v>
      </c>
      <c r="I1" s="235" t="s">
        <v>202</v>
      </c>
    </row>
    <row r="2" spans="1:9" ht="38.25" x14ac:dyDescent="0.2">
      <c r="A2" s="237">
        <v>98613966</v>
      </c>
      <c r="B2" s="237" t="s">
        <v>203</v>
      </c>
      <c r="C2" s="237" t="s">
        <v>204</v>
      </c>
      <c r="D2" s="237">
        <v>2024</v>
      </c>
      <c r="E2" s="238" t="s">
        <v>4</v>
      </c>
      <c r="F2" s="241" t="s">
        <v>16</v>
      </c>
      <c r="G2" s="238" t="s">
        <v>205</v>
      </c>
      <c r="H2" s="241" t="s">
        <v>206</v>
      </c>
      <c r="I2" s="237" t="s">
        <v>207</v>
      </c>
    </row>
    <row r="3" spans="1:9" ht="76.5" x14ac:dyDescent="0.2">
      <c r="A3" s="237">
        <v>10271854</v>
      </c>
      <c r="B3" s="237" t="s">
        <v>208</v>
      </c>
      <c r="C3" s="237" t="s">
        <v>204</v>
      </c>
      <c r="D3" s="237">
        <v>2024</v>
      </c>
      <c r="E3" s="238" t="s">
        <v>14</v>
      </c>
      <c r="F3" s="241" t="s">
        <v>209</v>
      </c>
      <c r="G3" s="238" t="s">
        <v>210</v>
      </c>
      <c r="H3" s="241" t="s">
        <v>206</v>
      </c>
      <c r="I3" s="237" t="s">
        <v>211</v>
      </c>
    </row>
    <row r="4" spans="1:9" ht="38.25" x14ac:dyDescent="0.2">
      <c r="A4" s="237">
        <v>98514320</v>
      </c>
      <c r="B4" s="237" t="s">
        <v>212</v>
      </c>
      <c r="C4" s="237" t="s">
        <v>204</v>
      </c>
      <c r="D4" s="237">
        <v>2024</v>
      </c>
      <c r="E4" s="238" t="s">
        <v>12</v>
      </c>
      <c r="F4" s="241" t="s">
        <v>213</v>
      </c>
      <c r="G4" s="238" t="s">
        <v>214</v>
      </c>
      <c r="H4" s="241" t="s">
        <v>206</v>
      </c>
      <c r="I4" s="237" t="s">
        <v>215</v>
      </c>
    </row>
    <row r="5" spans="1:9" ht="51" x14ac:dyDescent="0.2">
      <c r="A5" s="237">
        <v>71947379</v>
      </c>
      <c r="B5" s="237" t="s">
        <v>216</v>
      </c>
      <c r="C5" s="237" t="s">
        <v>204</v>
      </c>
      <c r="D5" s="237">
        <v>2024</v>
      </c>
      <c r="E5" s="238" t="s">
        <v>10</v>
      </c>
      <c r="F5" s="241" t="s">
        <v>18</v>
      </c>
      <c r="G5" s="238" t="s">
        <v>217</v>
      </c>
      <c r="H5" s="241" t="s">
        <v>206</v>
      </c>
      <c r="I5" s="237" t="s">
        <v>218</v>
      </c>
    </row>
    <row r="6" spans="1:9" ht="38.25" x14ac:dyDescent="0.2">
      <c r="A6" s="237">
        <v>98646700</v>
      </c>
      <c r="B6" s="237" t="s">
        <v>219</v>
      </c>
      <c r="C6" s="237" t="s">
        <v>204</v>
      </c>
      <c r="D6" s="237">
        <v>2024</v>
      </c>
      <c r="E6" s="238" t="s">
        <v>4</v>
      </c>
      <c r="F6" s="241" t="s">
        <v>16</v>
      </c>
      <c r="G6" s="238" t="s">
        <v>205</v>
      </c>
      <c r="H6" s="241" t="s">
        <v>206</v>
      </c>
      <c r="I6" s="237" t="s">
        <v>207</v>
      </c>
    </row>
    <row r="7" spans="1:9" ht="76.5" x14ac:dyDescent="0.2">
      <c r="A7" s="237">
        <v>1002643041</v>
      </c>
      <c r="B7" s="237" t="s">
        <v>220</v>
      </c>
      <c r="C7" s="237" t="s">
        <v>204</v>
      </c>
      <c r="D7" s="237">
        <v>2024</v>
      </c>
      <c r="E7" s="238" t="s">
        <v>14</v>
      </c>
      <c r="F7" s="241" t="s">
        <v>209</v>
      </c>
      <c r="G7" s="238" t="s">
        <v>210</v>
      </c>
      <c r="H7" s="241" t="s">
        <v>206</v>
      </c>
      <c r="I7" s="237" t="s">
        <v>215</v>
      </c>
    </row>
    <row r="8" spans="1:9" ht="51" x14ac:dyDescent="0.2">
      <c r="A8" s="237">
        <v>71601030</v>
      </c>
      <c r="B8" s="237" t="s">
        <v>221</v>
      </c>
      <c r="C8" s="237" t="s">
        <v>204</v>
      </c>
      <c r="D8" s="237">
        <v>2024</v>
      </c>
      <c r="E8" s="238" t="s">
        <v>10</v>
      </c>
      <c r="F8" s="241" t="s">
        <v>18</v>
      </c>
      <c r="G8" s="238" t="s">
        <v>217</v>
      </c>
      <c r="H8" s="241" t="s">
        <v>206</v>
      </c>
      <c r="I8" s="237" t="s">
        <v>222</v>
      </c>
    </row>
    <row r="9" spans="1:9" x14ac:dyDescent="0.2">
      <c r="F9" s="2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47"/>
  <sheetViews>
    <sheetView workbookViewId="0">
      <selection activeCell="H11" sqref="H11"/>
    </sheetView>
  </sheetViews>
  <sheetFormatPr baseColWidth="10" defaultColWidth="12.5703125" defaultRowHeight="15.75" customHeight="1" x14ac:dyDescent="0.2"/>
  <cols>
    <col min="1" max="1" width="11" customWidth="1"/>
    <col min="2" max="2" width="76" customWidth="1"/>
    <col min="3" max="5" width="11" customWidth="1"/>
    <col min="9" max="9" width="15.7109375" customWidth="1"/>
    <col min="11" max="11" width="36.5703125" customWidth="1"/>
    <col min="12" max="12" width="19.28515625" bestFit="1" customWidth="1"/>
    <col min="13" max="13" width="14.5703125" bestFit="1" customWidth="1"/>
  </cols>
  <sheetData>
    <row r="1" spans="1:16" ht="12.75" x14ac:dyDescent="0.2">
      <c r="A1" s="3" t="s">
        <v>223</v>
      </c>
      <c r="B1" s="3" t="s">
        <v>224</v>
      </c>
      <c r="C1" s="3" t="s">
        <v>225</v>
      </c>
      <c r="D1" s="3" t="s">
        <v>226</v>
      </c>
      <c r="E1" s="3" t="s">
        <v>227</v>
      </c>
      <c r="F1" s="3" t="s">
        <v>228</v>
      </c>
      <c r="G1" s="3" t="s">
        <v>229</v>
      </c>
      <c r="H1" s="29"/>
      <c r="I1" s="4" t="s">
        <v>230</v>
      </c>
      <c r="J1" s="4" t="s">
        <v>65</v>
      </c>
      <c r="K1" s="4" t="s">
        <v>231</v>
      </c>
      <c r="L1" s="203" t="s">
        <v>232</v>
      </c>
      <c r="M1" s="67" t="s">
        <v>233</v>
      </c>
      <c r="N1" s="200" t="s">
        <v>234</v>
      </c>
      <c r="O1" s="4" t="s">
        <v>235</v>
      </c>
      <c r="P1" s="29"/>
    </row>
    <row r="2" spans="1:16" ht="15.75" customHeight="1" x14ac:dyDescent="0.2">
      <c r="A2" s="5" t="s">
        <v>236</v>
      </c>
      <c r="B2" s="6" t="s">
        <v>237</v>
      </c>
      <c r="C2" s="7">
        <v>4</v>
      </c>
      <c r="D2" s="6" t="s">
        <v>238</v>
      </c>
      <c r="E2" s="6"/>
      <c r="F2" s="6"/>
      <c r="G2" s="6"/>
      <c r="H2" s="29"/>
      <c r="I2" s="8" t="s">
        <v>135</v>
      </c>
      <c r="J2" s="8" t="s">
        <v>239</v>
      </c>
      <c r="K2" s="202" t="s">
        <v>240</v>
      </c>
      <c r="L2" s="8" t="s">
        <v>94</v>
      </c>
      <c r="M2" s="65" t="s">
        <v>114</v>
      </c>
      <c r="N2" s="199" t="s">
        <v>89</v>
      </c>
      <c r="O2" s="8" t="s">
        <v>91</v>
      </c>
      <c r="P2" s="29"/>
    </row>
    <row r="3" spans="1:16" ht="15.75" customHeight="1" x14ac:dyDescent="0.2">
      <c r="A3" s="10" t="s">
        <v>241</v>
      </c>
      <c r="B3" s="11" t="s">
        <v>242</v>
      </c>
      <c r="C3" s="12">
        <v>4</v>
      </c>
      <c r="D3" s="11" t="s">
        <v>238</v>
      </c>
      <c r="E3" s="11"/>
      <c r="F3" s="11"/>
      <c r="G3" s="11"/>
      <c r="H3" s="29"/>
      <c r="I3" s="8" t="s">
        <v>25</v>
      </c>
      <c r="J3" s="8" t="s">
        <v>243</v>
      </c>
      <c r="K3" s="202" t="s">
        <v>244</v>
      </c>
      <c r="L3" s="8" t="s">
        <v>88</v>
      </c>
      <c r="M3" s="65" t="s">
        <v>245</v>
      </c>
      <c r="N3" s="199" t="s">
        <v>145</v>
      </c>
      <c r="O3" s="8" t="s">
        <v>90</v>
      </c>
      <c r="P3" s="29"/>
    </row>
    <row r="4" spans="1:16" ht="15.75" customHeight="1" x14ac:dyDescent="0.2">
      <c r="A4" s="10" t="s">
        <v>246</v>
      </c>
      <c r="B4" s="11" t="s">
        <v>247</v>
      </c>
      <c r="C4" s="12">
        <v>4</v>
      </c>
      <c r="D4" s="11" t="s">
        <v>238</v>
      </c>
      <c r="E4" s="11"/>
      <c r="F4" s="11"/>
      <c r="G4" s="11"/>
      <c r="H4" s="29"/>
      <c r="I4" s="8" t="s">
        <v>82</v>
      </c>
      <c r="J4" s="8" t="s">
        <v>248</v>
      </c>
      <c r="K4" s="202" t="s">
        <v>117</v>
      </c>
      <c r="L4" s="8" t="s">
        <v>120</v>
      </c>
      <c r="M4" s="65" t="s">
        <v>99</v>
      </c>
      <c r="N4" s="201"/>
      <c r="O4" s="30"/>
      <c r="P4" s="29"/>
    </row>
    <row r="5" spans="1:16" ht="15.75" customHeight="1" x14ac:dyDescent="0.2">
      <c r="A5" s="10" t="s">
        <v>249</v>
      </c>
      <c r="B5" s="11" t="s">
        <v>250</v>
      </c>
      <c r="C5" s="12">
        <v>4</v>
      </c>
      <c r="D5" s="11" t="s">
        <v>238</v>
      </c>
      <c r="E5" s="11"/>
      <c r="F5" s="11"/>
      <c r="G5" s="11"/>
      <c r="H5" s="29"/>
      <c r="I5" s="8"/>
      <c r="J5" s="8" t="s">
        <v>251</v>
      </c>
      <c r="K5" s="202" t="s">
        <v>132</v>
      </c>
      <c r="L5" s="30"/>
      <c r="M5" s="65" t="s">
        <v>252</v>
      </c>
      <c r="N5" s="201"/>
      <c r="O5" s="30"/>
      <c r="P5" s="29"/>
    </row>
    <row r="6" spans="1:16" ht="15.75" customHeight="1" x14ac:dyDescent="0.2">
      <c r="A6" s="10" t="s">
        <v>253</v>
      </c>
      <c r="B6" s="11" t="s">
        <v>254</v>
      </c>
      <c r="C6" s="12">
        <v>4</v>
      </c>
      <c r="D6" s="11" t="s">
        <v>238</v>
      </c>
      <c r="E6" s="11"/>
      <c r="F6" s="11"/>
      <c r="G6" s="11"/>
      <c r="H6" s="29"/>
      <c r="I6" s="8"/>
      <c r="J6" s="8" t="s">
        <v>255</v>
      </c>
      <c r="K6" s="9" t="s">
        <v>87</v>
      </c>
      <c r="L6" s="29"/>
      <c r="M6" s="29"/>
      <c r="N6" s="29"/>
      <c r="O6" s="29"/>
    </row>
    <row r="7" spans="1:16" ht="15.75" customHeight="1" x14ac:dyDescent="0.2">
      <c r="A7" s="10" t="s">
        <v>256</v>
      </c>
      <c r="B7" s="11" t="s">
        <v>257</v>
      </c>
      <c r="C7" s="12">
        <v>4</v>
      </c>
      <c r="D7" s="11" t="s">
        <v>238</v>
      </c>
      <c r="E7" s="11"/>
      <c r="F7" s="11"/>
      <c r="G7" s="11"/>
      <c r="H7" s="29"/>
      <c r="I7" s="8"/>
      <c r="J7" s="8" t="s">
        <v>100</v>
      </c>
      <c r="K7" s="9"/>
      <c r="L7" s="29"/>
    </row>
    <row r="8" spans="1:16" ht="15.75" customHeight="1" x14ac:dyDescent="0.2">
      <c r="A8" s="10" t="s">
        <v>258</v>
      </c>
      <c r="B8" s="11" t="s">
        <v>259</v>
      </c>
      <c r="C8" s="12">
        <v>4</v>
      </c>
      <c r="D8" s="11" t="s">
        <v>238</v>
      </c>
      <c r="E8" s="11"/>
      <c r="F8" s="11"/>
      <c r="G8" s="11"/>
      <c r="H8" s="29"/>
      <c r="I8" s="8"/>
      <c r="J8" s="8" t="s">
        <v>83</v>
      </c>
      <c r="K8" s="9"/>
      <c r="L8" s="29"/>
    </row>
    <row r="9" spans="1:16" ht="15.75" customHeight="1" x14ac:dyDescent="0.2">
      <c r="A9" s="10" t="s">
        <v>260</v>
      </c>
      <c r="B9" s="11" t="s">
        <v>261</v>
      </c>
      <c r="C9" s="12">
        <v>4</v>
      </c>
      <c r="D9" s="11" t="s">
        <v>238</v>
      </c>
      <c r="E9" s="11"/>
      <c r="F9" s="11"/>
      <c r="G9" s="11"/>
      <c r="H9" s="29"/>
      <c r="I9" s="8"/>
      <c r="J9" s="8" t="s">
        <v>262</v>
      </c>
      <c r="K9" s="9"/>
      <c r="L9" s="29"/>
    </row>
    <row r="10" spans="1:16" ht="15.75" customHeight="1" x14ac:dyDescent="0.2">
      <c r="A10" s="10" t="s">
        <v>263</v>
      </c>
      <c r="B10" s="11" t="s">
        <v>264</v>
      </c>
      <c r="C10" s="12">
        <v>4</v>
      </c>
      <c r="D10" s="11" t="s">
        <v>238</v>
      </c>
      <c r="E10" s="11"/>
      <c r="F10" s="11"/>
      <c r="G10" s="11"/>
      <c r="H10" s="29"/>
      <c r="I10" s="8"/>
      <c r="J10" s="8" t="s">
        <v>265</v>
      </c>
      <c r="K10" s="9"/>
      <c r="L10" s="29"/>
    </row>
    <row r="11" spans="1:16" ht="15.75" customHeight="1" x14ac:dyDescent="0.2">
      <c r="A11" s="10" t="s">
        <v>266</v>
      </c>
      <c r="B11" s="11" t="s">
        <v>267</v>
      </c>
      <c r="C11" s="12">
        <v>4</v>
      </c>
      <c r="D11" s="11" t="s">
        <v>238</v>
      </c>
      <c r="E11" s="11"/>
      <c r="F11" s="11"/>
      <c r="G11" s="11"/>
      <c r="H11" s="29"/>
      <c r="I11" s="8"/>
      <c r="J11" s="8" t="s">
        <v>268</v>
      </c>
      <c r="K11" s="9"/>
      <c r="L11" s="29"/>
    </row>
    <row r="12" spans="1:16" ht="12.75" x14ac:dyDescent="0.2">
      <c r="A12" s="10" t="s">
        <v>269</v>
      </c>
      <c r="B12" s="11" t="s">
        <v>270</v>
      </c>
      <c r="C12" s="12">
        <v>4</v>
      </c>
      <c r="D12" s="11" t="s">
        <v>238</v>
      </c>
      <c r="E12" s="11"/>
      <c r="F12" s="11"/>
      <c r="G12" s="11" t="s">
        <v>271</v>
      </c>
      <c r="H12" s="29"/>
      <c r="I12" s="30"/>
      <c r="J12" s="8" t="s">
        <v>272</v>
      </c>
      <c r="K12" s="30"/>
      <c r="L12" s="29"/>
    </row>
    <row r="13" spans="1:16" ht="12.75" x14ac:dyDescent="0.2">
      <c r="A13" s="10" t="s">
        <v>273</v>
      </c>
      <c r="B13" s="11" t="s">
        <v>274</v>
      </c>
      <c r="C13" s="12">
        <v>4</v>
      </c>
      <c r="D13" s="11" t="s">
        <v>238</v>
      </c>
      <c r="E13" s="11"/>
      <c r="F13" s="11"/>
      <c r="G13" s="11" t="s">
        <v>271</v>
      </c>
      <c r="H13" s="29"/>
      <c r="I13" s="30"/>
      <c r="J13" s="8" t="s">
        <v>275</v>
      </c>
      <c r="K13" s="30"/>
      <c r="L13" s="29"/>
    </row>
    <row r="14" spans="1:16" ht="12.75" x14ac:dyDescent="0.2">
      <c r="A14" s="10" t="s">
        <v>276</v>
      </c>
      <c r="B14" s="11" t="s">
        <v>277</v>
      </c>
      <c r="C14" s="12">
        <v>8</v>
      </c>
      <c r="D14" s="11" t="s">
        <v>278</v>
      </c>
      <c r="E14" s="11"/>
      <c r="F14" s="11"/>
      <c r="G14" s="11"/>
      <c r="I14" s="29"/>
      <c r="J14" s="8" t="s">
        <v>279</v>
      </c>
      <c r="K14" s="29"/>
    </row>
    <row r="15" spans="1:16" ht="12.75" x14ac:dyDescent="0.2">
      <c r="A15" s="10" t="s">
        <v>280</v>
      </c>
      <c r="B15" s="11" t="s">
        <v>281</v>
      </c>
      <c r="C15" s="12">
        <v>8</v>
      </c>
      <c r="D15" s="11" t="s">
        <v>278</v>
      </c>
      <c r="E15" s="11" t="s">
        <v>271</v>
      </c>
      <c r="F15" s="11" t="s">
        <v>271</v>
      </c>
      <c r="G15" s="11"/>
      <c r="J15" s="8" t="s">
        <v>282</v>
      </c>
    </row>
    <row r="16" spans="1:16" ht="12.75" x14ac:dyDescent="0.2">
      <c r="A16" s="10" t="s">
        <v>283</v>
      </c>
      <c r="B16" s="11" t="s">
        <v>284</v>
      </c>
      <c r="C16" s="12">
        <v>8</v>
      </c>
      <c r="D16" s="11" t="s">
        <v>278</v>
      </c>
      <c r="E16" s="11" t="s">
        <v>271</v>
      </c>
      <c r="F16" s="11" t="s">
        <v>271</v>
      </c>
      <c r="G16" s="11"/>
      <c r="J16" s="8" t="s">
        <v>285</v>
      </c>
    </row>
    <row r="17" spans="1:10" ht="12.75" x14ac:dyDescent="0.2">
      <c r="A17" s="10" t="s">
        <v>286</v>
      </c>
      <c r="B17" s="11" t="s">
        <v>287</v>
      </c>
      <c r="C17" s="12">
        <v>8</v>
      </c>
      <c r="D17" s="11" t="s">
        <v>278</v>
      </c>
      <c r="E17" s="11" t="s">
        <v>271</v>
      </c>
      <c r="F17" s="11" t="s">
        <v>271</v>
      </c>
      <c r="G17" s="11"/>
      <c r="J17" s="8" t="s">
        <v>288</v>
      </c>
    </row>
    <row r="18" spans="1:10" ht="12.75" x14ac:dyDescent="0.2">
      <c r="A18" s="10" t="s">
        <v>289</v>
      </c>
      <c r="B18" s="11" t="s">
        <v>290</v>
      </c>
      <c r="C18" s="12">
        <v>8</v>
      </c>
      <c r="D18" s="11" t="s">
        <v>278</v>
      </c>
      <c r="E18" s="11" t="s">
        <v>271</v>
      </c>
      <c r="F18" s="11" t="s">
        <v>271</v>
      </c>
      <c r="G18" s="11"/>
    </row>
    <row r="19" spans="1:10" ht="12.75" x14ac:dyDescent="0.2">
      <c r="A19" s="10" t="s">
        <v>291</v>
      </c>
      <c r="B19" s="11" t="s">
        <v>292</v>
      </c>
      <c r="C19" s="12">
        <v>8</v>
      </c>
      <c r="D19" s="11" t="s">
        <v>278</v>
      </c>
      <c r="E19" s="11" t="s">
        <v>271</v>
      </c>
      <c r="F19" s="11" t="s">
        <v>271</v>
      </c>
      <c r="G19" s="11"/>
    </row>
    <row r="20" spans="1:10" ht="12.75" x14ac:dyDescent="0.2">
      <c r="A20" s="10" t="s">
        <v>293</v>
      </c>
      <c r="B20" s="11" t="s">
        <v>294</v>
      </c>
      <c r="C20" s="12">
        <v>8</v>
      </c>
      <c r="D20" s="11" t="s">
        <v>278</v>
      </c>
      <c r="E20" s="11" t="s">
        <v>271</v>
      </c>
      <c r="F20" s="11" t="s">
        <v>271</v>
      </c>
      <c r="G20" s="11"/>
    </row>
    <row r="21" spans="1:10" ht="12.75" x14ac:dyDescent="0.2">
      <c r="A21" s="10" t="s">
        <v>295</v>
      </c>
      <c r="B21" s="11" t="s">
        <v>296</v>
      </c>
      <c r="C21" s="12">
        <v>8</v>
      </c>
      <c r="D21" s="11" t="s">
        <v>278</v>
      </c>
      <c r="E21" s="11" t="s">
        <v>271</v>
      </c>
      <c r="F21" s="11" t="s">
        <v>271</v>
      </c>
      <c r="G21" s="11"/>
    </row>
    <row r="22" spans="1:10" ht="12.75" x14ac:dyDescent="0.2">
      <c r="A22" s="10" t="s">
        <v>297</v>
      </c>
      <c r="B22" s="11" t="s">
        <v>298</v>
      </c>
      <c r="C22" s="12">
        <v>8</v>
      </c>
      <c r="D22" s="11" t="s">
        <v>278</v>
      </c>
      <c r="E22" s="11"/>
      <c r="F22" s="11"/>
      <c r="G22" s="11"/>
    </row>
    <row r="23" spans="1:10" ht="12.75" x14ac:dyDescent="0.2">
      <c r="A23" s="10" t="s">
        <v>31</v>
      </c>
      <c r="B23" s="11" t="s">
        <v>299</v>
      </c>
      <c r="C23" s="12">
        <v>8</v>
      </c>
      <c r="D23" s="11" t="s">
        <v>278</v>
      </c>
      <c r="E23" s="11"/>
      <c r="F23" s="11"/>
      <c r="G23" s="11"/>
    </row>
    <row r="24" spans="1:10" ht="12.75" x14ac:dyDescent="0.2">
      <c r="A24" s="10" t="s">
        <v>300</v>
      </c>
      <c r="B24" s="11" t="s">
        <v>301</v>
      </c>
      <c r="C24" s="12">
        <v>8</v>
      </c>
      <c r="D24" s="11" t="s">
        <v>278</v>
      </c>
      <c r="E24" s="11"/>
      <c r="F24" s="11"/>
      <c r="G24" s="11"/>
    </row>
    <row r="25" spans="1:10" ht="12.75" x14ac:dyDescent="0.2">
      <c r="A25" s="10" t="s">
        <v>302</v>
      </c>
      <c r="B25" s="11" t="s">
        <v>303</v>
      </c>
      <c r="C25" s="12">
        <v>8</v>
      </c>
      <c r="D25" s="11" t="s">
        <v>278</v>
      </c>
      <c r="E25" s="11"/>
      <c r="F25" s="11"/>
      <c r="G25" s="11"/>
    </row>
    <row r="26" spans="1:10" ht="12.75" x14ac:dyDescent="0.2">
      <c r="A26" s="10" t="s">
        <v>304</v>
      </c>
      <c r="B26" s="11" t="s">
        <v>305</v>
      </c>
      <c r="C26" s="12">
        <v>8</v>
      </c>
      <c r="D26" s="11" t="s">
        <v>278</v>
      </c>
      <c r="E26" s="11"/>
      <c r="F26" s="11"/>
      <c r="G26" s="11"/>
    </row>
    <row r="27" spans="1:10" ht="12.75" x14ac:dyDescent="0.2">
      <c r="A27" s="10" t="s">
        <v>306</v>
      </c>
      <c r="B27" s="11" t="s">
        <v>307</v>
      </c>
      <c r="C27" s="12">
        <v>8</v>
      </c>
      <c r="D27" s="11" t="s">
        <v>278</v>
      </c>
      <c r="E27" s="11"/>
      <c r="F27" s="11"/>
      <c r="G27" s="11"/>
    </row>
    <row r="28" spans="1:10" ht="12.75" x14ac:dyDescent="0.2">
      <c r="A28" s="10" t="s">
        <v>3</v>
      </c>
      <c r="B28" s="11" t="s">
        <v>308</v>
      </c>
      <c r="C28" s="12">
        <v>8</v>
      </c>
      <c r="D28" s="11" t="s">
        <v>278</v>
      </c>
      <c r="E28" s="11"/>
      <c r="F28" s="11"/>
      <c r="G28" s="11"/>
    </row>
    <row r="29" spans="1:10" ht="12.75" x14ac:dyDescent="0.2">
      <c r="A29" s="10" t="s">
        <v>309</v>
      </c>
      <c r="B29" s="11" t="s">
        <v>310</v>
      </c>
      <c r="C29" s="12">
        <v>8</v>
      </c>
      <c r="D29" s="11" t="s">
        <v>278</v>
      </c>
      <c r="E29" s="11"/>
      <c r="F29" s="11"/>
      <c r="G29" s="11"/>
    </row>
    <row r="30" spans="1:10" ht="12.75" x14ac:dyDescent="0.2">
      <c r="A30" s="10" t="s">
        <v>311</v>
      </c>
      <c r="B30" s="11" t="s">
        <v>312</v>
      </c>
      <c r="C30" s="12">
        <v>8</v>
      </c>
      <c r="D30" s="11" t="s">
        <v>278</v>
      </c>
      <c r="E30" s="11"/>
      <c r="F30" s="11"/>
      <c r="G30" s="11"/>
    </row>
    <row r="31" spans="1:10" ht="12.75" x14ac:dyDescent="0.2">
      <c r="A31" s="10" t="s">
        <v>313</v>
      </c>
      <c r="B31" s="11" t="s">
        <v>314</v>
      </c>
      <c r="C31" s="12">
        <v>8</v>
      </c>
      <c r="D31" s="11" t="s">
        <v>278</v>
      </c>
      <c r="E31" s="11"/>
      <c r="F31" s="11"/>
      <c r="G31" s="11"/>
    </row>
    <row r="32" spans="1:10" ht="12.75" x14ac:dyDescent="0.2">
      <c r="A32" s="10" t="s">
        <v>315</v>
      </c>
      <c r="B32" s="11" t="s">
        <v>316</v>
      </c>
      <c r="C32" s="12">
        <v>8</v>
      </c>
      <c r="D32" s="11" t="s">
        <v>278</v>
      </c>
      <c r="E32" s="11"/>
      <c r="F32" s="11"/>
      <c r="G32" s="11"/>
    </row>
    <row r="33" spans="1:7" ht="12.75" x14ac:dyDescent="0.2">
      <c r="A33" s="10" t="s">
        <v>317</v>
      </c>
      <c r="B33" s="11" t="s">
        <v>318</v>
      </c>
      <c r="C33" s="12">
        <v>8</v>
      </c>
      <c r="D33" s="11" t="s">
        <v>278</v>
      </c>
      <c r="E33" s="11"/>
      <c r="F33" s="11"/>
      <c r="G33" s="11"/>
    </row>
    <row r="34" spans="1:7" ht="12.75" x14ac:dyDescent="0.2">
      <c r="A34" s="10" t="s">
        <v>319</v>
      </c>
      <c r="B34" s="11" t="s">
        <v>320</v>
      </c>
      <c r="C34" s="12">
        <v>8</v>
      </c>
      <c r="D34" s="11" t="s">
        <v>278</v>
      </c>
      <c r="E34" s="11"/>
      <c r="F34" s="11"/>
      <c r="G34" s="11"/>
    </row>
    <row r="35" spans="1:7" ht="12.75" x14ac:dyDescent="0.2">
      <c r="A35" s="10" t="s">
        <v>321</v>
      </c>
      <c r="B35" s="11" t="s">
        <v>322</v>
      </c>
      <c r="C35" s="12">
        <v>8</v>
      </c>
      <c r="D35" s="11" t="s">
        <v>278</v>
      </c>
      <c r="E35" s="11"/>
      <c r="F35" s="11"/>
      <c r="G35" s="11"/>
    </row>
    <row r="36" spans="1:7" ht="12.75" x14ac:dyDescent="0.2">
      <c r="A36" s="10" t="s">
        <v>323</v>
      </c>
      <c r="B36" s="11" t="s">
        <v>324</v>
      </c>
      <c r="C36" s="12">
        <v>8</v>
      </c>
      <c r="D36" s="11" t="s">
        <v>278</v>
      </c>
      <c r="E36" s="11"/>
      <c r="F36" s="11"/>
      <c r="G36" s="11"/>
    </row>
    <row r="37" spans="1:7" ht="12.75" x14ac:dyDescent="0.2">
      <c r="A37" s="10" t="s">
        <v>325</v>
      </c>
      <c r="B37" s="11" t="s">
        <v>326</v>
      </c>
      <c r="C37" s="12">
        <v>15</v>
      </c>
      <c r="D37" s="11" t="s">
        <v>327</v>
      </c>
      <c r="E37" s="11"/>
      <c r="F37" s="11"/>
      <c r="G37" s="11"/>
    </row>
    <row r="38" spans="1:7" ht="12.75" x14ac:dyDescent="0.2">
      <c r="A38" s="10" t="s">
        <v>4</v>
      </c>
      <c r="B38" s="11" t="s">
        <v>16</v>
      </c>
      <c r="C38" s="12">
        <v>15</v>
      </c>
      <c r="D38" s="11" t="s">
        <v>327</v>
      </c>
      <c r="E38" s="11" t="s">
        <v>271</v>
      </c>
      <c r="F38" s="11" t="s">
        <v>271</v>
      </c>
      <c r="G38" s="11"/>
    </row>
    <row r="39" spans="1:7" ht="12.75" x14ac:dyDescent="0.2">
      <c r="A39" s="10" t="s">
        <v>180</v>
      </c>
      <c r="B39" s="11" t="s">
        <v>328</v>
      </c>
      <c r="C39" s="12">
        <v>15</v>
      </c>
      <c r="D39" s="11" t="s">
        <v>327</v>
      </c>
      <c r="E39" s="11"/>
      <c r="F39" s="11"/>
      <c r="G39" s="11"/>
    </row>
    <row r="40" spans="1:7" ht="12.75" x14ac:dyDescent="0.2">
      <c r="A40" s="10" t="s">
        <v>329</v>
      </c>
      <c r="B40" s="11" t="s">
        <v>330</v>
      </c>
      <c r="C40" s="12">
        <v>15</v>
      </c>
      <c r="D40" s="11" t="s">
        <v>327</v>
      </c>
      <c r="E40" s="11"/>
      <c r="F40" s="11"/>
      <c r="G40" s="11"/>
    </row>
    <row r="41" spans="1:7" ht="12.75" x14ac:dyDescent="0.2">
      <c r="A41" s="10" t="s">
        <v>331</v>
      </c>
      <c r="B41" s="11" t="s">
        <v>332</v>
      </c>
      <c r="C41" s="12">
        <v>15</v>
      </c>
      <c r="D41" s="11" t="s">
        <v>327</v>
      </c>
      <c r="E41" s="11"/>
      <c r="F41" s="11"/>
      <c r="G41" s="11"/>
    </row>
    <row r="42" spans="1:7" ht="12.75" x14ac:dyDescent="0.2">
      <c r="A42" s="10" t="s">
        <v>5</v>
      </c>
      <c r="B42" s="11" t="s">
        <v>333</v>
      </c>
      <c r="C42" s="12">
        <v>15</v>
      </c>
      <c r="D42" s="11" t="s">
        <v>327</v>
      </c>
      <c r="E42" s="11"/>
      <c r="F42" s="11"/>
      <c r="G42" s="11"/>
    </row>
    <row r="43" spans="1:7" ht="12.75" x14ac:dyDescent="0.2">
      <c r="A43" s="10" t="s">
        <v>182</v>
      </c>
      <c r="B43" s="11" t="s">
        <v>334</v>
      </c>
      <c r="C43" s="12">
        <v>15</v>
      </c>
      <c r="D43" s="11" t="s">
        <v>327</v>
      </c>
      <c r="E43" s="11"/>
      <c r="F43" s="11"/>
      <c r="G43" s="11"/>
    </row>
    <row r="44" spans="1:7" ht="12.75" x14ac:dyDescent="0.2">
      <c r="A44" s="10" t="s">
        <v>335</v>
      </c>
      <c r="B44" s="11" t="s">
        <v>336</v>
      </c>
      <c r="C44" s="12">
        <v>15</v>
      </c>
      <c r="D44" s="11" t="s">
        <v>327</v>
      </c>
      <c r="E44" s="11"/>
      <c r="F44" s="11"/>
      <c r="G44" s="11"/>
    </row>
    <row r="45" spans="1:7" ht="12.75" x14ac:dyDescent="0.2">
      <c r="A45" s="10" t="s">
        <v>337</v>
      </c>
      <c r="B45" s="11" t="s">
        <v>338</v>
      </c>
      <c r="C45" s="12">
        <v>15</v>
      </c>
      <c r="D45" s="11" t="s">
        <v>327</v>
      </c>
      <c r="E45" s="11"/>
      <c r="F45" s="11"/>
      <c r="G45" s="11"/>
    </row>
    <row r="46" spans="1:7" ht="12.75" x14ac:dyDescent="0.2">
      <c r="A46" s="10" t="s">
        <v>339</v>
      </c>
      <c r="B46" s="11" t="s">
        <v>340</v>
      </c>
      <c r="C46" s="12">
        <v>15</v>
      </c>
      <c r="D46" s="11" t="s">
        <v>327</v>
      </c>
      <c r="E46" s="11"/>
      <c r="F46" s="11"/>
      <c r="G46" s="11"/>
    </row>
    <row r="47" spans="1:7" ht="12.75" x14ac:dyDescent="0.2">
      <c r="A47" s="10" t="s">
        <v>6</v>
      </c>
      <c r="B47" s="11" t="s">
        <v>341</v>
      </c>
      <c r="C47" s="12">
        <v>15</v>
      </c>
      <c r="D47" s="11" t="s">
        <v>327</v>
      </c>
      <c r="E47" s="11"/>
      <c r="F47" s="11"/>
      <c r="G47" s="11"/>
    </row>
    <row r="48" spans="1:7" ht="12.75" x14ac:dyDescent="0.2">
      <c r="A48" s="10" t="s">
        <v>342</v>
      </c>
      <c r="B48" s="11" t="s">
        <v>343</v>
      </c>
      <c r="C48" s="12">
        <v>15</v>
      </c>
      <c r="D48" s="11" t="s">
        <v>327</v>
      </c>
      <c r="E48" s="11"/>
      <c r="F48" s="11"/>
      <c r="G48" s="11"/>
    </row>
    <row r="49" spans="1:7" ht="12.75" x14ac:dyDescent="0.2">
      <c r="A49" s="10" t="s">
        <v>344</v>
      </c>
      <c r="B49" s="11" t="s">
        <v>345</v>
      </c>
      <c r="C49" s="12">
        <v>15</v>
      </c>
      <c r="D49" s="11" t="s">
        <v>327</v>
      </c>
      <c r="E49" s="11"/>
      <c r="F49" s="11"/>
      <c r="G49" s="11"/>
    </row>
    <row r="50" spans="1:7" ht="12.75" x14ac:dyDescent="0.2">
      <c r="A50" s="10" t="s">
        <v>7</v>
      </c>
      <c r="B50" s="11" t="s">
        <v>346</v>
      </c>
      <c r="C50" s="12">
        <v>15</v>
      </c>
      <c r="D50" s="11" t="s">
        <v>327</v>
      </c>
      <c r="E50" s="11"/>
      <c r="F50" s="11"/>
      <c r="G50" s="11"/>
    </row>
    <row r="51" spans="1:7" ht="12.75" x14ac:dyDescent="0.2">
      <c r="A51" s="10" t="s">
        <v>347</v>
      </c>
      <c r="B51" s="11" t="s">
        <v>348</v>
      </c>
      <c r="C51" s="12">
        <v>15</v>
      </c>
      <c r="D51" s="11" t="s">
        <v>327</v>
      </c>
      <c r="E51" s="11" t="s">
        <v>271</v>
      </c>
      <c r="F51" s="11" t="s">
        <v>271</v>
      </c>
      <c r="G51" s="11"/>
    </row>
    <row r="52" spans="1:7" ht="12.75" x14ac:dyDescent="0.2">
      <c r="A52" s="10" t="s">
        <v>349</v>
      </c>
      <c r="B52" s="11" t="s">
        <v>350</v>
      </c>
      <c r="C52" s="12">
        <v>15</v>
      </c>
      <c r="D52" s="11" t="s">
        <v>327</v>
      </c>
      <c r="E52" s="11"/>
      <c r="F52" s="11"/>
      <c r="G52" s="11"/>
    </row>
    <row r="53" spans="1:7" ht="12.75" x14ac:dyDescent="0.2">
      <c r="A53" s="10" t="s">
        <v>351</v>
      </c>
      <c r="B53" s="11" t="s">
        <v>352</v>
      </c>
      <c r="C53" s="12">
        <v>15</v>
      </c>
      <c r="D53" s="11" t="s">
        <v>327</v>
      </c>
      <c r="E53" s="11" t="s">
        <v>271</v>
      </c>
      <c r="F53" s="11" t="s">
        <v>271</v>
      </c>
      <c r="G53" s="11"/>
    </row>
    <row r="54" spans="1:7" ht="12.75" x14ac:dyDescent="0.2">
      <c r="A54" s="10" t="s">
        <v>353</v>
      </c>
      <c r="B54" s="11" t="s">
        <v>354</v>
      </c>
      <c r="C54" s="12">
        <v>15</v>
      </c>
      <c r="D54" s="11" t="s">
        <v>327</v>
      </c>
      <c r="E54" s="11"/>
      <c r="F54" s="11"/>
      <c r="G54" s="11"/>
    </row>
    <row r="55" spans="1:7" ht="12.75" x14ac:dyDescent="0.2">
      <c r="A55" s="10" t="s">
        <v>355</v>
      </c>
      <c r="B55" s="11" t="s">
        <v>356</v>
      </c>
      <c r="C55" s="12">
        <v>15</v>
      </c>
      <c r="D55" s="11" t="s">
        <v>327</v>
      </c>
      <c r="E55" s="11" t="s">
        <v>271</v>
      </c>
      <c r="F55" s="11" t="s">
        <v>271</v>
      </c>
      <c r="G55" s="11"/>
    </row>
    <row r="56" spans="1:7" ht="12.75" x14ac:dyDescent="0.2">
      <c r="A56" s="10" t="s">
        <v>357</v>
      </c>
      <c r="B56" s="11" t="s">
        <v>358</v>
      </c>
      <c r="C56" s="12">
        <v>15</v>
      </c>
      <c r="D56" s="11" t="s">
        <v>327</v>
      </c>
      <c r="E56" s="11"/>
      <c r="F56" s="11"/>
      <c r="G56" s="11"/>
    </row>
    <row r="57" spans="1:7" ht="12.75" x14ac:dyDescent="0.2">
      <c r="A57" s="10" t="s">
        <v>359</v>
      </c>
      <c r="B57" s="11" t="s">
        <v>360</v>
      </c>
      <c r="C57" s="12">
        <v>15</v>
      </c>
      <c r="D57" s="11" t="s">
        <v>327</v>
      </c>
      <c r="E57" s="11" t="s">
        <v>271</v>
      </c>
      <c r="F57" s="11" t="s">
        <v>271</v>
      </c>
      <c r="G57" s="11"/>
    </row>
    <row r="58" spans="1:7" ht="12.75" x14ac:dyDescent="0.2">
      <c r="A58" s="10" t="s">
        <v>361</v>
      </c>
      <c r="B58" s="11" t="s">
        <v>362</v>
      </c>
      <c r="C58" s="12">
        <v>15</v>
      </c>
      <c r="D58" s="11" t="s">
        <v>327</v>
      </c>
      <c r="E58" s="11" t="s">
        <v>271</v>
      </c>
      <c r="F58" s="11" t="s">
        <v>271</v>
      </c>
      <c r="G58" s="11"/>
    </row>
    <row r="59" spans="1:7" ht="12.75" x14ac:dyDescent="0.2">
      <c r="A59" s="10" t="s">
        <v>363</v>
      </c>
      <c r="B59" s="11" t="s">
        <v>364</v>
      </c>
      <c r="C59" s="12">
        <v>15</v>
      </c>
      <c r="D59" s="11" t="s">
        <v>327</v>
      </c>
      <c r="E59" s="11" t="s">
        <v>271</v>
      </c>
      <c r="F59" s="11" t="s">
        <v>271</v>
      </c>
      <c r="G59" s="11"/>
    </row>
    <row r="60" spans="1:7" ht="12.75" x14ac:dyDescent="0.2">
      <c r="A60" s="10" t="s">
        <v>8</v>
      </c>
      <c r="B60" s="11" t="s">
        <v>17</v>
      </c>
      <c r="C60" s="12">
        <v>15</v>
      </c>
      <c r="D60" s="11" t="s">
        <v>327</v>
      </c>
      <c r="E60" s="11"/>
      <c r="F60" s="11"/>
      <c r="G60" s="11"/>
    </row>
    <row r="61" spans="1:7" ht="12.75" x14ac:dyDescent="0.2">
      <c r="A61" s="10" t="s">
        <v>365</v>
      </c>
      <c r="B61" s="11" t="s">
        <v>366</v>
      </c>
      <c r="C61" s="12">
        <v>15</v>
      </c>
      <c r="D61" s="11" t="s">
        <v>327</v>
      </c>
      <c r="E61" s="11"/>
      <c r="F61" s="11"/>
      <c r="G61" s="11"/>
    </row>
    <row r="62" spans="1:7" ht="12.75" x14ac:dyDescent="0.2">
      <c r="A62" s="10" t="s">
        <v>9</v>
      </c>
      <c r="B62" s="11" t="s">
        <v>367</v>
      </c>
      <c r="C62" s="12">
        <v>15</v>
      </c>
      <c r="D62" s="11" t="s">
        <v>327</v>
      </c>
      <c r="E62" s="11"/>
      <c r="F62" s="11"/>
      <c r="G62" s="11"/>
    </row>
    <row r="63" spans="1:7" ht="12.75" x14ac:dyDescent="0.2">
      <c r="A63" s="10" t="s">
        <v>368</v>
      </c>
      <c r="B63" s="11" t="s">
        <v>369</v>
      </c>
      <c r="C63" s="12">
        <v>15</v>
      </c>
      <c r="D63" s="11" t="s">
        <v>327</v>
      </c>
      <c r="E63" s="11"/>
      <c r="F63" s="11"/>
      <c r="G63" s="11"/>
    </row>
    <row r="64" spans="1:7" ht="12.75" x14ac:dyDescent="0.2">
      <c r="A64" s="10" t="s">
        <v>370</v>
      </c>
      <c r="B64" s="11" t="s">
        <v>371</v>
      </c>
      <c r="C64" s="12">
        <v>15</v>
      </c>
      <c r="D64" s="11" t="s">
        <v>327</v>
      </c>
      <c r="E64" s="11" t="s">
        <v>271</v>
      </c>
      <c r="F64" s="11" t="s">
        <v>271</v>
      </c>
      <c r="G64" s="11"/>
    </row>
    <row r="65" spans="1:7" ht="12.75" x14ac:dyDescent="0.2">
      <c r="A65" s="10" t="s">
        <v>10</v>
      </c>
      <c r="B65" s="11" t="s">
        <v>18</v>
      </c>
      <c r="C65" s="12">
        <v>15</v>
      </c>
      <c r="D65" s="11" t="s">
        <v>327</v>
      </c>
      <c r="E65" s="11"/>
      <c r="F65" s="11"/>
      <c r="G65" s="11"/>
    </row>
    <row r="66" spans="1:7" ht="12.75" x14ac:dyDescent="0.2">
      <c r="A66" s="10" t="s">
        <v>372</v>
      </c>
      <c r="B66" s="11" t="s">
        <v>373</v>
      </c>
      <c r="C66" s="12">
        <v>15</v>
      </c>
      <c r="D66" s="11" t="s">
        <v>327</v>
      </c>
      <c r="E66" s="11"/>
      <c r="F66" s="11"/>
      <c r="G66" s="11"/>
    </row>
    <row r="67" spans="1:7" ht="12.75" x14ac:dyDescent="0.2">
      <c r="A67" s="10" t="s">
        <v>32</v>
      </c>
      <c r="B67" s="11" t="s">
        <v>374</v>
      </c>
      <c r="C67" s="12">
        <v>15</v>
      </c>
      <c r="D67" s="11" t="s">
        <v>327</v>
      </c>
      <c r="E67" s="11"/>
      <c r="F67" s="11"/>
      <c r="G67" s="11"/>
    </row>
    <row r="68" spans="1:7" ht="12.75" x14ac:dyDescent="0.2">
      <c r="A68" s="10" t="s">
        <v>375</v>
      </c>
      <c r="B68" s="11" t="s">
        <v>376</v>
      </c>
      <c r="C68" s="12">
        <v>15</v>
      </c>
      <c r="D68" s="11" t="s">
        <v>327</v>
      </c>
      <c r="E68" s="11"/>
      <c r="F68" s="11"/>
      <c r="G68" s="11"/>
    </row>
    <row r="69" spans="1:7" ht="12.75" x14ac:dyDescent="0.2">
      <c r="A69" s="10" t="s">
        <v>377</v>
      </c>
      <c r="B69" s="11" t="s">
        <v>378</v>
      </c>
      <c r="C69" s="12">
        <v>15</v>
      </c>
      <c r="D69" s="11" t="s">
        <v>327</v>
      </c>
      <c r="E69" s="11"/>
      <c r="F69" s="11"/>
      <c r="G69" s="11"/>
    </row>
    <row r="70" spans="1:7" ht="12.75" x14ac:dyDescent="0.2">
      <c r="A70" s="10" t="s">
        <v>379</v>
      </c>
      <c r="B70" s="11" t="s">
        <v>380</v>
      </c>
      <c r="C70" s="12">
        <v>15</v>
      </c>
      <c r="D70" s="11" t="s">
        <v>327</v>
      </c>
      <c r="E70" s="11"/>
      <c r="F70" s="11"/>
      <c r="G70" s="11"/>
    </row>
    <row r="71" spans="1:7" ht="12.75" x14ac:dyDescent="0.2">
      <c r="A71" s="10" t="s">
        <v>11</v>
      </c>
      <c r="B71" s="11" t="s">
        <v>19</v>
      </c>
      <c r="C71" s="12">
        <v>15</v>
      </c>
      <c r="D71" s="11" t="s">
        <v>327</v>
      </c>
      <c r="E71" s="11"/>
      <c r="F71" s="11"/>
      <c r="G71" s="11"/>
    </row>
    <row r="72" spans="1:7" ht="12.75" x14ac:dyDescent="0.2">
      <c r="A72" s="10" t="s">
        <v>381</v>
      </c>
      <c r="B72" s="11" t="s">
        <v>382</v>
      </c>
      <c r="C72" s="12">
        <v>15</v>
      </c>
      <c r="D72" s="11" t="s">
        <v>327</v>
      </c>
      <c r="E72" s="11"/>
      <c r="F72" s="11"/>
      <c r="G72" s="11"/>
    </row>
    <row r="73" spans="1:7" ht="12.75" x14ac:dyDescent="0.2">
      <c r="A73" s="10" t="s">
        <v>383</v>
      </c>
      <c r="B73" s="11" t="s">
        <v>384</v>
      </c>
      <c r="C73" s="12">
        <v>15</v>
      </c>
      <c r="D73" s="11" t="s">
        <v>327</v>
      </c>
      <c r="E73" s="11"/>
      <c r="F73" s="11"/>
      <c r="G73" s="11"/>
    </row>
    <row r="74" spans="1:7" ht="12.75" x14ac:dyDescent="0.2">
      <c r="A74" s="10" t="s">
        <v>385</v>
      </c>
      <c r="B74" s="11" t="s">
        <v>386</v>
      </c>
      <c r="C74" s="12">
        <v>15</v>
      </c>
      <c r="D74" s="11" t="s">
        <v>327</v>
      </c>
      <c r="E74" s="11" t="s">
        <v>271</v>
      </c>
      <c r="F74" s="11" t="s">
        <v>271</v>
      </c>
      <c r="G74" s="11"/>
    </row>
    <row r="75" spans="1:7" ht="12.75" x14ac:dyDescent="0.2">
      <c r="A75" s="10" t="s">
        <v>387</v>
      </c>
      <c r="B75" s="11" t="s">
        <v>388</v>
      </c>
      <c r="C75" s="12">
        <v>15</v>
      </c>
      <c r="D75" s="11" t="s">
        <v>327</v>
      </c>
      <c r="E75" s="11" t="s">
        <v>271</v>
      </c>
      <c r="F75" s="11" t="s">
        <v>271</v>
      </c>
      <c r="G75" s="11"/>
    </row>
    <row r="76" spans="1:7" ht="12.75" x14ac:dyDescent="0.2">
      <c r="A76" s="10" t="s">
        <v>389</v>
      </c>
      <c r="B76" s="11" t="s">
        <v>390</v>
      </c>
      <c r="C76" s="12">
        <v>15</v>
      </c>
      <c r="D76" s="11" t="s">
        <v>327</v>
      </c>
      <c r="E76" s="11"/>
      <c r="F76" s="11"/>
      <c r="G76" s="11"/>
    </row>
    <row r="77" spans="1:7" ht="12.75" x14ac:dyDescent="0.2">
      <c r="A77" s="10" t="s">
        <v>391</v>
      </c>
      <c r="B77" s="11" t="s">
        <v>392</v>
      </c>
      <c r="C77" s="12">
        <v>30</v>
      </c>
      <c r="D77" s="11" t="s">
        <v>393</v>
      </c>
      <c r="E77" s="11"/>
      <c r="F77" s="11"/>
      <c r="G77" s="11"/>
    </row>
    <row r="78" spans="1:7" ht="12.75" x14ac:dyDescent="0.2">
      <c r="A78" s="10" t="s">
        <v>12</v>
      </c>
      <c r="B78" s="11" t="s">
        <v>213</v>
      </c>
      <c r="C78" s="12">
        <v>30</v>
      </c>
      <c r="D78" s="11" t="s">
        <v>393</v>
      </c>
      <c r="E78" s="11"/>
      <c r="F78" s="11"/>
      <c r="G78" s="11"/>
    </row>
    <row r="79" spans="1:7" ht="12.75" x14ac:dyDescent="0.2">
      <c r="A79" s="10" t="s">
        <v>13</v>
      </c>
      <c r="B79" s="11" t="s">
        <v>394</v>
      </c>
      <c r="C79" s="12">
        <v>30</v>
      </c>
      <c r="D79" s="11" t="s">
        <v>393</v>
      </c>
      <c r="E79" s="11" t="s">
        <v>271</v>
      </c>
      <c r="F79" s="11" t="s">
        <v>271</v>
      </c>
      <c r="G79" s="11"/>
    </row>
    <row r="80" spans="1:7" ht="12.75" x14ac:dyDescent="0.2">
      <c r="A80" s="10" t="s">
        <v>14</v>
      </c>
      <c r="B80" s="11" t="s">
        <v>209</v>
      </c>
      <c r="C80" s="12">
        <v>30</v>
      </c>
      <c r="D80" s="11" t="s">
        <v>393</v>
      </c>
      <c r="E80" s="11" t="s">
        <v>271</v>
      </c>
      <c r="F80" s="11" t="s">
        <v>271</v>
      </c>
      <c r="G80" s="11"/>
    </row>
    <row r="81" spans="1:7" ht="12.75" x14ac:dyDescent="0.2">
      <c r="A81" s="10" t="s">
        <v>395</v>
      </c>
      <c r="B81" s="11" t="s">
        <v>396</v>
      </c>
      <c r="C81" s="12">
        <v>30</v>
      </c>
      <c r="D81" s="11" t="s">
        <v>393</v>
      </c>
      <c r="E81" s="11" t="s">
        <v>271</v>
      </c>
      <c r="F81" s="11"/>
      <c r="G81" s="11"/>
    </row>
    <row r="82" spans="1:7" ht="12.75" x14ac:dyDescent="0.2">
      <c r="A82" s="10" t="s">
        <v>397</v>
      </c>
      <c r="B82" s="11" t="s">
        <v>398</v>
      </c>
      <c r="C82" s="12">
        <v>30</v>
      </c>
      <c r="D82" s="11" t="s">
        <v>393</v>
      </c>
      <c r="E82" s="11" t="s">
        <v>271</v>
      </c>
      <c r="F82" s="11"/>
      <c r="G82" s="11"/>
    </row>
    <row r="83" spans="1:7" ht="12.75" x14ac:dyDescent="0.2">
      <c r="A83" s="10" t="s">
        <v>399</v>
      </c>
      <c r="B83" s="11" t="s">
        <v>400</v>
      </c>
      <c r="C83" s="12">
        <v>30</v>
      </c>
      <c r="D83" s="11" t="s">
        <v>393</v>
      </c>
      <c r="E83" s="11"/>
      <c r="F83" s="11"/>
      <c r="G83" s="11"/>
    </row>
    <row r="84" spans="1:7" ht="12.75" x14ac:dyDescent="0.2">
      <c r="A84" s="10" t="s">
        <v>401</v>
      </c>
      <c r="B84" s="11" t="s">
        <v>402</v>
      </c>
      <c r="C84" s="12">
        <v>30</v>
      </c>
      <c r="D84" s="11" t="s">
        <v>393</v>
      </c>
      <c r="E84" s="11" t="s">
        <v>271</v>
      </c>
      <c r="F84" s="11"/>
      <c r="G84" s="11"/>
    </row>
    <row r="85" spans="1:7" ht="12.75" x14ac:dyDescent="0.2">
      <c r="A85" s="10" t="s">
        <v>403</v>
      </c>
      <c r="B85" s="11" t="s">
        <v>404</v>
      </c>
      <c r="C85" s="12">
        <v>30</v>
      </c>
      <c r="D85" s="11" t="s">
        <v>393</v>
      </c>
      <c r="E85" s="11" t="s">
        <v>271</v>
      </c>
      <c r="F85" s="11"/>
      <c r="G85" s="11"/>
    </row>
    <row r="86" spans="1:7" ht="12.75" x14ac:dyDescent="0.2">
      <c r="A86" s="10" t="s">
        <v>405</v>
      </c>
      <c r="B86" s="11" t="s">
        <v>406</v>
      </c>
      <c r="C86" s="12">
        <v>30</v>
      </c>
      <c r="D86" s="11" t="s">
        <v>393</v>
      </c>
      <c r="E86" s="11" t="s">
        <v>271</v>
      </c>
      <c r="F86" s="11"/>
      <c r="G86" s="11"/>
    </row>
    <row r="87" spans="1:7" ht="12.75" x14ac:dyDescent="0.2">
      <c r="A87" s="10" t="s">
        <v>407</v>
      </c>
      <c r="B87" s="11" t="s">
        <v>408</v>
      </c>
      <c r="C87" s="12">
        <v>30</v>
      </c>
      <c r="D87" s="11" t="s">
        <v>393</v>
      </c>
      <c r="E87" s="11" t="s">
        <v>271</v>
      </c>
      <c r="F87" s="11" t="s">
        <v>271</v>
      </c>
      <c r="G87" s="11"/>
    </row>
    <row r="88" spans="1:7" ht="12.75" x14ac:dyDescent="0.2">
      <c r="A88" s="10" t="s">
        <v>409</v>
      </c>
      <c r="B88" s="11" t="s">
        <v>410</v>
      </c>
      <c r="C88" s="12">
        <v>30</v>
      </c>
      <c r="D88" s="11" t="s">
        <v>393</v>
      </c>
      <c r="E88" s="11"/>
      <c r="F88" s="11"/>
      <c r="G88" s="11"/>
    </row>
    <row r="89" spans="1:7" ht="12.75" x14ac:dyDescent="0.2">
      <c r="A89" s="10" t="s">
        <v>411</v>
      </c>
      <c r="B89" s="11" t="s">
        <v>412</v>
      </c>
      <c r="C89" s="12">
        <v>30</v>
      </c>
      <c r="D89" s="11" t="s">
        <v>393</v>
      </c>
      <c r="E89" s="11"/>
      <c r="F89" s="11"/>
      <c r="G89" s="11"/>
    </row>
    <row r="90" spans="1:7" ht="12.75" x14ac:dyDescent="0.2">
      <c r="A90" s="10" t="s">
        <v>413</v>
      </c>
      <c r="B90" s="11" t="s">
        <v>414</v>
      </c>
      <c r="C90" s="12">
        <v>30</v>
      </c>
      <c r="D90" s="11" t="s">
        <v>393</v>
      </c>
      <c r="E90" s="11"/>
      <c r="F90" s="11"/>
      <c r="G90" s="11"/>
    </row>
    <row r="91" spans="1:7" ht="12.75" x14ac:dyDescent="0.2">
      <c r="A91" s="10" t="s">
        <v>415</v>
      </c>
      <c r="B91" s="11" t="s">
        <v>416</v>
      </c>
      <c r="C91" s="12">
        <v>30</v>
      </c>
      <c r="D91" s="11" t="s">
        <v>393</v>
      </c>
      <c r="E91" s="11"/>
      <c r="F91" s="11"/>
      <c r="G91" s="11"/>
    </row>
    <row r="92" spans="1:7" ht="12.75" x14ac:dyDescent="0.2">
      <c r="A92" s="10" t="s">
        <v>417</v>
      </c>
      <c r="B92" s="11" t="s">
        <v>418</v>
      </c>
      <c r="C92" s="12">
        <v>30</v>
      </c>
      <c r="D92" s="11" t="s">
        <v>393</v>
      </c>
      <c r="E92" s="11"/>
      <c r="F92" s="11"/>
      <c r="G92" s="11"/>
    </row>
    <row r="93" spans="1:7" ht="12.75" x14ac:dyDescent="0.2">
      <c r="A93" s="10" t="s">
        <v>165</v>
      </c>
      <c r="B93" s="11" t="s">
        <v>419</v>
      </c>
      <c r="C93" s="12">
        <v>30</v>
      </c>
      <c r="D93" s="11" t="s">
        <v>393</v>
      </c>
      <c r="E93" s="11"/>
      <c r="F93" s="11"/>
      <c r="G93" s="11"/>
    </row>
    <row r="94" spans="1:7" ht="12.75" x14ac:dyDescent="0.2">
      <c r="A94" s="10" t="s">
        <v>420</v>
      </c>
      <c r="B94" s="11" t="s">
        <v>421</v>
      </c>
      <c r="C94" s="12">
        <v>45</v>
      </c>
      <c r="D94" s="11" t="s">
        <v>422</v>
      </c>
      <c r="E94" s="11"/>
      <c r="F94" s="11"/>
      <c r="G94" s="11"/>
    </row>
    <row r="95" spans="1:7" ht="12.75" x14ac:dyDescent="0.2">
      <c r="A95" s="10" t="s">
        <v>423</v>
      </c>
      <c r="B95" s="11" t="s">
        <v>424</v>
      </c>
      <c r="C95" s="12">
        <v>45</v>
      </c>
      <c r="D95" s="11" t="s">
        <v>422</v>
      </c>
      <c r="E95" s="11" t="s">
        <v>271</v>
      </c>
      <c r="F95" s="11" t="s">
        <v>271</v>
      </c>
      <c r="G95" s="11"/>
    </row>
    <row r="96" spans="1:7" ht="12.75" x14ac:dyDescent="0.2">
      <c r="A96" s="10" t="s">
        <v>425</v>
      </c>
      <c r="B96" s="11" t="s">
        <v>426</v>
      </c>
      <c r="C96" s="12">
        <v>45</v>
      </c>
      <c r="D96" s="11" t="s">
        <v>422</v>
      </c>
      <c r="E96" s="11"/>
      <c r="F96" s="11"/>
      <c r="G96" s="11"/>
    </row>
    <row r="97" spans="1:7" ht="12.75" x14ac:dyDescent="0.2">
      <c r="A97" s="10" t="s">
        <v>427</v>
      </c>
      <c r="B97" s="11" t="s">
        <v>428</v>
      </c>
      <c r="C97" s="12">
        <v>45</v>
      </c>
      <c r="D97" s="11" t="s">
        <v>422</v>
      </c>
      <c r="E97" s="11"/>
      <c r="F97" s="11"/>
      <c r="G97" s="11"/>
    </row>
    <row r="98" spans="1:7" ht="12.75" x14ac:dyDescent="0.2">
      <c r="A98" s="10" t="s">
        <v>429</v>
      </c>
      <c r="B98" s="11" t="s">
        <v>430</v>
      </c>
      <c r="C98" s="12">
        <v>1</v>
      </c>
      <c r="D98" s="11" t="s">
        <v>431</v>
      </c>
      <c r="E98" s="11" t="s">
        <v>271</v>
      </c>
      <c r="F98" s="11" t="s">
        <v>271</v>
      </c>
      <c r="G98" s="11" t="s">
        <v>271</v>
      </c>
    </row>
    <row r="99" spans="1:7" ht="12.75" x14ac:dyDescent="0.2">
      <c r="A99" s="10" t="s">
        <v>432</v>
      </c>
      <c r="B99" s="11" t="s">
        <v>433</v>
      </c>
      <c r="C99" s="12">
        <v>1</v>
      </c>
      <c r="D99" s="11" t="s">
        <v>431</v>
      </c>
      <c r="E99" s="11"/>
      <c r="F99" s="11"/>
      <c r="G99" s="11"/>
    </row>
    <row r="100" spans="1:7" ht="12.75" x14ac:dyDescent="0.2">
      <c r="A100" s="10" t="s">
        <v>434</v>
      </c>
      <c r="B100" s="11" t="s">
        <v>435</v>
      </c>
      <c r="C100" s="12">
        <v>1</v>
      </c>
      <c r="D100" s="11" t="s">
        <v>431</v>
      </c>
      <c r="E100" s="11"/>
      <c r="F100" s="11"/>
      <c r="G100" s="11"/>
    </row>
    <row r="101" spans="1:7" ht="12.75" x14ac:dyDescent="0.2">
      <c r="A101" s="10"/>
      <c r="B101" s="11" t="s">
        <v>436</v>
      </c>
      <c r="C101" s="12"/>
      <c r="D101" s="11"/>
      <c r="E101" s="11"/>
      <c r="F101" s="11"/>
      <c r="G101" s="11"/>
    </row>
    <row r="102" spans="1:7" ht="12.75" x14ac:dyDescent="0.2">
      <c r="A102" s="10" t="s">
        <v>437</v>
      </c>
      <c r="B102" s="11" t="s">
        <v>438</v>
      </c>
      <c r="C102" s="12">
        <v>1</v>
      </c>
      <c r="D102" s="11" t="s">
        <v>439</v>
      </c>
      <c r="E102" s="11"/>
      <c r="F102" s="11"/>
      <c r="G102" s="11"/>
    </row>
    <row r="103" spans="1:7" ht="12.75" x14ac:dyDescent="0.2">
      <c r="A103" s="10" t="s">
        <v>440</v>
      </c>
      <c r="B103" s="11" t="s">
        <v>441</v>
      </c>
      <c r="C103" s="12">
        <v>1</v>
      </c>
      <c r="D103" s="11" t="s">
        <v>439</v>
      </c>
      <c r="E103" s="11"/>
      <c r="F103" s="11"/>
      <c r="G103" s="11"/>
    </row>
    <row r="104" spans="1:7" ht="12.75" x14ac:dyDescent="0.2">
      <c r="A104" s="10" t="s">
        <v>442</v>
      </c>
      <c r="B104" s="11" t="s">
        <v>443</v>
      </c>
      <c r="C104" s="12">
        <v>1</v>
      </c>
      <c r="D104" s="11" t="s">
        <v>439</v>
      </c>
      <c r="E104" s="11"/>
      <c r="F104" s="11"/>
      <c r="G104" s="11"/>
    </row>
    <row r="105" spans="1:7" ht="12.75" x14ac:dyDescent="0.2">
      <c r="A105" s="10"/>
      <c r="B105" s="11"/>
      <c r="C105" s="12"/>
      <c r="D105" s="11"/>
      <c r="E105" s="11"/>
      <c r="F105" s="11"/>
      <c r="G105" s="11"/>
    </row>
    <row r="106" spans="1:7" ht="12.75" x14ac:dyDescent="0.2">
      <c r="A106" s="10" t="s">
        <v>444</v>
      </c>
      <c r="B106" s="11" t="s">
        <v>445</v>
      </c>
      <c r="C106" s="12">
        <v>1</v>
      </c>
      <c r="D106" s="11" t="s">
        <v>439</v>
      </c>
      <c r="E106" s="11"/>
      <c r="F106" s="11"/>
      <c r="G106" s="11"/>
    </row>
    <row r="107" spans="1:7" ht="12.75" x14ac:dyDescent="0.2">
      <c r="A107" s="10" t="s">
        <v>446</v>
      </c>
      <c r="B107" s="11" t="s">
        <v>447</v>
      </c>
      <c r="C107" s="12">
        <v>1</v>
      </c>
      <c r="D107" s="11" t="s">
        <v>439</v>
      </c>
      <c r="E107" s="11"/>
      <c r="F107" s="11"/>
      <c r="G107" s="11"/>
    </row>
    <row r="108" spans="1:7" ht="12.75" x14ac:dyDescent="0.2">
      <c r="A108" s="10" t="s">
        <v>448</v>
      </c>
      <c r="B108" s="11" t="s">
        <v>449</v>
      </c>
      <c r="C108" s="12">
        <v>1</v>
      </c>
      <c r="D108" s="11" t="s">
        <v>439</v>
      </c>
      <c r="E108" s="11"/>
      <c r="F108" s="11"/>
      <c r="G108" s="11"/>
    </row>
    <row r="109" spans="1:7" ht="12.75" x14ac:dyDescent="0.2">
      <c r="A109" s="10"/>
      <c r="B109" s="11"/>
      <c r="C109" s="12"/>
      <c r="D109" s="11"/>
      <c r="E109" s="11"/>
      <c r="F109" s="11"/>
      <c r="G109" s="11"/>
    </row>
    <row r="110" spans="1:7" ht="12.75" x14ac:dyDescent="0.2">
      <c r="A110" s="10" t="s">
        <v>450</v>
      </c>
      <c r="B110" s="11" t="s">
        <v>451</v>
      </c>
      <c r="C110" s="12">
        <v>1</v>
      </c>
      <c r="D110" s="11" t="s">
        <v>439</v>
      </c>
      <c r="E110" s="11"/>
      <c r="F110" s="11"/>
      <c r="G110" s="11"/>
    </row>
    <row r="111" spans="1:7" ht="12.75" x14ac:dyDescent="0.2">
      <c r="A111" s="10" t="s">
        <v>452</v>
      </c>
      <c r="B111" s="11" t="s">
        <v>453</v>
      </c>
      <c r="C111" s="12">
        <v>1</v>
      </c>
      <c r="D111" s="11" t="s">
        <v>439</v>
      </c>
      <c r="E111" s="11"/>
      <c r="F111" s="11"/>
      <c r="G111" s="11"/>
    </row>
    <row r="112" spans="1:7" ht="12.75" x14ac:dyDescent="0.2">
      <c r="A112" s="10"/>
      <c r="B112" s="11" t="s">
        <v>454</v>
      </c>
      <c r="C112" s="12"/>
      <c r="D112" s="11"/>
      <c r="E112" s="11"/>
      <c r="F112" s="11"/>
      <c r="G112" s="11"/>
    </row>
    <row r="113" spans="1:7" ht="12.75" x14ac:dyDescent="0.2">
      <c r="A113" s="10" t="s">
        <v>455</v>
      </c>
      <c r="B113" s="11" t="s">
        <v>456</v>
      </c>
      <c r="C113" s="12">
        <v>1</v>
      </c>
      <c r="D113" s="11" t="s">
        <v>439</v>
      </c>
      <c r="E113" s="11"/>
      <c r="F113" s="11"/>
      <c r="G113" s="11"/>
    </row>
    <row r="114" spans="1:7" ht="12.75" x14ac:dyDescent="0.2">
      <c r="A114" s="10" t="s">
        <v>457</v>
      </c>
      <c r="B114" s="11" t="s">
        <v>458</v>
      </c>
      <c r="C114" s="12" t="s">
        <v>459</v>
      </c>
      <c r="D114" s="11" t="s">
        <v>460</v>
      </c>
      <c r="E114" s="11"/>
      <c r="F114" s="11"/>
      <c r="G114" s="11"/>
    </row>
    <row r="115" spans="1:7" ht="12.75" x14ac:dyDescent="0.2">
      <c r="A115" s="10" t="s">
        <v>461</v>
      </c>
      <c r="B115" s="11" t="s">
        <v>462</v>
      </c>
      <c r="C115" s="12" t="s">
        <v>459</v>
      </c>
      <c r="D115" s="11" t="s">
        <v>460</v>
      </c>
      <c r="E115" s="11"/>
      <c r="F115" s="11"/>
      <c r="G115" s="11"/>
    </row>
    <row r="116" spans="1:7" ht="12.75" x14ac:dyDescent="0.2">
      <c r="A116" s="10" t="s">
        <v>463</v>
      </c>
      <c r="B116" s="11" t="s">
        <v>464</v>
      </c>
      <c r="C116" s="12" t="s">
        <v>465</v>
      </c>
      <c r="D116" s="11" t="s">
        <v>460</v>
      </c>
      <c r="E116" s="11"/>
      <c r="F116" s="11"/>
      <c r="G116" s="11"/>
    </row>
    <row r="117" spans="1:7" ht="12.75" x14ac:dyDescent="0.2">
      <c r="A117" s="10" t="s">
        <v>466</v>
      </c>
      <c r="B117" s="11" t="s">
        <v>467</v>
      </c>
      <c r="C117" s="12" t="s">
        <v>465</v>
      </c>
      <c r="D117" s="11" t="s">
        <v>460</v>
      </c>
      <c r="E117" s="11"/>
      <c r="F117" s="11"/>
      <c r="G117" s="11"/>
    </row>
    <row r="118" spans="1:7" ht="12.75" x14ac:dyDescent="0.2">
      <c r="A118" s="10" t="s">
        <v>468</v>
      </c>
      <c r="B118" s="11" t="s">
        <v>469</v>
      </c>
      <c r="C118" s="12" t="s">
        <v>465</v>
      </c>
      <c r="D118" s="11" t="s">
        <v>460</v>
      </c>
      <c r="E118" s="11"/>
      <c r="F118" s="11"/>
      <c r="G118" s="11"/>
    </row>
    <row r="119" spans="1:7" ht="12.75" x14ac:dyDescent="0.2">
      <c r="A119" s="10" t="s">
        <v>470</v>
      </c>
      <c r="B119" s="11" t="s">
        <v>471</v>
      </c>
      <c r="C119" s="12" t="s">
        <v>465</v>
      </c>
      <c r="D119" s="11" t="s">
        <v>460</v>
      </c>
      <c r="E119" s="11"/>
      <c r="F119" s="11"/>
      <c r="G119" s="11"/>
    </row>
    <row r="120" spans="1:7" ht="12.75" x14ac:dyDescent="0.2">
      <c r="A120" s="10" t="s">
        <v>472</v>
      </c>
      <c r="B120" s="11" t="s">
        <v>473</v>
      </c>
      <c r="C120" s="12" t="s">
        <v>465</v>
      </c>
      <c r="D120" s="11" t="s">
        <v>460</v>
      </c>
      <c r="E120" s="11"/>
      <c r="F120" s="11"/>
      <c r="G120" s="11"/>
    </row>
    <row r="121" spans="1:7" ht="12.75" x14ac:dyDescent="0.2">
      <c r="A121" s="10" t="s">
        <v>474</v>
      </c>
      <c r="B121" s="11" t="s">
        <v>475</v>
      </c>
      <c r="C121" s="12" t="s">
        <v>465</v>
      </c>
      <c r="D121" s="11" t="s">
        <v>460</v>
      </c>
      <c r="E121" s="11"/>
      <c r="F121" s="11"/>
      <c r="G121" s="11"/>
    </row>
    <row r="122" spans="1:7" ht="12.75" x14ac:dyDescent="0.2">
      <c r="A122" s="10" t="s">
        <v>476</v>
      </c>
      <c r="B122" s="11" t="s">
        <v>477</v>
      </c>
      <c r="C122" s="12" t="s">
        <v>465</v>
      </c>
      <c r="D122" s="11" t="s">
        <v>460</v>
      </c>
      <c r="E122" s="11"/>
      <c r="F122" s="11"/>
      <c r="G122" s="11"/>
    </row>
    <row r="123" spans="1:7" ht="12.75" x14ac:dyDescent="0.2">
      <c r="A123" s="10" t="s">
        <v>478</v>
      </c>
      <c r="B123" s="11" t="s">
        <v>479</v>
      </c>
      <c r="C123" s="12" t="s">
        <v>465</v>
      </c>
      <c r="D123" s="11" t="s">
        <v>460</v>
      </c>
      <c r="E123" s="11"/>
      <c r="F123" s="11"/>
      <c r="G123" s="11"/>
    </row>
    <row r="124" spans="1:7" ht="12.75" x14ac:dyDescent="0.2">
      <c r="A124" s="10" t="s">
        <v>480</v>
      </c>
      <c r="B124" s="11" t="s">
        <v>481</v>
      </c>
      <c r="C124" s="12" t="s">
        <v>465</v>
      </c>
      <c r="D124" s="11" t="s">
        <v>460</v>
      </c>
      <c r="E124" s="11"/>
      <c r="F124" s="11"/>
      <c r="G124" s="11"/>
    </row>
    <row r="125" spans="1:7" ht="12.75" x14ac:dyDescent="0.2">
      <c r="A125" s="10" t="s">
        <v>482</v>
      </c>
      <c r="B125" s="11" t="s">
        <v>483</v>
      </c>
      <c r="C125" s="12" t="s">
        <v>465</v>
      </c>
      <c r="D125" s="11" t="s">
        <v>460</v>
      </c>
      <c r="E125" s="11"/>
      <c r="F125" s="11"/>
      <c r="G125" s="11"/>
    </row>
    <row r="126" spans="1:7" ht="12.75" x14ac:dyDescent="0.2">
      <c r="A126" s="10" t="s">
        <v>484</v>
      </c>
      <c r="B126" s="11" t="s">
        <v>485</v>
      </c>
      <c r="C126" s="12" t="s">
        <v>465</v>
      </c>
      <c r="D126" s="11" t="s">
        <v>460</v>
      </c>
      <c r="E126" s="11"/>
      <c r="F126" s="11"/>
      <c r="G126" s="11"/>
    </row>
    <row r="127" spans="1:7" ht="12.75" x14ac:dyDescent="0.2">
      <c r="A127" s="10" t="s">
        <v>486</v>
      </c>
      <c r="B127" s="11" t="s">
        <v>487</v>
      </c>
      <c r="C127" s="12" t="s">
        <v>465</v>
      </c>
      <c r="D127" s="11" t="s">
        <v>460</v>
      </c>
      <c r="E127" s="11"/>
      <c r="F127" s="11"/>
      <c r="G127" s="11"/>
    </row>
    <row r="128" spans="1:7" ht="12.75" x14ac:dyDescent="0.2">
      <c r="A128" s="10" t="s">
        <v>15</v>
      </c>
      <c r="B128" s="11" t="s">
        <v>488</v>
      </c>
      <c r="C128" s="12" t="s">
        <v>465</v>
      </c>
      <c r="D128" s="11" t="s">
        <v>460</v>
      </c>
      <c r="E128" s="11"/>
      <c r="F128" s="11"/>
      <c r="G128" s="11"/>
    </row>
    <row r="129" spans="1:7" ht="12.75" x14ac:dyDescent="0.2">
      <c r="A129" s="10" t="s">
        <v>489</v>
      </c>
      <c r="B129" s="11" t="s">
        <v>490</v>
      </c>
      <c r="C129" s="12">
        <v>10</v>
      </c>
      <c r="D129" s="11" t="s">
        <v>491</v>
      </c>
      <c r="E129" s="11"/>
      <c r="F129" s="11"/>
      <c r="G129" s="11"/>
    </row>
    <row r="130" spans="1:7" ht="12.75" x14ac:dyDescent="0.2">
      <c r="A130" s="10" t="s">
        <v>492</v>
      </c>
      <c r="B130" s="11" t="s">
        <v>493</v>
      </c>
      <c r="C130" s="12">
        <v>100</v>
      </c>
      <c r="D130" s="11" t="s">
        <v>494</v>
      </c>
      <c r="E130" s="11"/>
      <c r="F130" s="11"/>
      <c r="G130" s="11"/>
    </row>
    <row r="131" spans="1:7" ht="12.75" x14ac:dyDescent="0.2">
      <c r="A131" s="10" t="s">
        <v>495</v>
      </c>
      <c r="B131" s="11" t="s">
        <v>496</v>
      </c>
      <c r="C131" s="12">
        <v>90</v>
      </c>
      <c r="D131" s="11" t="s">
        <v>497</v>
      </c>
      <c r="E131" s="11"/>
      <c r="F131" s="11"/>
      <c r="G131" s="11"/>
    </row>
    <row r="132" spans="1:7" ht="12.75" x14ac:dyDescent="0.2">
      <c r="A132" s="10" t="s">
        <v>498</v>
      </c>
      <c r="B132" s="11" t="s">
        <v>499</v>
      </c>
      <c r="C132" s="12">
        <v>600</v>
      </c>
      <c r="D132" s="11" t="s">
        <v>500</v>
      </c>
      <c r="E132" s="11"/>
      <c r="F132" s="11"/>
      <c r="G132" s="11"/>
    </row>
    <row r="133" spans="1:7" ht="12.75" x14ac:dyDescent="0.2">
      <c r="A133" s="10" t="s">
        <v>501</v>
      </c>
      <c r="B133" s="11" t="s">
        <v>502</v>
      </c>
      <c r="C133" s="12">
        <v>1000</v>
      </c>
      <c r="D133" s="11" t="s">
        <v>503</v>
      </c>
      <c r="E133" s="11"/>
      <c r="F133" s="11"/>
      <c r="G133" s="11"/>
    </row>
    <row r="134" spans="1:7" ht="12.75" x14ac:dyDescent="0.2">
      <c r="A134" s="10" t="s">
        <v>504</v>
      </c>
      <c r="B134" s="11" t="s">
        <v>505</v>
      </c>
      <c r="C134" s="12">
        <v>100</v>
      </c>
      <c r="D134" s="11" t="s">
        <v>494</v>
      </c>
      <c r="E134" s="11"/>
      <c r="F134" s="11"/>
      <c r="G134" s="11"/>
    </row>
    <row r="135" spans="1:7" ht="12.75" x14ac:dyDescent="0.2">
      <c r="A135" s="10" t="s">
        <v>506</v>
      </c>
      <c r="B135" s="11" t="s">
        <v>507</v>
      </c>
      <c r="C135" s="12">
        <v>1500</v>
      </c>
      <c r="D135" s="11" t="s">
        <v>508</v>
      </c>
      <c r="E135" s="11"/>
      <c r="F135" s="11"/>
      <c r="G135" s="11"/>
    </row>
    <row r="136" spans="1:7" ht="12.75" x14ac:dyDescent="0.2">
      <c r="A136" s="10"/>
      <c r="B136" s="11" t="s">
        <v>509</v>
      </c>
      <c r="C136" s="12"/>
      <c r="D136" s="11"/>
      <c r="E136" s="11"/>
      <c r="F136" s="11"/>
      <c r="G136" s="11"/>
    </row>
    <row r="137" spans="1:7" ht="12.75" x14ac:dyDescent="0.2">
      <c r="A137" s="10" t="s">
        <v>510</v>
      </c>
      <c r="B137" s="11" t="s">
        <v>511</v>
      </c>
      <c r="C137" s="12">
        <v>600</v>
      </c>
      <c r="D137" s="11" t="s">
        <v>500</v>
      </c>
      <c r="E137" s="11"/>
      <c r="F137" s="11"/>
      <c r="G137" s="11"/>
    </row>
    <row r="138" spans="1:7" ht="12.75" x14ac:dyDescent="0.2">
      <c r="A138" s="10">
        <v>300</v>
      </c>
      <c r="B138" s="11" t="s">
        <v>512</v>
      </c>
      <c r="C138" s="12"/>
      <c r="D138" s="11"/>
      <c r="E138" s="11"/>
      <c r="F138" s="11"/>
      <c r="G138" s="11"/>
    </row>
    <row r="139" spans="1:7" ht="12.75" x14ac:dyDescent="0.2">
      <c r="A139" s="13"/>
      <c r="B139" s="13"/>
      <c r="C139" s="13"/>
      <c r="D139" s="13"/>
    </row>
    <row r="140" spans="1:7" ht="12.75" x14ac:dyDescent="0.2">
      <c r="A140" s="13"/>
      <c r="B140" s="13"/>
      <c r="C140" s="13"/>
      <c r="D140" s="13"/>
    </row>
    <row r="141" spans="1:7" ht="12.75" x14ac:dyDescent="0.2">
      <c r="A141" s="13"/>
      <c r="B141" s="13"/>
      <c r="C141" s="13"/>
      <c r="D141" s="13"/>
    </row>
    <row r="142" spans="1:7" ht="12.75" x14ac:dyDescent="0.2">
      <c r="A142" s="13"/>
      <c r="B142" s="13"/>
      <c r="C142" s="13"/>
      <c r="D142" s="13"/>
    </row>
    <row r="143" spans="1:7" ht="12.75" x14ac:dyDescent="0.2">
      <c r="A143" s="13"/>
      <c r="B143" s="13"/>
      <c r="C143" s="13"/>
      <c r="D143" s="13"/>
    </row>
    <row r="144" spans="1:7" ht="12.75" x14ac:dyDescent="0.2">
      <c r="A144" s="13"/>
      <c r="B144" s="13"/>
      <c r="C144" s="13"/>
      <c r="D144" s="13"/>
    </row>
    <row r="145" spans="1:4" ht="12.75" x14ac:dyDescent="0.2">
      <c r="A145" s="14"/>
      <c r="B145" s="14"/>
      <c r="C145" s="14"/>
      <c r="D145" s="14"/>
    </row>
    <row r="146" spans="1:4" ht="12.75" x14ac:dyDescent="0.2">
      <c r="A146" s="13"/>
      <c r="B146" s="13"/>
      <c r="C146" s="13"/>
      <c r="D146" s="13"/>
    </row>
    <row r="147" spans="1:4" ht="12.75" x14ac:dyDescent="0.2">
      <c r="A147" s="13"/>
      <c r="B147" s="13"/>
      <c r="C147" s="13"/>
      <c r="D14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12"/>
  <sheetViews>
    <sheetView zoomScaleNormal="100" workbookViewId="0">
      <pane ySplit="1" topLeftCell="A27" activePane="bottomLeft" state="frozen"/>
      <selection pane="bottomLeft" activeCell="E9" sqref="E9"/>
    </sheetView>
  </sheetViews>
  <sheetFormatPr baseColWidth="10" defaultColWidth="12.5703125" defaultRowHeight="15.75" customHeight="1" x14ac:dyDescent="0.2"/>
  <cols>
    <col min="1" max="1" width="13.5703125" style="66" customWidth="1"/>
    <col min="2" max="2" width="38.28515625" style="66" customWidth="1"/>
    <col min="3" max="3" width="30.7109375" style="66" customWidth="1"/>
    <col min="4" max="4" width="18.7109375" style="66" customWidth="1"/>
    <col min="5" max="5" width="20.140625" style="66" bestFit="1" customWidth="1"/>
    <col min="6" max="6" width="14.85546875" style="167" bestFit="1" customWidth="1"/>
    <col min="7" max="7" width="30.7109375" style="168" customWidth="1"/>
    <col min="8" max="8" width="13.7109375" style="169" customWidth="1"/>
    <col min="9" max="9" width="113.7109375" style="166" customWidth="1"/>
    <col min="10" max="10" width="17.5703125" style="170" bestFit="1" customWidth="1"/>
    <col min="11" max="11" width="19.5703125" style="66" customWidth="1"/>
    <col min="12" max="12" width="22" style="66" customWidth="1"/>
    <col min="13" max="13" width="36.85546875" style="66" bestFit="1" customWidth="1"/>
    <col min="14" max="14" width="7" style="66" bestFit="1" customWidth="1"/>
    <col min="15" max="15" width="9.140625" style="66" bestFit="1" customWidth="1"/>
    <col min="16" max="16" width="16.5703125" style="66" bestFit="1" customWidth="1"/>
    <col min="17" max="17" width="16.5703125" style="66" customWidth="1"/>
    <col min="18" max="18" width="18.85546875" style="66" bestFit="1" customWidth="1"/>
    <col min="19" max="19" width="28.140625" style="66" bestFit="1" customWidth="1"/>
    <col min="20" max="20" width="21.42578125" style="66" bestFit="1" customWidth="1"/>
    <col min="21" max="21" width="74.28515625" style="66" bestFit="1" customWidth="1"/>
    <col min="22" max="22" width="19.5703125" style="66" customWidth="1"/>
    <col min="23" max="16384" width="12.5703125" style="66"/>
  </cols>
  <sheetData>
    <row r="1" spans="1:25" s="75" customFormat="1" ht="36" customHeight="1" x14ac:dyDescent="0.2">
      <c r="A1" s="71" t="s">
        <v>2</v>
      </c>
      <c r="B1" s="71" t="s">
        <v>63</v>
      </c>
      <c r="C1" s="71" t="s">
        <v>20</v>
      </c>
      <c r="D1" s="71" t="s">
        <v>64</v>
      </c>
      <c r="E1" s="71" t="s">
        <v>65</v>
      </c>
      <c r="F1" s="72" t="s">
        <v>66</v>
      </c>
      <c r="G1" s="71" t="s">
        <v>67</v>
      </c>
      <c r="H1" s="71" t="s">
        <v>68</v>
      </c>
      <c r="I1" s="71" t="s">
        <v>70</v>
      </c>
      <c r="J1" s="71" t="s">
        <v>71</v>
      </c>
      <c r="K1" s="73" t="s">
        <v>72</v>
      </c>
      <c r="L1" s="71" t="s">
        <v>73</v>
      </c>
      <c r="M1" s="71" t="s">
        <v>74</v>
      </c>
      <c r="N1" s="71" t="s">
        <v>1</v>
      </c>
      <c r="O1" s="71" t="s">
        <v>0</v>
      </c>
      <c r="P1" s="71" t="s">
        <v>75</v>
      </c>
      <c r="Q1" s="70" t="s">
        <v>234</v>
      </c>
      <c r="R1" s="70" t="s">
        <v>513</v>
      </c>
      <c r="S1" s="70" t="s">
        <v>514</v>
      </c>
      <c r="T1" s="70" t="s">
        <v>78</v>
      </c>
      <c r="U1" s="70" t="s">
        <v>81</v>
      </c>
      <c r="V1" s="74"/>
      <c r="W1" s="74"/>
      <c r="X1" s="74"/>
      <c r="Y1" s="74"/>
    </row>
    <row r="2" spans="1:25" ht="12.75" x14ac:dyDescent="0.2">
      <c r="A2" s="16">
        <v>98534209</v>
      </c>
      <c r="B2" s="9" t="s">
        <v>515</v>
      </c>
      <c r="C2" s="9" t="s">
        <v>516</v>
      </c>
      <c r="D2" s="9" t="s">
        <v>82</v>
      </c>
      <c r="E2" s="9" t="s">
        <v>83</v>
      </c>
      <c r="F2" s="18">
        <v>42761</v>
      </c>
      <c r="G2" s="24" t="s">
        <v>517</v>
      </c>
      <c r="H2" s="26" t="s">
        <v>15</v>
      </c>
      <c r="I2" s="49" t="str">
        <f>VLOOKUP(H2,VALIDACIONES!$A$2:$B$138,2,0)</f>
        <v>Las demas conductas que constituyan infraccion a las normas de transito y que no se encuentren descritas en este acto administrativo.</v>
      </c>
      <c r="J2" s="16">
        <v>0</v>
      </c>
      <c r="K2" s="9" t="s">
        <v>114</v>
      </c>
      <c r="L2" s="55"/>
      <c r="M2" s="56" t="s">
        <v>240</v>
      </c>
      <c r="N2" s="16">
        <f t="shared" ref="N2:N63" si="0">MONTH(F2)</f>
        <v>1</v>
      </c>
      <c r="O2" s="16">
        <f t="shared" ref="O2:O256" si="1">YEAR(F2)</f>
        <v>2017</v>
      </c>
      <c r="P2" s="34"/>
      <c r="Q2" s="34"/>
      <c r="R2" s="34"/>
      <c r="S2" s="34"/>
      <c r="T2" s="34"/>
      <c r="U2" s="17"/>
      <c r="V2" s="23"/>
      <c r="W2" s="15"/>
      <c r="X2" s="15"/>
      <c r="Y2" s="15"/>
    </row>
    <row r="3" spans="1:25" ht="25.5" x14ac:dyDescent="0.2">
      <c r="A3" s="16">
        <v>10142350</v>
      </c>
      <c r="B3" s="9" t="s">
        <v>518</v>
      </c>
      <c r="C3" s="9" t="s">
        <v>519</v>
      </c>
      <c r="D3" s="9" t="s">
        <v>82</v>
      </c>
      <c r="E3" s="9" t="s">
        <v>262</v>
      </c>
      <c r="F3" s="18">
        <v>42738</v>
      </c>
      <c r="G3" s="24" t="s">
        <v>520</v>
      </c>
      <c r="H3" s="26" t="s">
        <v>10</v>
      </c>
      <c r="I3" s="49" t="str">
        <f>VLOOKUP(H3,VALIDACIONES!$A$2:$B$138,2,0)</f>
        <v>Conducir un vehículo a velocidad superior a la máxima permitida, la cual deberá estar señalizada en forma sectorizada, no obstante esta no podrá ser superior a (verlistado)</v>
      </c>
      <c r="J3" s="16">
        <v>368858</v>
      </c>
      <c r="K3" s="9" t="s">
        <v>114</v>
      </c>
      <c r="L3" s="55"/>
      <c r="M3" s="56" t="s">
        <v>240</v>
      </c>
      <c r="N3" s="16">
        <f t="shared" si="0"/>
        <v>1</v>
      </c>
      <c r="O3" s="16">
        <f t="shared" si="1"/>
        <v>2017</v>
      </c>
      <c r="P3" s="34"/>
      <c r="Q3" s="34"/>
      <c r="R3" s="34"/>
      <c r="S3" s="34"/>
      <c r="T3" s="34"/>
      <c r="U3" s="17"/>
      <c r="V3" s="23"/>
      <c r="W3" s="15"/>
      <c r="X3" s="15"/>
      <c r="Y3" s="15"/>
    </row>
    <row r="4" spans="1:25" ht="12.75" x14ac:dyDescent="0.2">
      <c r="A4" s="16">
        <v>71607384</v>
      </c>
      <c r="B4" s="9" t="s">
        <v>521</v>
      </c>
      <c r="C4" s="9" t="s">
        <v>522</v>
      </c>
      <c r="D4" s="9" t="s">
        <v>82</v>
      </c>
      <c r="E4" s="9" t="s">
        <v>83</v>
      </c>
      <c r="F4" s="18">
        <v>42752</v>
      </c>
      <c r="G4" s="24" t="s">
        <v>523</v>
      </c>
      <c r="H4" s="26" t="s">
        <v>276</v>
      </c>
      <c r="I4" s="49" t="str">
        <f>VLOOKUP(H4,VALIDACIONES!$A$2:$B$138,2,0)</f>
        <v>Conducir un vehículo sin llevar consigo la licencia de conducción.</v>
      </c>
      <c r="J4" s="16">
        <v>98364</v>
      </c>
      <c r="K4" s="9" t="s">
        <v>114</v>
      </c>
      <c r="L4" s="55"/>
      <c r="M4" s="56" t="s">
        <v>117</v>
      </c>
      <c r="N4" s="16">
        <f t="shared" si="0"/>
        <v>1</v>
      </c>
      <c r="O4" s="16">
        <f t="shared" si="1"/>
        <v>2017</v>
      </c>
      <c r="P4" s="34"/>
      <c r="Q4" s="34"/>
      <c r="R4" s="34"/>
      <c r="S4" s="34"/>
      <c r="T4" s="34"/>
      <c r="U4" s="17"/>
      <c r="V4" s="23"/>
      <c r="W4" s="15"/>
      <c r="X4" s="15"/>
      <c r="Y4" s="15"/>
    </row>
    <row r="5" spans="1:25" ht="25.5" x14ac:dyDescent="0.2">
      <c r="A5" s="16">
        <v>15481162</v>
      </c>
      <c r="B5" s="9" t="s">
        <v>524</v>
      </c>
      <c r="C5" s="9" t="s">
        <v>25</v>
      </c>
      <c r="D5" s="9" t="s">
        <v>25</v>
      </c>
      <c r="E5" s="9" t="s">
        <v>83</v>
      </c>
      <c r="F5" s="18">
        <v>42790</v>
      </c>
      <c r="G5" s="24" t="s">
        <v>525</v>
      </c>
      <c r="H5" s="26" t="s">
        <v>315</v>
      </c>
      <c r="I5" s="49" t="str">
        <f>VLOOKUP(H5,VALIDACIONES!$A$2:$B$138,2,0)</f>
        <v>Realizarelcargueodescarguedeunvehículoensitiosyhorasprohibidasporlasautoridadescompetentes,deacuerdoconloestablecidoenlasnormascorrespondientes.</v>
      </c>
      <c r="J5" s="16">
        <v>196728</v>
      </c>
      <c r="K5" s="9" t="s">
        <v>86</v>
      </c>
      <c r="L5" s="55"/>
      <c r="M5" s="55"/>
      <c r="N5" s="16">
        <f t="shared" si="0"/>
        <v>2</v>
      </c>
      <c r="O5" s="16">
        <f t="shared" si="1"/>
        <v>2017</v>
      </c>
      <c r="P5" s="34"/>
      <c r="Q5" s="34"/>
      <c r="R5" s="34"/>
      <c r="S5" s="34"/>
      <c r="T5" s="34"/>
      <c r="U5" s="17"/>
      <c r="V5" s="23"/>
      <c r="W5" s="15"/>
      <c r="X5" s="15"/>
      <c r="Y5" s="15"/>
    </row>
    <row r="6" spans="1:25" ht="25.5" x14ac:dyDescent="0.2">
      <c r="A6" s="16">
        <v>18502611</v>
      </c>
      <c r="B6" s="9" t="s">
        <v>526</v>
      </c>
      <c r="C6" s="9" t="s">
        <v>519</v>
      </c>
      <c r="D6" s="9" t="s">
        <v>82</v>
      </c>
      <c r="E6" s="9" t="s">
        <v>262</v>
      </c>
      <c r="F6" s="18">
        <v>42772</v>
      </c>
      <c r="G6" s="24" t="s">
        <v>527</v>
      </c>
      <c r="H6" s="26" t="s">
        <v>385</v>
      </c>
      <c r="I6" s="49" t="str">
        <f>VLOOKUP(H6,VALIDACIONES!$A$2:$B$138,2,0)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6" s="16">
        <v>368859</v>
      </c>
      <c r="K6" s="9" t="s">
        <v>86</v>
      </c>
      <c r="L6" s="55"/>
      <c r="M6" s="55"/>
      <c r="N6" s="16">
        <f t="shared" si="0"/>
        <v>2</v>
      </c>
      <c r="O6" s="16">
        <f t="shared" si="1"/>
        <v>2017</v>
      </c>
      <c r="P6" s="34"/>
      <c r="Q6" s="34"/>
      <c r="R6" s="34"/>
      <c r="S6" s="34"/>
      <c r="T6" s="34"/>
      <c r="U6" s="17"/>
      <c r="V6" s="23"/>
      <c r="W6" s="15"/>
      <c r="X6" s="15"/>
      <c r="Y6" s="15"/>
    </row>
    <row r="7" spans="1:25" ht="12.75" x14ac:dyDescent="0.2">
      <c r="A7" s="16">
        <v>71294662</v>
      </c>
      <c r="B7" s="9" t="s">
        <v>528</v>
      </c>
      <c r="C7" s="9" t="s">
        <v>529</v>
      </c>
      <c r="D7" s="9" t="s">
        <v>82</v>
      </c>
      <c r="E7" s="9" t="s">
        <v>83</v>
      </c>
      <c r="F7" s="18">
        <v>42772</v>
      </c>
      <c r="G7" s="24" t="s">
        <v>530</v>
      </c>
      <c r="H7" s="26" t="s">
        <v>8</v>
      </c>
      <c r="I7" s="49" t="str">
        <f>VLOOKUP(H7,VALIDACIONES!$A$2:$B$138,2,0)</f>
        <v>Conducir motocicleta sin observar las siguientes normas.(verlistadodesituaciones)</v>
      </c>
      <c r="J7" s="16">
        <v>368865</v>
      </c>
      <c r="K7" s="9" t="s">
        <v>86</v>
      </c>
      <c r="L7" s="55"/>
      <c r="M7" s="55"/>
      <c r="N7" s="16">
        <f t="shared" si="0"/>
        <v>2</v>
      </c>
      <c r="O7" s="16">
        <f t="shared" si="1"/>
        <v>2017</v>
      </c>
      <c r="P7" s="34"/>
      <c r="Q7" s="34"/>
      <c r="R7" s="34"/>
      <c r="S7" s="34"/>
      <c r="T7" s="34"/>
      <c r="U7" s="17"/>
      <c r="V7" s="23"/>
      <c r="W7" s="15"/>
      <c r="X7" s="15"/>
      <c r="Y7" s="15"/>
    </row>
    <row r="8" spans="1:25" ht="25.5" x14ac:dyDescent="0.2">
      <c r="A8" s="16">
        <v>71741519</v>
      </c>
      <c r="B8" s="9" t="s">
        <v>531</v>
      </c>
      <c r="C8" s="9" t="s">
        <v>516</v>
      </c>
      <c r="D8" s="9" t="s">
        <v>82</v>
      </c>
      <c r="E8" s="9" t="s">
        <v>83</v>
      </c>
      <c r="F8" s="18">
        <v>42787</v>
      </c>
      <c r="G8" s="24" t="s">
        <v>525</v>
      </c>
      <c r="H8" s="26" t="s">
        <v>385</v>
      </c>
      <c r="I8" s="49" t="str">
        <f>VLOOKUP(H8,VALIDACIONES!$A$2:$B$138,2,0)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8" s="16">
        <v>368865</v>
      </c>
      <c r="K8" s="9" t="s">
        <v>86</v>
      </c>
      <c r="L8" s="55"/>
      <c r="M8" s="55"/>
      <c r="N8" s="16">
        <f t="shared" si="0"/>
        <v>2</v>
      </c>
      <c r="O8" s="16">
        <f t="shared" si="1"/>
        <v>2017</v>
      </c>
      <c r="P8" s="34"/>
      <c r="Q8" s="34"/>
      <c r="R8" s="34"/>
      <c r="S8" s="34"/>
      <c r="T8" s="34"/>
      <c r="U8" s="17"/>
      <c r="V8" s="23"/>
      <c r="W8" s="15"/>
      <c r="X8" s="15"/>
      <c r="Y8" s="15"/>
    </row>
    <row r="9" spans="1:25" ht="25.5" x14ac:dyDescent="0.2">
      <c r="A9" s="16">
        <v>98567164</v>
      </c>
      <c r="B9" s="9" t="s">
        <v>532</v>
      </c>
      <c r="C9" s="9" t="s">
        <v>522</v>
      </c>
      <c r="D9" s="9" t="s">
        <v>82</v>
      </c>
      <c r="E9" s="9" t="s">
        <v>83</v>
      </c>
      <c r="F9" s="18">
        <v>42770</v>
      </c>
      <c r="G9" s="24" t="s">
        <v>533</v>
      </c>
      <c r="H9" s="26" t="s">
        <v>5</v>
      </c>
      <c r="I9" s="49" t="str">
        <f>VLOOKUP(H9,VALIDACIONES!$A$2:$B$138,2,0)</f>
        <v>Noutilizarelcinturóndeseguridadporpartedelosocupantesdelvehículoyloscinturonesdeseguridadenlosasientostraserosenlosvehículosfabricadosapartirdelaño2004.</v>
      </c>
      <c r="J9" s="16">
        <v>368865</v>
      </c>
      <c r="K9" s="9" t="s">
        <v>86</v>
      </c>
      <c r="L9" s="55"/>
      <c r="M9" s="55"/>
      <c r="N9" s="16">
        <f t="shared" si="0"/>
        <v>2</v>
      </c>
      <c r="O9" s="16">
        <f t="shared" si="1"/>
        <v>2017</v>
      </c>
      <c r="P9" s="34"/>
      <c r="Q9" s="34"/>
      <c r="R9" s="34"/>
      <c r="S9" s="34"/>
      <c r="T9" s="34"/>
      <c r="U9" s="17"/>
      <c r="V9" s="23"/>
      <c r="W9" s="15"/>
      <c r="X9" s="15"/>
      <c r="Y9" s="15"/>
    </row>
    <row r="10" spans="1:25" ht="12.75" x14ac:dyDescent="0.2">
      <c r="A10" s="16">
        <v>1107055509</v>
      </c>
      <c r="B10" s="9" t="s">
        <v>534</v>
      </c>
      <c r="C10" s="9" t="s">
        <v>516</v>
      </c>
      <c r="D10" s="9" t="s">
        <v>82</v>
      </c>
      <c r="E10" s="17" t="s">
        <v>251</v>
      </c>
      <c r="F10" s="18">
        <v>42776</v>
      </c>
      <c r="G10" s="24" t="s">
        <v>535</v>
      </c>
      <c r="H10" s="26" t="s">
        <v>12</v>
      </c>
      <c r="I10" s="49" t="str">
        <f>VLOOKUP(H10,VALIDACIONES!$A$2:$B$138,2,0)</f>
        <v>ConducirsinportarelSeguroObligatoriodeAccidentesdetránsitoordenadoporlaley.Además,elvehículoseráinmovilizado.</v>
      </c>
      <c r="J10" s="16" t="s">
        <v>536</v>
      </c>
      <c r="K10" s="9" t="s">
        <v>86</v>
      </c>
      <c r="L10" s="55"/>
      <c r="M10" s="55"/>
      <c r="N10" s="16">
        <f t="shared" si="0"/>
        <v>2</v>
      </c>
      <c r="O10" s="16">
        <f t="shared" si="1"/>
        <v>2017</v>
      </c>
      <c r="P10" s="34"/>
      <c r="Q10" s="34"/>
      <c r="R10" s="34"/>
      <c r="S10" s="34"/>
      <c r="T10" s="34"/>
      <c r="U10" s="17"/>
      <c r="V10" s="23"/>
      <c r="W10" s="15"/>
      <c r="X10" s="15"/>
      <c r="Y10" s="15"/>
    </row>
    <row r="11" spans="1:25" ht="25.5" x14ac:dyDescent="0.2">
      <c r="A11" s="16">
        <v>1128267059</v>
      </c>
      <c r="B11" s="9" t="s">
        <v>537</v>
      </c>
      <c r="C11" s="9" t="s">
        <v>522</v>
      </c>
      <c r="D11" s="9" t="s">
        <v>82</v>
      </c>
      <c r="E11" s="9" t="s">
        <v>83</v>
      </c>
      <c r="F11" s="18">
        <v>42783</v>
      </c>
      <c r="G11" s="24" t="s">
        <v>533</v>
      </c>
      <c r="H11" s="26" t="s">
        <v>385</v>
      </c>
      <c r="I11" s="49" t="str">
        <f>VLOOKUP(H11,VALIDACIONES!$A$2:$B$138,2,0)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1" s="16">
        <v>368865</v>
      </c>
      <c r="K11" s="9" t="s">
        <v>86</v>
      </c>
      <c r="L11" s="55"/>
      <c r="M11" s="55"/>
      <c r="N11" s="16">
        <f t="shared" si="0"/>
        <v>2</v>
      </c>
      <c r="O11" s="16">
        <f t="shared" si="1"/>
        <v>2017</v>
      </c>
      <c r="P11" s="34"/>
      <c r="Q11" s="34"/>
      <c r="R11" s="34"/>
      <c r="S11" s="34"/>
      <c r="T11" s="34"/>
      <c r="U11" s="17"/>
      <c r="V11" s="23"/>
      <c r="W11" s="15"/>
      <c r="X11" s="15"/>
      <c r="Y11" s="15"/>
    </row>
    <row r="12" spans="1:25" ht="25.5" x14ac:dyDescent="0.2">
      <c r="A12" s="16">
        <v>4403863</v>
      </c>
      <c r="B12" s="9" t="s">
        <v>538</v>
      </c>
      <c r="C12" s="9" t="s">
        <v>516</v>
      </c>
      <c r="D12" s="9" t="s">
        <v>82</v>
      </c>
      <c r="E12" s="9" t="s">
        <v>239</v>
      </c>
      <c r="F12" s="18">
        <v>42822</v>
      </c>
      <c r="G12" s="24" t="s">
        <v>539</v>
      </c>
      <c r="H12" s="26" t="s">
        <v>385</v>
      </c>
      <c r="I12" s="49" t="str">
        <f>VLOOKUP(H12,VALIDACIONES!$A$2:$B$138,2,0)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2" s="16">
        <v>368865</v>
      </c>
      <c r="K12" s="9" t="s">
        <v>86</v>
      </c>
      <c r="L12" s="55"/>
      <c r="M12" s="56" t="s">
        <v>240</v>
      </c>
      <c r="N12" s="16">
        <f t="shared" si="0"/>
        <v>3</v>
      </c>
      <c r="O12" s="16">
        <f t="shared" si="1"/>
        <v>2017</v>
      </c>
      <c r="P12" s="34"/>
      <c r="Q12" s="34"/>
      <c r="R12" s="34"/>
      <c r="S12" s="34"/>
      <c r="T12" s="34"/>
      <c r="U12" s="17"/>
      <c r="V12" s="23"/>
      <c r="W12" s="15"/>
      <c r="X12" s="15"/>
      <c r="Y12" s="15"/>
    </row>
    <row r="13" spans="1:25" ht="25.5" x14ac:dyDescent="0.2">
      <c r="A13" s="16">
        <v>10139971</v>
      </c>
      <c r="B13" s="9" t="s">
        <v>540</v>
      </c>
      <c r="C13" s="9" t="s">
        <v>519</v>
      </c>
      <c r="D13" s="9" t="s">
        <v>82</v>
      </c>
      <c r="E13" s="9" t="s">
        <v>262</v>
      </c>
      <c r="F13" s="18">
        <v>42808</v>
      </c>
      <c r="G13" s="24" t="s">
        <v>520</v>
      </c>
      <c r="H13" s="26" t="s">
        <v>10</v>
      </c>
      <c r="I13" s="49" t="str">
        <f>VLOOKUP(H13,VALIDACIONES!$A$2:$B$138,2,0)</f>
        <v>Conducir un vehículo a velocidad superior a la máxima permitida, la cual deberá estar señalizada en forma sectorizada, no obstante esta no podrá ser superior a (verlistado)</v>
      </c>
      <c r="J13" s="16">
        <v>368858</v>
      </c>
      <c r="K13" s="9" t="s">
        <v>86</v>
      </c>
      <c r="L13" s="55"/>
      <c r="M13" s="56" t="s">
        <v>240</v>
      </c>
      <c r="N13" s="16">
        <f t="shared" si="0"/>
        <v>3</v>
      </c>
      <c r="O13" s="16">
        <f t="shared" si="1"/>
        <v>2017</v>
      </c>
      <c r="P13" s="34"/>
      <c r="Q13" s="34"/>
      <c r="R13" s="34"/>
      <c r="S13" s="34"/>
      <c r="T13" s="34"/>
      <c r="U13" s="17"/>
      <c r="V13" s="23"/>
      <c r="W13" s="15"/>
      <c r="X13" s="15"/>
      <c r="Y13" s="15"/>
    </row>
    <row r="14" spans="1:25" ht="12.75" x14ac:dyDescent="0.2">
      <c r="A14" s="16">
        <v>10258031</v>
      </c>
      <c r="B14" s="9" t="s">
        <v>541</v>
      </c>
      <c r="C14" s="9" t="s">
        <v>516</v>
      </c>
      <c r="D14" s="9" t="s">
        <v>82</v>
      </c>
      <c r="E14" s="9" t="s">
        <v>83</v>
      </c>
      <c r="F14" s="18">
        <v>42824</v>
      </c>
      <c r="G14" s="24" t="s">
        <v>542</v>
      </c>
      <c r="H14" s="26" t="s">
        <v>32</v>
      </c>
      <c r="I14" s="49" t="str">
        <f>VLOOKUP(H14,VALIDACIONES!$A$2:$B$138,2,0)</f>
        <v>No acatar las señales o requerimientos impartidos por los agentes de Tránsito.</v>
      </c>
      <c r="J14" s="16">
        <v>368865</v>
      </c>
      <c r="K14" s="9" t="s">
        <v>86</v>
      </c>
      <c r="L14" s="55"/>
      <c r="M14" s="56" t="s">
        <v>240</v>
      </c>
      <c r="N14" s="16">
        <f t="shared" si="0"/>
        <v>3</v>
      </c>
      <c r="O14" s="16">
        <f t="shared" si="1"/>
        <v>2017</v>
      </c>
      <c r="P14" s="34"/>
      <c r="Q14" s="34"/>
      <c r="R14" s="34"/>
      <c r="S14" s="34"/>
      <c r="T14" s="34"/>
      <c r="U14" s="17"/>
      <c r="V14" s="23"/>
      <c r="W14" s="15"/>
      <c r="X14" s="15"/>
      <c r="Y14" s="15"/>
    </row>
    <row r="15" spans="1:25" ht="12.75" x14ac:dyDescent="0.2">
      <c r="A15" s="16">
        <v>16219255</v>
      </c>
      <c r="B15" s="9" t="s">
        <v>543</v>
      </c>
      <c r="C15" s="9" t="s">
        <v>519</v>
      </c>
      <c r="D15" s="9" t="s">
        <v>82</v>
      </c>
      <c r="E15" s="9" t="s">
        <v>262</v>
      </c>
      <c r="F15" s="18">
        <v>42795</v>
      </c>
      <c r="G15" s="24" t="s">
        <v>544</v>
      </c>
      <c r="H15" s="26" t="s">
        <v>4</v>
      </c>
      <c r="I15" s="49" t="str">
        <f>VLOOKUP(H15,VALIDACIONES!$A$2:$B$138,2,0)</f>
        <v>Estacionar un vehículo en los sitios prohibidos por el Código Nacional de Tránsito, reglamentado por la Res.3027.</v>
      </c>
      <c r="J15" s="16">
        <v>368859</v>
      </c>
      <c r="K15" s="9" t="s">
        <v>86</v>
      </c>
      <c r="L15" s="55"/>
      <c r="M15" s="56" t="s">
        <v>240</v>
      </c>
      <c r="N15" s="16">
        <f t="shared" si="0"/>
        <v>3</v>
      </c>
      <c r="O15" s="16">
        <f t="shared" si="1"/>
        <v>2017</v>
      </c>
      <c r="P15" s="34"/>
      <c r="Q15" s="34"/>
      <c r="R15" s="34"/>
      <c r="S15" s="34"/>
      <c r="T15" s="34"/>
      <c r="U15" s="17"/>
      <c r="V15" s="23"/>
      <c r="W15" s="15"/>
      <c r="X15" s="15"/>
      <c r="Y15" s="15"/>
    </row>
    <row r="16" spans="1:25" ht="38.25" x14ac:dyDescent="0.2">
      <c r="A16" s="16">
        <v>71663939</v>
      </c>
      <c r="B16" s="9" t="s">
        <v>545</v>
      </c>
      <c r="C16" s="9" t="s">
        <v>522</v>
      </c>
      <c r="D16" s="9" t="s">
        <v>82</v>
      </c>
      <c r="E16" s="9" t="s">
        <v>83</v>
      </c>
      <c r="F16" s="18">
        <v>42801</v>
      </c>
      <c r="G16" s="24" t="s">
        <v>546</v>
      </c>
      <c r="H16" s="26" t="s">
        <v>397</v>
      </c>
      <c r="I16" s="49" t="str">
        <f>VLOOKUP(H16,VALIDACIONES!$A$2:$B$138,2,0)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16" s="16">
        <v>737717</v>
      </c>
      <c r="K16" s="9" t="s">
        <v>86</v>
      </c>
      <c r="L16" s="55"/>
      <c r="M16" s="56" t="s">
        <v>240</v>
      </c>
      <c r="N16" s="16">
        <f t="shared" si="0"/>
        <v>3</v>
      </c>
      <c r="O16" s="16">
        <f t="shared" si="1"/>
        <v>2017</v>
      </c>
      <c r="P16" s="34"/>
      <c r="Q16" s="34"/>
      <c r="R16" s="34"/>
      <c r="S16" s="34"/>
      <c r="T16" s="34"/>
      <c r="U16" s="17"/>
      <c r="V16" s="23"/>
      <c r="W16" s="15"/>
      <c r="X16" s="15"/>
      <c r="Y16" s="15"/>
    </row>
    <row r="17" spans="1:25" ht="38.25" x14ac:dyDescent="0.2">
      <c r="A17" s="16">
        <v>98676634</v>
      </c>
      <c r="B17" s="9" t="s">
        <v>547</v>
      </c>
      <c r="C17" s="9" t="s">
        <v>529</v>
      </c>
      <c r="D17" s="9" t="s">
        <v>82</v>
      </c>
      <c r="E17" s="9" t="s">
        <v>83</v>
      </c>
      <c r="F17" s="18">
        <v>42796</v>
      </c>
      <c r="G17" s="24" t="s">
        <v>533</v>
      </c>
      <c r="H17" s="26" t="s">
        <v>11</v>
      </c>
      <c r="I17" s="49" t="str">
        <f>VLOOKUP(H17,VALIDACIONES!$A$2:$B$138,2,0)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7" s="16">
        <v>368865</v>
      </c>
      <c r="K17" s="9" t="s">
        <v>86</v>
      </c>
      <c r="L17" s="55"/>
      <c r="M17" s="56" t="s">
        <v>240</v>
      </c>
      <c r="N17" s="16">
        <f t="shared" si="0"/>
        <v>3</v>
      </c>
      <c r="O17" s="16">
        <f t="shared" si="1"/>
        <v>2017</v>
      </c>
      <c r="P17" s="34"/>
      <c r="Q17" s="34"/>
      <c r="R17" s="34"/>
      <c r="S17" s="34"/>
      <c r="T17" s="34"/>
      <c r="U17" s="17"/>
      <c r="V17" s="23"/>
      <c r="W17" s="15"/>
      <c r="X17" s="15"/>
      <c r="Y17" s="15"/>
    </row>
    <row r="18" spans="1:25" ht="12.75" x14ac:dyDescent="0.2">
      <c r="A18" s="16">
        <v>18154430</v>
      </c>
      <c r="B18" s="9" t="s">
        <v>548</v>
      </c>
      <c r="C18" s="9" t="s">
        <v>549</v>
      </c>
      <c r="D18" s="9" t="s">
        <v>82</v>
      </c>
      <c r="E18" s="9" t="s">
        <v>262</v>
      </c>
      <c r="F18" s="18">
        <v>42826</v>
      </c>
      <c r="G18" s="24" t="s">
        <v>527</v>
      </c>
      <c r="H18" s="27" t="s">
        <v>4</v>
      </c>
      <c r="I18" s="49" t="str">
        <f>VLOOKUP(H18,VALIDACIONES!$A$2:$B$138,2,0)</f>
        <v>Estacionar un vehículo en los sitios prohibidos por el Código Nacional de Tránsito, reglamentado por la Res.3027.</v>
      </c>
      <c r="J18" s="16">
        <v>230537</v>
      </c>
      <c r="K18" s="9" t="s">
        <v>86</v>
      </c>
      <c r="L18" s="55"/>
      <c r="M18" s="56"/>
      <c r="N18" s="16">
        <f t="shared" si="0"/>
        <v>4</v>
      </c>
      <c r="O18" s="16">
        <f t="shared" si="1"/>
        <v>2017</v>
      </c>
      <c r="P18" s="34"/>
      <c r="Q18" s="34"/>
      <c r="R18" s="34"/>
      <c r="S18" s="34"/>
      <c r="T18" s="34"/>
      <c r="U18" s="17"/>
      <c r="V18" s="23"/>
      <c r="W18" s="15"/>
      <c r="X18" s="15"/>
      <c r="Y18" s="15"/>
    </row>
    <row r="19" spans="1:25" ht="25.5" x14ac:dyDescent="0.2">
      <c r="A19" s="16">
        <v>70117652</v>
      </c>
      <c r="B19" s="9" t="s">
        <v>550</v>
      </c>
      <c r="C19" s="9" t="s">
        <v>551</v>
      </c>
      <c r="D19" s="9" t="s">
        <v>82</v>
      </c>
      <c r="E19" s="9" t="s">
        <v>83</v>
      </c>
      <c r="F19" s="18">
        <v>42850</v>
      </c>
      <c r="G19" s="24" t="s">
        <v>533</v>
      </c>
      <c r="H19" s="27" t="s">
        <v>31</v>
      </c>
      <c r="I19" s="49" t="str">
        <f>VLOOKUP(H19,VALIDACIONES!$A$2:$B$138,2,0)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J19" s="16">
        <v>196728</v>
      </c>
      <c r="K19" s="9" t="s">
        <v>86</v>
      </c>
      <c r="L19" s="55"/>
      <c r="M19" s="56"/>
      <c r="N19" s="16">
        <f t="shared" si="0"/>
        <v>4</v>
      </c>
      <c r="O19" s="16">
        <f t="shared" si="1"/>
        <v>2017</v>
      </c>
      <c r="P19" s="34"/>
      <c r="Q19" s="34"/>
      <c r="R19" s="34"/>
      <c r="S19" s="34"/>
      <c r="T19" s="34"/>
      <c r="U19" s="17"/>
      <c r="V19" s="23"/>
      <c r="W19" s="15"/>
      <c r="X19" s="15"/>
      <c r="Y19" s="15"/>
    </row>
    <row r="20" spans="1:25" ht="38.25" x14ac:dyDescent="0.2">
      <c r="A20" s="16">
        <v>70555881</v>
      </c>
      <c r="B20" s="9" t="s">
        <v>552</v>
      </c>
      <c r="C20" s="9" t="s">
        <v>522</v>
      </c>
      <c r="D20" s="9" t="s">
        <v>82</v>
      </c>
      <c r="E20" s="9" t="s">
        <v>83</v>
      </c>
      <c r="F20" s="18">
        <v>42836</v>
      </c>
      <c r="G20" s="24" t="s">
        <v>542</v>
      </c>
      <c r="H20" s="27" t="s">
        <v>14</v>
      </c>
      <c r="I20" s="49" t="str">
        <f>VLOOKUP(H20,VALIDACIONES!$A$2:$B$138,2,0)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20" s="16">
        <v>737717</v>
      </c>
      <c r="K20" s="9" t="s">
        <v>86</v>
      </c>
      <c r="L20" s="55"/>
      <c r="M20" s="56"/>
      <c r="N20" s="16">
        <f t="shared" si="0"/>
        <v>4</v>
      </c>
      <c r="O20" s="16">
        <f t="shared" si="1"/>
        <v>2017</v>
      </c>
      <c r="P20" s="34"/>
      <c r="Q20" s="34"/>
      <c r="R20" s="34"/>
      <c r="S20" s="34"/>
      <c r="T20" s="34"/>
      <c r="U20" s="17"/>
      <c r="V20" s="23"/>
      <c r="W20" s="15"/>
      <c r="X20" s="15"/>
      <c r="Y20" s="15"/>
    </row>
    <row r="21" spans="1:25" ht="25.5" x14ac:dyDescent="0.2">
      <c r="A21" s="16">
        <v>1128405439</v>
      </c>
      <c r="B21" s="9" t="s">
        <v>553</v>
      </c>
      <c r="C21" s="9" t="s">
        <v>522</v>
      </c>
      <c r="D21" s="9" t="s">
        <v>82</v>
      </c>
      <c r="E21" s="9" t="s">
        <v>83</v>
      </c>
      <c r="F21" s="18">
        <v>42852</v>
      </c>
      <c r="G21" s="24" t="s">
        <v>554</v>
      </c>
      <c r="H21" s="27" t="s">
        <v>10</v>
      </c>
      <c r="I21" s="49" t="str">
        <f>VLOOKUP(H21,VALIDACIONES!$A$2:$B$138,2,0)</f>
        <v>Conducir un vehículo a velocidad superior a la máxima permitida, la cual deberá estar señalizada en forma sectorizada, no obstante esta no podrá ser superior a (verlistado)</v>
      </c>
      <c r="J21" s="16">
        <v>230537</v>
      </c>
      <c r="K21" s="9" t="s">
        <v>86</v>
      </c>
      <c r="L21" s="55"/>
      <c r="M21" s="56"/>
      <c r="N21" s="16">
        <f t="shared" si="0"/>
        <v>4</v>
      </c>
      <c r="O21" s="16">
        <f t="shared" si="1"/>
        <v>2017</v>
      </c>
      <c r="P21" s="34"/>
      <c r="Q21" s="34"/>
      <c r="R21" s="34"/>
      <c r="S21" s="34"/>
      <c r="T21" s="34"/>
      <c r="U21" s="17"/>
      <c r="V21" s="23"/>
      <c r="W21" s="15"/>
      <c r="X21" s="15"/>
      <c r="Y21" s="15"/>
    </row>
    <row r="22" spans="1:25" ht="12.75" x14ac:dyDescent="0.2">
      <c r="A22" s="16">
        <v>1152703369</v>
      </c>
      <c r="B22" s="9" t="s">
        <v>555</v>
      </c>
      <c r="C22" s="9" t="s">
        <v>556</v>
      </c>
      <c r="D22" s="9" t="s">
        <v>82</v>
      </c>
      <c r="E22" s="9" t="s">
        <v>83</v>
      </c>
      <c r="F22" s="18">
        <v>42844</v>
      </c>
      <c r="G22" s="24" t="s">
        <v>557</v>
      </c>
      <c r="H22" s="27" t="s">
        <v>165</v>
      </c>
      <c r="I22" s="49" t="str">
        <f>VLOOKUP(H22,VALIDACIONES!$A$2:$B$138,2,0)</f>
        <v>Cuandosedetecteoadviertaunainfracciónalasnormasdeemisióncontaminantesodegeneraciónderuidoporvehículosautomotores</v>
      </c>
      <c r="J22" s="16">
        <v>73773</v>
      </c>
      <c r="K22" s="9" t="s">
        <v>86</v>
      </c>
      <c r="L22" s="55"/>
      <c r="M22" s="56"/>
      <c r="N22" s="16">
        <f t="shared" si="0"/>
        <v>4</v>
      </c>
      <c r="O22" s="16">
        <f t="shared" si="1"/>
        <v>2017</v>
      </c>
      <c r="P22" s="34"/>
      <c r="Q22" s="34"/>
      <c r="R22" s="34"/>
      <c r="S22" s="34"/>
      <c r="T22" s="34"/>
      <c r="U22" s="17"/>
      <c r="V22" s="23"/>
      <c r="W22" s="15"/>
      <c r="X22" s="15"/>
      <c r="Y22" s="15"/>
    </row>
    <row r="23" spans="1:25" ht="25.5" x14ac:dyDescent="0.2">
      <c r="A23" s="16">
        <v>10032356</v>
      </c>
      <c r="B23" s="9" t="s">
        <v>558</v>
      </c>
      <c r="C23" s="9" t="s">
        <v>549</v>
      </c>
      <c r="D23" s="9" t="s">
        <v>82</v>
      </c>
      <c r="E23" s="9" t="s">
        <v>262</v>
      </c>
      <c r="F23" s="18">
        <v>42870</v>
      </c>
      <c r="G23" s="24" t="s">
        <v>527</v>
      </c>
      <c r="H23" s="27" t="s">
        <v>5</v>
      </c>
      <c r="I23" s="49" t="str">
        <f>VLOOKUP(H23,VALIDACIONES!$A$2:$B$138,2,0)</f>
        <v>Noutilizarelcinturóndeseguridadporpartedelosocupantesdelvehículoyloscinturonesdeseguridadenlosasientostraserosenlosvehículosfabricadosapartirdelaño2004.</v>
      </c>
      <c r="J23" s="16">
        <v>368859</v>
      </c>
      <c r="K23" s="9" t="s">
        <v>86</v>
      </c>
      <c r="L23" s="55"/>
      <c r="M23" s="56"/>
      <c r="N23" s="16">
        <f t="shared" si="0"/>
        <v>5</v>
      </c>
      <c r="O23" s="16">
        <f t="shared" si="1"/>
        <v>2017</v>
      </c>
      <c r="P23" s="34"/>
      <c r="Q23" s="34"/>
      <c r="R23" s="34"/>
      <c r="S23" s="34"/>
      <c r="T23" s="34"/>
      <c r="U23" s="17"/>
      <c r="V23" s="23"/>
      <c r="W23" s="15"/>
      <c r="X23" s="15"/>
      <c r="Y23" s="15"/>
    </row>
    <row r="24" spans="1:25" ht="12.75" x14ac:dyDescent="0.2">
      <c r="A24" s="16">
        <v>43907795</v>
      </c>
      <c r="B24" s="9" t="s">
        <v>559</v>
      </c>
      <c r="C24" s="9" t="s">
        <v>21</v>
      </c>
      <c r="D24" s="9" t="s">
        <v>135</v>
      </c>
      <c r="E24" s="9" t="s">
        <v>83</v>
      </c>
      <c r="F24" s="18">
        <v>42873</v>
      </c>
      <c r="G24" s="24" t="s">
        <v>542</v>
      </c>
      <c r="H24" s="26" t="s">
        <v>8</v>
      </c>
      <c r="I24" s="49" t="str">
        <f>VLOOKUP(H24,VALIDACIONES!$A$2:$B$138,2,0)</f>
        <v>Conducir motocicleta sin observar las siguientes normas.(verlistadodesituaciones)</v>
      </c>
      <c r="J24" s="16">
        <v>368858</v>
      </c>
      <c r="K24" s="9" t="s">
        <v>86</v>
      </c>
      <c r="L24" s="55"/>
      <c r="M24" s="56"/>
      <c r="N24" s="16">
        <f t="shared" si="0"/>
        <v>5</v>
      </c>
      <c r="O24" s="16">
        <f t="shared" si="1"/>
        <v>2017</v>
      </c>
      <c r="P24" s="34"/>
      <c r="Q24" s="34"/>
      <c r="R24" s="34"/>
      <c r="S24" s="34"/>
      <c r="T24" s="34"/>
      <c r="U24" s="17"/>
      <c r="V24" s="23"/>
      <c r="W24" s="15"/>
      <c r="X24" s="15"/>
      <c r="Y24" s="15"/>
    </row>
    <row r="25" spans="1:25" ht="12.75" x14ac:dyDescent="0.2">
      <c r="A25" s="16">
        <v>70059512</v>
      </c>
      <c r="B25" s="9" t="s">
        <v>560</v>
      </c>
      <c r="C25" s="9" t="s">
        <v>522</v>
      </c>
      <c r="D25" s="9" t="s">
        <v>82</v>
      </c>
      <c r="E25" s="9" t="s">
        <v>83</v>
      </c>
      <c r="F25" s="18">
        <v>42882</v>
      </c>
      <c r="G25" s="24" t="s">
        <v>533</v>
      </c>
      <c r="H25" s="26" t="s">
        <v>280</v>
      </c>
      <c r="I25" s="49" t="str">
        <f>VLOOKUP(H25,VALIDACIONES!$A$2:$B$138,2,0)</f>
        <v>Conducir un vehículo con la licencia de conducción vencida.</v>
      </c>
      <c r="J25" s="16">
        <v>196728</v>
      </c>
      <c r="K25" s="9" t="s">
        <v>86</v>
      </c>
      <c r="L25" s="55"/>
      <c r="M25" s="56"/>
      <c r="N25" s="16">
        <f t="shared" si="0"/>
        <v>5</v>
      </c>
      <c r="O25" s="16">
        <f t="shared" si="1"/>
        <v>2017</v>
      </c>
      <c r="P25" s="34"/>
      <c r="Q25" s="34"/>
      <c r="R25" s="34"/>
      <c r="S25" s="34"/>
      <c r="T25" s="34"/>
      <c r="U25" s="17"/>
      <c r="V25" s="23"/>
      <c r="W25" s="15"/>
      <c r="X25" s="15"/>
      <c r="Y25" s="15"/>
    </row>
    <row r="26" spans="1:25" ht="25.5" x14ac:dyDescent="0.2">
      <c r="A26" s="16">
        <v>71333282</v>
      </c>
      <c r="B26" s="9" t="s">
        <v>561</v>
      </c>
      <c r="C26" s="9" t="s">
        <v>516</v>
      </c>
      <c r="D26" s="9" t="s">
        <v>82</v>
      </c>
      <c r="E26" s="9" t="s">
        <v>83</v>
      </c>
      <c r="F26" s="18">
        <v>42873</v>
      </c>
      <c r="G26" s="24" t="s">
        <v>517</v>
      </c>
      <c r="H26" s="26" t="s">
        <v>5</v>
      </c>
      <c r="I26" s="49" t="str">
        <f>VLOOKUP(H26,VALIDACIONES!$A$2:$B$138,2,0)</f>
        <v>Noutilizarelcinturóndeseguridadporpartedelosocupantesdelvehículoyloscinturonesdeseguridadenlosasientostraserosenlosvehículosfabricadosapartirdelaño2004.</v>
      </c>
      <c r="J26" s="16">
        <v>368865</v>
      </c>
      <c r="K26" s="9" t="s">
        <v>86</v>
      </c>
      <c r="L26" s="55"/>
      <c r="M26" s="56"/>
      <c r="N26" s="16">
        <f t="shared" si="0"/>
        <v>5</v>
      </c>
      <c r="O26" s="16">
        <f t="shared" si="1"/>
        <v>2017</v>
      </c>
      <c r="P26" s="34"/>
      <c r="Q26" s="34"/>
      <c r="R26" s="34"/>
      <c r="S26" s="34"/>
      <c r="T26" s="34"/>
      <c r="U26" s="17"/>
      <c r="V26" s="23"/>
      <c r="W26" s="15"/>
      <c r="X26" s="15"/>
      <c r="Y26" s="15"/>
    </row>
    <row r="27" spans="1:25" ht="12.75" x14ac:dyDescent="0.2">
      <c r="A27" s="16">
        <v>71531701</v>
      </c>
      <c r="B27" s="9" t="s">
        <v>562</v>
      </c>
      <c r="C27" s="9" t="s">
        <v>563</v>
      </c>
      <c r="D27" s="9" t="s">
        <v>82</v>
      </c>
      <c r="E27" s="9" t="s">
        <v>83</v>
      </c>
      <c r="F27" s="18">
        <v>42875</v>
      </c>
      <c r="G27" s="24" t="s">
        <v>564</v>
      </c>
      <c r="H27" s="26" t="s">
        <v>4</v>
      </c>
      <c r="I27" s="49" t="str">
        <f>VLOOKUP(H27,VALIDACIONES!$A$2:$B$138,2,0)</f>
        <v>Estacionar un vehículo en los sitios prohibidos por el Código Nacional de Tránsito, reglamentado por la Res.3027.</v>
      </c>
      <c r="J27" s="16">
        <v>368859</v>
      </c>
      <c r="K27" s="9" t="s">
        <v>86</v>
      </c>
      <c r="L27" s="55"/>
      <c r="M27" s="56"/>
      <c r="N27" s="16">
        <f t="shared" si="0"/>
        <v>5</v>
      </c>
      <c r="O27" s="16">
        <f t="shared" si="1"/>
        <v>2017</v>
      </c>
      <c r="P27" s="34"/>
      <c r="Q27" s="34"/>
      <c r="R27" s="34"/>
      <c r="S27" s="34"/>
      <c r="T27" s="34"/>
      <c r="U27" s="17"/>
      <c r="V27" s="23"/>
      <c r="W27" s="15"/>
      <c r="X27" s="15"/>
      <c r="Y27" s="15"/>
    </row>
    <row r="28" spans="1:25" ht="12.75" x14ac:dyDescent="0.2">
      <c r="A28" s="16">
        <v>71727551</v>
      </c>
      <c r="B28" s="9" t="s">
        <v>565</v>
      </c>
      <c r="C28" s="9" t="s">
        <v>522</v>
      </c>
      <c r="D28" s="9" t="s">
        <v>82</v>
      </c>
      <c r="E28" s="9" t="s">
        <v>83</v>
      </c>
      <c r="F28" s="18">
        <v>42860</v>
      </c>
      <c r="G28" s="24" t="s">
        <v>566</v>
      </c>
      <c r="H28" s="26" t="s">
        <v>6</v>
      </c>
      <c r="I28" s="49" t="str">
        <f>VLOOKUP(H28,VALIDACIONES!$A$2:$B$138,2,0)</f>
        <v>Noportarcomomínimoelsiguienteequipodeprevenciónyseguridad.(verlistado)</v>
      </c>
      <c r="J28" s="16">
        <v>368865</v>
      </c>
      <c r="K28" s="9" t="s">
        <v>86</v>
      </c>
      <c r="L28" s="55"/>
      <c r="M28" s="56"/>
      <c r="N28" s="16">
        <f t="shared" si="0"/>
        <v>5</v>
      </c>
      <c r="O28" s="16">
        <f t="shared" si="1"/>
        <v>2017</v>
      </c>
      <c r="P28" s="34"/>
      <c r="Q28" s="34"/>
      <c r="R28" s="34"/>
      <c r="S28" s="34"/>
      <c r="T28" s="34"/>
      <c r="U28" s="17"/>
      <c r="V28" s="23"/>
      <c r="W28" s="15"/>
      <c r="X28" s="15"/>
      <c r="Y28" s="15"/>
    </row>
    <row r="29" spans="1:25" ht="25.5" x14ac:dyDescent="0.2">
      <c r="A29" s="16">
        <v>1107055509</v>
      </c>
      <c r="B29" s="9" t="s">
        <v>534</v>
      </c>
      <c r="C29" s="9" t="s">
        <v>516</v>
      </c>
      <c r="D29" s="9" t="s">
        <v>82</v>
      </c>
      <c r="E29" s="17" t="s">
        <v>251</v>
      </c>
      <c r="F29" s="18">
        <v>42878</v>
      </c>
      <c r="G29" s="24" t="s">
        <v>535</v>
      </c>
      <c r="H29" s="26" t="s">
        <v>5</v>
      </c>
      <c r="I29" s="49" t="str">
        <f>VLOOKUP(H29,VALIDACIONES!$A$2:$B$138,2,0)</f>
        <v>Noutilizarelcinturóndeseguridadporpartedelosocupantesdelvehículoyloscinturonesdeseguridadenlosasientostraserosenlosvehículosfabricadosapartirdelaño2004.</v>
      </c>
      <c r="J29" s="16">
        <v>393465</v>
      </c>
      <c r="K29" s="9" t="s">
        <v>86</v>
      </c>
      <c r="L29" s="55"/>
      <c r="M29" s="56"/>
      <c r="N29" s="16">
        <f t="shared" si="0"/>
        <v>5</v>
      </c>
      <c r="O29" s="16">
        <f t="shared" si="1"/>
        <v>2017</v>
      </c>
      <c r="P29" s="34"/>
      <c r="Q29" s="34"/>
      <c r="R29" s="34"/>
      <c r="S29" s="34"/>
      <c r="T29" s="34"/>
      <c r="U29" s="17"/>
      <c r="V29" s="23"/>
      <c r="W29" s="15"/>
      <c r="X29" s="15"/>
      <c r="Y29" s="15"/>
    </row>
    <row r="30" spans="1:25" ht="12.75" x14ac:dyDescent="0.2">
      <c r="A30" s="16">
        <v>4390053</v>
      </c>
      <c r="B30" s="9" t="s">
        <v>567</v>
      </c>
      <c r="C30" s="9" t="s">
        <v>516</v>
      </c>
      <c r="D30" s="9" t="s">
        <v>82</v>
      </c>
      <c r="E30" s="9" t="s">
        <v>262</v>
      </c>
      <c r="F30" s="18">
        <v>42902</v>
      </c>
      <c r="G30" s="24" t="s">
        <v>527</v>
      </c>
      <c r="H30" s="26" t="s">
        <v>4</v>
      </c>
      <c r="I30" s="49" t="str">
        <f>VLOOKUP(H30,VALIDACIONES!$A$2:$B$138,2,0)</f>
        <v>Estacionar un vehículo en los sitios prohibidos por el Código Nacional de Tránsito, reglamentado por la Res.3027.</v>
      </c>
      <c r="J30" s="16">
        <v>368859</v>
      </c>
      <c r="K30" s="9" t="s">
        <v>86</v>
      </c>
      <c r="L30" s="55"/>
      <c r="M30" s="56"/>
      <c r="N30" s="16">
        <f t="shared" si="0"/>
        <v>6</v>
      </c>
      <c r="O30" s="16">
        <f t="shared" si="1"/>
        <v>2017</v>
      </c>
      <c r="P30" s="34"/>
      <c r="Q30" s="34"/>
      <c r="R30" s="34"/>
      <c r="S30" s="34"/>
      <c r="T30" s="34"/>
      <c r="U30" s="17"/>
      <c r="V30" s="23"/>
      <c r="W30" s="15"/>
      <c r="X30" s="15"/>
      <c r="Y30" s="15"/>
    </row>
    <row r="31" spans="1:25" ht="51" x14ac:dyDescent="0.2">
      <c r="A31" s="16">
        <v>10252711</v>
      </c>
      <c r="B31" s="9" t="s">
        <v>568</v>
      </c>
      <c r="C31" s="9" t="s">
        <v>516</v>
      </c>
      <c r="D31" s="9" t="s">
        <v>82</v>
      </c>
      <c r="E31" s="9" t="s">
        <v>100</v>
      </c>
      <c r="F31" s="18">
        <v>42898</v>
      </c>
      <c r="G31" s="24" t="s">
        <v>569</v>
      </c>
      <c r="H31" s="26" t="s">
        <v>335</v>
      </c>
      <c r="I31" s="49" t="str">
        <f>VLOOKUP(H31,VALIDACIONES!$A$2:$B$138,2,0)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31" s="16">
        <v>368865</v>
      </c>
      <c r="K31" s="9" t="s">
        <v>86</v>
      </c>
      <c r="L31" s="55"/>
      <c r="M31" s="56"/>
      <c r="N31" s="16">
        <f t="shared" si="0"/>
        <v>6</v>
      </c>
      <c r="O31" s="16">
        <f t="shared" si="1"/>
        <v>2017</v>
      </c>
      <c r="P31" s="34"/>
      <c r="Q31" s="34"/>
      <c r="R31" s="34"/>
      <c r="S31" s="34"/>
      <c r="T31" s="34"/>
      <c r="U31" s="17"/>
      <c r="V31" s="23"/>
      <c r="W31" s="15"/>
      <c r="X31" s="15"/>
      <c r="Y31" s="15"/>
    </row>
    <row r="32" spans="1:25" ht="12.75" x14ac:dyDescent="0.2">
      <c r="A32" s="16">
        <v>19391627</v>
      </c>
      <c r="B32" s="9" t="s">
        <v>570</v>
      </c>
      <c r="C32" s="9" t="s">
        <v>516</v>
      </c>
      <c r="D32" s="9" t="s">
        <v>82</v>
      </c>
      <c r="E32" s="9" t="s">
        <v>100</v>
      </c>
      <c r="F32" s="18">
        <v>42902</v>
      </c>
      <c r="G32" s="24" t="s">
        <v>569</v>
      </c>
      <c r="H32" s="26" t="s">
        <v>15</v>
      </c>
      <c r="I32" s="49" t="str">
        <f>VLOOKUP(H32,VALIDACIONES!$A$2:$B$138,2,0)</f>
        <v>Las demas conductas que constituyan infraccion a las normas de transito y que no se encuentren descritas en este acto administrativo.</v>
      </c>
      <c r="J32" s="16">
        <v>0</v>
      </c>
      <c r="K32" s="9" t="s">
        <v>86</v>
      </c>
      <c r="L32" s="55"/>
      <c r="M32" s="56"/>
      <c r="N32" s="16">
        <f t="shared" si="0"/>
        <v>6</v>
      </c>
      <c r="O32" s="16">
        <f t="shared" si="1"/>
        <v>2017</v>
      </c>
      <c r="P32" s="34"/>
      <c r="Q32" s="34"/>
      <c r="R32" s="34"/>
      <c r="S32" s="34"/>
      <c r="T32" s="34"/>
      <c r="U32" s="17"/>
      <c r="V32" s="23"/>
      <c r="W32" s="15"/>
      <c r="X32" s="15"/>
      <c r="Y32" s="15"/>
    </row>
    <row r="33" spans="1:25" ht="12.75" x14ac:dyDescent="0.2">
      <c r="A33" s="16">
        <v>43907795</v>
      </c>
      <c r="B33" s="9" t="s">
        <v>559</v>
      </c>
      <c r="C33" s="9" t="s">
        <v>21</v>
      </c>
      <c r="D33" s="9" t="s">
        <v>135</v>
      </c>
      <c r="E33" s="9" t="s">
        <v>83</v>
      </c>
      <c r="F33" s="18">
        <v>42896</v>
      </c>
      <c r="G33" s="24" t="s">
        <v>542</v>
      </c>
      <c r="H33" s="27" t="s">
        <v>8</v>
      </c>
      <c r="I33" s="49" t="str">
        <f>VLOOKUP(H33,VALIDACIONES!$A$2:$B$138,2,0)</f>
        <v>Conducir motocicleta sin observar las siguientes normas.(verlistadodesituaciones)</v>
      </c>
      <c r="J33" s="16">
        <v>368858</v>
      </c>
      <c r="K33" s="9" t="s">
        <v>86</v>
      </c>
      <c r="L33" s="55"/>
      <c r="M33" s="56"/>
      <c r="N33" s="16">
        <f t="shared" si="0"/>
        <v>6</v>
      </c>
      <c r="O33" s="16">
        <f t="shared" si="1"/>
        <v>2017</v>
      </c>
      <c r="P33" s="34"/>
      <c r="Q33" s="34"/>
      <c r="R33" s="34"/>
      <c r="S33" s="34"/>
      <c r="T33" s="34"/>
      <c r="U33" s="17"/>
      <c r="V33" s="23"/>
      <c r="W33" s="15"/>
      <c r="X33" s="15"/>
      <c r="Y33" s="15"/>
    </row>
    <row r="34" spans="1:25" ht="25.5" x14ac:dyDescent="0.2">
      <c r="A34" s="16">
        <v>70197093</v>
      </c>
      <c r="B34" s="9" t="s">
        <v>571</v>
      </c>
      <c r="C34" s="9" t="s">
        <v>556</v>
      </c>
      <c r="D34" s="9" t="s">
        <v>82</v>
      </c>
      <c r="E34" s="9" t="s">
        <v>83</v>
      </c>
      <c r="F34" s="18">
        <v>42889</v>
      </c>
      <c r="G34" s="24" t="s">
        <v>572</v>
      </c>
      <c r="H34" s="27" t="s">
        <v>10</v>
      </c>
      <c r="I34" s="49" t="str">
        <f>VLOOKUP(H34,VALIDACIONES!$A$2:$B$138,2,0)</f>
        <v>Conducir un vehículo a velocidad superior a la máxima permitida, la cual deberá estar señalizada en forma sectorizada, no obstante esta no podrá ser superior a (verlistado)</v>
      </c>
      <c r="J34" s="16">
        <v>368859</v>
      </c>
      <c r="K34" s="9" t="s">
        <v>86</v>
      </c>
      <c r="L34" s="55"/>
      <c r="M34" s="56"/>
      <c r="N34" s="16">
        <f t="shared" si="0"/>
        <v>6</v>
      </c>
      <c r="O34" s="16">
        <f t="shared" si="1"/>
        <v>2017</v>
      </c>
      <c r="P34" s="34"/>
      <c r="Q34" s="34"/>
      <c r="R34" s="34"/>
      <c r="S34" s="34"/>
      <c r="T34" s="34"/>
      <c r="U34" s="17"/>
      <c r="V34" s="23"/>
      <c r="W34" s="15"/>
      <c r="X34" s="15"/>
      <c r="Y34" s="15"/>
    </row>
    <row r="35" spans="1:25" ht="38.25" x14ac:dyDescent="0.2">
      <c r="A35" s="16">
        <v>98530767</v>
      </c>
      <c r="B35" s="9" t="s">
        <v>573</v>
      </c>
      <c r="C35" s="9" t="s">
        <v>522</v>
      </c>
      <c r="D35" s="9" t="s">
        <v>82</v>
      </c>
      <c r="E35" s="9" t="s">
        <v>83</v>
      </c>
      <c r="F35" s="18">
        <v>42898</v>
      </c>
      <c r="G35" s="24" t="s">
        <v>574</v>
      </c>
      <c r="H35" s="27" t="s">
        <v>397</v>
      </c>
      <c r="I35" s="49" t="str">
        <f>VLOOKUP(H35,VALIDACIONES!$A$2:$B$138,2,0)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35" s="16">
        <v>737717</v>
      </c>
      <c r="K35" s="9" t="s">
        <v>86</v>
      </c>
      <c r="L35" s="55"/>
      <c r="M35" s="56"/>
      <c r="N35" s="16">
        <f t="shared" si="0"/>
        <v>6</v>
      </c>
      <c r="O35" s="16">
        <f t="shared" si="1"/>
        <v>2017</v>
      </c>
      <c r="P35" s="34"/>
      <c r="Q35" s="34"/>
      <c r="R35" s="34"/>
      <c r="S35" s="34"/>
      <c r="T35" s="34"/>
      <c r="U35" s="17"/>
      <c r="V35" s="23"/>
      <c r="W35" s="15"/>
      <c r="X35" s="15"/>
      <c r="Y35" s="15"/>
    </row>
    <row r="36" spans="1:25" ht="25.5" x14ac:dyDescent="0.2">
      <c r="A36" s="16">
        <v>98566893</v>
      </c>
      <c r="B36" s="9" t="s">
        <v>575</v>
      </c>
      <c r="C36" s="9" t="s">
        <v>516</v>
      </c>
      <c r="D36" s="9" t="s">
        <v>82</v>
      </c>
      <c r="E36" s="9" t="s">
        <v>83</v>
      </c>
      <c r="F36" s="18">
        <v>42895</v>
      </c>
      <c r="G36" s="24" t="s">
        <v>576</v>
      </c>
      <c r="H36" s="27" t="s">
        <v>10</v>
      </c>
      <c r="I36" s="49" t="str">
        <f>VLOOKUP(H36,VALIDACIONES!$A$2:$B$138,2,0)</f>
        <v>Conducir un vehículo a velocidad superior a la máxima permitida, la cual deberá estar señalizada en forma sectorizada, no obstante esta no podrá ser superior a (verlistado)</v>
      </c>
      <c r="J36" s="16" t="s">
        <v>577</v>
      </c>
      <c r="K36" s="9" t="s">
        <v>86</v>
      </c>
      <c r="L36" s="55"/>
      <c r="M36" s="56"/>
      <c r="N36" s="16">
        <f t="shared" si="0"/>
        <v>6</v>
      </c>
      <c r="O36" s="16">
        <f t="shared" si="1"/>
        <v>2017</v>
      </c>
      <c r="P36" s="34"/>
      <c r="Q36" s="34"/>
      <c r="R36" s="34"/>
      <c r="S36" s="34"/>
      <c r="T36" s="34"/>
      <c r="U36" s="17"/>
      <c r="V36" s="23"/>
      <c r="W36" s="15"/>
      <c r="X36" s="15"/>
      <c r="Y36" s="15"/>
    </row>
    <row r="37" spans="1:25" ht="12.75" x14ac:dyDescent="0.2">
      <c r="A37" s="16">
        <v>1053797412</v>
      </c>
      <c r="B37" s="9" t="s">
        <v>578</v>
      </c>
      <c r="C37" s="9" t="s">
        <v>549</v>
      </c>
      <c r="D37" s="9" t="s">
        <v>82</v>
      </c>
      <c r="E37" s="9" t="s">
        <v>262</v>
      </c>
      <c r="F37" s="18">
        <v>42896</v>
      </c>
      <c r="G37" s="24" t="s">
        <v>527</v>
      </c>
      <c r="H37" s="27" t="s">
        <v>4</v>
      </c>
      <c r="I37" s="49" t="str">
        <f>VLOOKUP(H37,VALIDACIONES!$A$2:$B$138,2,0)</f>
        <v>Estacionar un vehículo en los sitios prohibidos por el Código Nacional de Tránsito, reglamentado por la Res.3027.</v>
      </c>
      <c r="J37" s="16">
        <v>368859</v>
      </c>
      <c r="K37" s="9" t="s">
        <v>86</v>
      </c>
      <c r="L37" s="55"/>
      <c r="M37" s="56"/>
      <c r="N37" s="16">
        <f t="shared" si="0"/>
        <v>6</v>
      </c>
      <c r="O37" s="16">
        <f t="shared" si="1"/>
        <v>2017</v>
      </c>
      <c r="P37" s="34"/>
      <c r="Q37" s="34"/>
      <c r="R37" s="34"/>
      <c r="S37" s="34"/>
      <c r="T37" s="34"/>
      <c r="U37" s="17"/>
      <c r="V37" s="23"/>
      <c r="W37" s="15"/>
      <c r="X37" s="15"/>
      <c r="Y37" s="15"/>
    </row>
    <row r="38" spans="1:25" ht="38.25" x14ac:dyDescent="0.2">
      <c r="A38" s="16">
        <v>1039023563</v>
      </c>
      <c r="B38" s="9" t="s">
        <v>579</v>
      </c>
      <c r="C38" s="9" t="s">
        <v>563</v>
      </c>
      <c r="D38" s="9" t="s">
        <v>82</v>
      </c>
      <c r="E38" s="9" t="s">
        <v>83</v>
      </c>
      <c r="F38" s="18">
        <v>42929</v>
      </c>
      <c r="G38" s="24" t="s">
        <v>533</v>
      </c>
      <c r="H38" s="27" t="s">
        <v>14</v>
      </c>
      <c r="I38" s="49" t="str">
        <f>VLOOKUP(H38,VALIDACIONES!$A$2:$B$138,2,0)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38" s="16">
        <v>737730</v>
      </c>
      <c r="K38" s="9" t="s">
        <v>86</v>
      </c>
      <c r="L38" s="55"/>
      <c r="M38" s="56"/>
      <c r="N38" s="16">
        <f t="shared" si="0"/>
        <v>7</v>
      </c>
      <c r="O38" s="16">
        <f t="shared" si="1"/>
        <v>2017</v>
      </c>
      <c r="P38" s="34"/>
      <c r="Q38" s="34"/>
      <c r="R38" s="34"/>
      <c r="S38" s="34"/>
      <c r="T38" s="34"/>
      <c r="U38" s="17"/>
      <c r="V38" s="23"/>
      <c r="W38" s="15"/>
      <c r="X38" s="15"/>
      <c r="Y38" s="15"/>
    </row>
    <row r="39" spans="1:25" ht="38.25" x14ac:dyDescent="0.2">
      <c r="A39" s="16">
        <v>10125296</v>
      </c>
      <c r="B39" s="9" t="s">
        <v>580</v>
      </c>
      <c r="C39" s="9" t="s">
        <v>516</v>
      </c>
      <c r="D39" s="9" t="s">
        <v>82</v>
      </c>
      <c r="E39" s="9" t="s">
        <v>262</v>
      </c>
      <c r="F39" s="18">
        <v>42943</v>
      </c>
      <c r="G39" s="24" t="s">
        <v>527</v>
      </c>
      <c r="H39" s="26" t="s">
        <v>11</v>
      </c>
      <c r="I39" s="49" t="str">
        <f>VLOOKUP(H39,VALIDACIONES!$A$2:$B$138,2,0)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9" s="16">
        <v>230537</v>
      </c>
      <c r="K39" s="9" t="s">
        <v>86</v>
      </c>
      <c r="L39" s="55"/>
      <c r="M39" s="56"/>
      <c r="N39" s="16">
        <f t="shared" si="0"/>
        <v>7</v>
      </c>
      <c r="O39" s="16">
        <f t="shared" si="1"/>
        <v>2017</v>
      </c>
      <c r="P39" s="34"/>
      <c r="Q39" s="34"/>
      <c r="R39" s="34"/>
      <c r="S39" s="34"/>
      <c r="T39" s="34"/>
      <c r="U39" s="17"/>
      <c r="V39" s="23"/>
      <c r="W39" s="15"/>
      <c r="X39" s="15"/>
      <c r="Y39" s="15"/>
    </row>
    <row r="40" spans="1:25" ht="12.75" x14ac:dyDescent="0.2">
      <c r="A40" s="16">
        <v>8399689</v>
      </c>
      <c r="B40" s="9" t="s">
        <v>581</v>
      </c>
      <c r="C40" s="9" t="s">
        <v>25</v>
      </c>
      <c r="D40" s="9" t="s">
        <v>25</v>
      </c>
      <c r="E40" s="9" t="s">
        <v>83</v>
      </c>
      <c r="F40" s="18">
        <v>42941</v>
      </c>
      <c r="G40" s="24" t="s">
        <v>542</v>
      </c>
      <c r="H40" s="27" t="s">
        <v>8</v>
      </c>
      <c r="I40" s="49" t="str">
        <f>VLOOKUP(H40,VALIDACIONES!$A$2:$B$138,2,0)</f>
        <v>Conducir motocicleta sin observar las siguientes normas.(verlistadodesituaciones)</v>
      </c>
      <c r="J40" s="16">
        <v>368858</v>
      </c>
      <c r="K40" s="9" t="s">
        <v>86</v>
      </c>
      <c r="L40" s="55"/>
      <c r="M40" s="56"/>
      <c r="N40" s="16">
        <f t="shared" si="0"/>
        <v>7</v>
      </c>
      <c r="O40" s="16">
        <f t="shared" si="1"/>
        <v>2017</v>
      </c>
      <c r="P40" s="34"/>
      <c r="Q40" s="34"/>
      <c r="R40" s="34"/>
      <c r="S40" s="34"/>
      <c r="T40" s="34"/>
      <c r="U40" s="17"/>
      <c r="V40" s="23"/>
      <c r="W40" s="15"/>
      <c r="X40" s="15"/>
      <c r="Y40" s="15"/>
    </row>
    <row r="41" spans="1:25" ht="12.75" x14ac:dyDescent="0.2">
      <c r="A41" s="16">
        <v>4519142</v>
      </c>
      <c r="B41" s="9" t="s">
        <v>582</v>
      </c>
      <c r="C41" s="9" t="s">
        <v>519</v>
      </c>
      <c r="D41" s="9" t="s">
        <v>82</v>
      </c>
      <c r="E41" s="9" t="s">
        <v>262</v>
      </c>
      <c r="F41" s="18">
        <v>42937</v>
      </c>
      <c r="G41" s="24" t="s">
        <v>527</v>
      </c>
      <c r="H41" s="27" t="s">
        <v>4</v>
      </c>
      <c r="I41" s="49" t="str">
        <f>VLOOKUP(H41,VALIDACIONES!$A$2:$B$138,2,0)</f>
        <v>Estacionar un vehículo en los sitios prohibidos por el Código Nacional de Tránsito, reglamentado por la Res.3027.</v>
      </c>
      <c r="J41" s="16">
        <v>368859</v>
      </c>
      <c r="K41" s="9" t="s">
        <v>86</v>
      </c>
      <c r="L41" s="55"/>
      <c r="M41" s="56"/>
      <c r="N41" s="16">
        <f t="shared" si="0"/>
        <v>7</v>
      </c>
      <c r="O41" s="16">
        <f t="shared" si="1"/>
        <v>2017</v>
      </c>
      <c r="P41" s="34"/>
      <c r="Q41" s="34"/>
      <c r="R41" s="34"/>
      <c r="S41" s="34"/>
      <c r="T41" s="34"/>
      <c r="U41" s="17"/>
      <c r="V41" s="23"/>
      <c r="W41" s="15"/>
      <c r="X41" s="15"/>
      <c r="Y41" s="15"/>
    </row>
    <row r="42" spans="1:25" ht="38.25" x14ac:dyDescent="0.2">
      <c r="A42" s="16">
        <v>10131845</v>
      </c>
      <c r="B42" s="9" t="s">
        <v>583</v>
      </c>
      <c r="C42" s="9" t="s">
        <v>519</v>
      </c>
      <c r="D42" s="9" t="s">
        <v>82</v>
      </c>
      <c r="E42" s="9" t="s">
        <v>262</v>
      </c>
      <c r="F42" s="18">
        <v>42950</v>
      </c>
      <c r="G42" s="24" t="s">
        <v>527</v>
      </c>
      <c r="H42" s="26" t="s">
        <v>11</v>
      </c>
      <c r="I42" s="49" t="str">
        <f>VLOOKUP(H42,VALIDACIONES!$A$2:$B$138,2,0)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42" s="16">
        <v>368859</v>
      </c>
      <c r="K42" s="9" t="s">
        <v>86</v>
      </c>
      <c r="L42" s="55"/>
      <c r="M42" s="56"/>
      <c r="N42" s="16">
        <f t="shared" si="0"/>
        <v>8</v>
      </c>
      <c r="O42" s="16">
        <f t="shared" si="1"/>
        <v>2017</v>
      </c>
      <c r="P42" s="34"/>
      <c r="Q42" s="34"/>
      <c r="R42" s="34"/>
      <c r="S42" s="34"/>
      <c r="T42" s="34"/>
      <c r="U42" s="17"/>
      <c r="V42" s="23"/>
      <c r="W42" s="15"/>
      <c r="X42" s="15"/>
      <c r="Y42" s="15"/>
    </row>
    <row r="43" spans="1:25" ht="25.5" x14ac:dyDescent="0.2">
      <c r="A43" s="16">
        <v>1033679693</v>
      </c>
      <c r="B43" s="9" t="s">
        <v>584</v>
      </c>
      <c r="C43" s="9" t="s">
        <v>522</v>
      </c>
      <c r="D43" s="9" t="s">
        <v>82</v>
      </c>
      <c r="E43" s="9" t="s">
        <v>243</v>
      </c>
      <c r="F43" s="18">
        <v>42958</v>
      </c>
      <c r="G43" s="24" t="s">
        <v>585</v>
      </c>
      <c r="H43" s="27" t="s">
        <v>31</v>
      </c>
      <c r="I43" s="49" t="str">
        <f>VLOOKUP(H43,VALIDACIONES!$A$2:$B$138,2,0)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J43" s="16" t="s">
        <v>586</v>
      </c>
      <c r="K43" s="9" t="s">
        <v>86</v>
      </c>
      <c r="L43" s="55"/>
      <c r="M43" s="56"/>
      <c r="N43" s="16">
        <f t="shared" si="0"/>
        <v>8</v>
      </c>
      <c r="O43" s="16">
        <f t="shared" si="1"/>
        <v>2017</v>
      </c>
      <c r="P43" s="34"/>
      <c r="Q43" s="34"/>
      <c r="R43" s="34"/>
      <c r="S43" s="34"/>
      <c r="T43" s="34"/>
      <c r="U43" s="17"/>
      <c r="V43" s="23"/>
      <c r="W43" s="15"/>
      <c r="X43" s="15"/>
      <c r="Y43" s="15"/>
    </row>
    <row r="44" spans="1:25" ht="25.5" x14ac:dyDescent="0.2">
      <c r="A44" s="16">
        <v>10139971</v>
      </c>
      <c r="B44" s="9" t="s">
        <v>540</v>
      </c>
      <c r="C44" s="9" t="s">
        <v>519</v>
      </c>
      <c r="D44" s="9" t="s">
        <v>82</v>
      </c>
      <c r="E44" s="9" t="s">
        <v>262</v>
      </c>
      <c r="F44" s="18">
        <v>42967</v>
      </c>
      <c r="G44" s="24" t="s">
        <v>520</v>
      </c>
      <c r="H44" s="27" t="s">
        <v>10</v>
      </c>
      <c r="I44" s="49" t="str">
        <f>VLOOKUP(H44,VALIDACIONES!$A$2:$B$138,2,0)</f>
        <v>Conducir un vehículo a velocidad superior a la máxima permitida, la cual deberá estar señalizada en forma sectorizada, no obstante esta no podrá ser superior a (verlistado)</v>
      </c>
      <c r="J44" s="16">
        <v>368858</v>
      </c>
      <c r="K44" s="9" t="s">
        <v>86</v>
      </c>
      <c r="L44" s="55"/>
      <c r="M44" s="56"/>
      <c r="N44" s="16">
        <f t="shared" si="0"/>
        <v>8</v>
      </c>
      <c r="O44" s="16">
        <f t="shared" si="1"/>
        <v>2017</v>
      </c>
      <c r="P44" s="34"/>
      <c r="Q44" s="34"/>
      <c r="R44" s="34"/>
      <c r="S44" s="34"/>
      <c r="T44" s="34"/>
      <c r="U44" s="17"/>
      <c r="V44" s="23"/>
      <c r="W44" s="15"/>
      <c r="X44" s="15"/>
      <c r="Y44" s="15"/>
    </row>
    <row r="45" spans="1:25" ht="38.25" x14ac:dyDescent="0.2">
      <c r="A45" s="16">
        <v>1152191464</v>
      </c>
      <c r="B45" s="9" t="s">
        <v>587</v>
      </c>
      <c r="C45" s="9" t="s">
        <v>522</v>
      </c>
      <c r="D45" s="9" t="s">
        <v>82</v>
      </c>
      <c r="E45" s="9" t="s">
        <v>83</v>
      </c>
      <c r="F45" s="18">
        <v>42957</v>
      </c>
      <c r="G45" s="24" t="s">
        <v>588</v>
      </c>
      <c r="H45" s="27" t="s">
        <v>14</v>
      </c>
      <c r="I45" s="49" t="str">
        <f>VLOOKUP(H45,VALIDACIONES!$A$2:$B$138,2,0)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45" s="16">
        <v>737717</v>
      </c>
      <c r="K45" s="9" t="s">
        <v>86</v>
      </c>
      <c r="L45" s="55"/>
      <c r="M45" s="56"/>
      <c r="N45" s="16">
        <f t="shared" si="0"/>
        <v>8</v>
      </c>
      <c r="O45" s="16">
        <f t="shared" si="1"/>
        <v>2017</v>
      </c>
      <c r="P45" s="34"/>
      <c r="Q45" s="34"/>
      <c r="R45" s="34"/>
      <c r="S45" s="34"/>
      <c r="T45" s="34"/>
      <c r="U45" s="17"/>
      <c r="V45" s="23"/>
      <c r="W45" s="15"/>
      <c r="X45" s="15"/>
      <c r="Y45" s="15"/>
    </row>
    <row r="46" spans="1:25" ht="12.75" x14ac:dyDescent="0.2">
      <c r="A46" s="16">
        <v>9915223</v>
      </c>
      <c r="B46" s="9" t="s">
        <v>589</v>
      </c>
      <c r="C46" s="9" t="s">
        <v>549</v>
      </c>
      <c r="D46" s="9" t="s">
        <v>82</v>
      </c>
      <c r="E46" s="9" t="s">
        <v>262</v>
      </c>
      <c r="F46" s="18">
        <v>42958</v>
      </c>
      <c r="G46" s="24" t="s">
        <v>527</v>
      </c>
      <c r="H46" s="27" t="s">
        <v>4</v>
      </c>
      <c r="I46" s="49" t="str">
        <f>VLOOKUP(H46,VALIDACIONES!$A$2:$B$138,2,0)</f>
        <v>Estacionar un vehículo en los sitios prohibidos por el Código Nacional de Tránsito, reglamentado por la Res.3027.</v>
      </c>
      <c r="J46" s="16">
        <v>368859</v>
      </c>
      <c r="K46" s="9" t="s">
        <v>86</v>
      </c>
      <c r="L46" s="55"/>
      <c r="M46" s="56"/>
      <c r="N46" s="16">
        <f t="shared" si="0"/>
        <v>8</v>
      </c>
      <c r="O46" s="16">
        <f t="shared" si="1"/>
        <v>2017</v>
      </c>
      <c r="P46" s="34"/>
      <c r="Q46" s="34"/>
      <c r="R46" s="34"/>
      <c r="S46" s="34"/>
      <c r="T46" s="34"/>
      <c r="U46" s="17"/>
      <c r="V46" s="23"/>
      <c r="W46" s="15"/>
      <c r="X46" s="15"/>
      <c r="Y46" s="15"/>
    </row>
    <row r="47" spans="1:25" ht="25.5" x14ac:dyDescent="0.2">
      <c r="A47" s="16">
        <v>10118724</v>
      </c>
      <c r="B47" s="9" t="s">
        <v>590</v>
      </c>
      <c r="C47" s="9" t="s">
        <v>549</v>
      </c>
      <c r="D47" s="9" t="s">
        <v>82</v>
      </c>
      <c r="E47" s="9" t="s">
        <v>262</v>
      </c>
      <c r="F47" s="18">
        <v>42966</v>
      </c>
      <c r="G47" s="24" t="s">
        <v>527</v>
      </c>
      <c r="H47" s="27" t="s">
        <v>13</v>
      </c>
      <c r="I47" s="49" t="str">
        <f>VLOOKUP(H47,VALIDACIONES!$A$2:$B$138,2,0)</f>
        <v>Transitarensentidocontrarioalestipuladoparalavía,calzadaocarril.Enelcasodemotocicletaseprocederaasuinmovilizaciónhastatantonosepagueelvalordelamultaolaautoridadcompetentedecidasobresuimposicionenlosterminosdelosarticulos135y136delcódigonacionaldetránsito.</v>
      </c>
      <c r="J47" s="16">
        <v>737717</v>
      </c>
      <c r="K47" s="9" t="s">
        <v>86</v>
      </c>
      <c r="L47" s="55"/>
      <c r="M47" s="56"/>
      <c r="N47" s="16">
        <f t="shared" si="0"/>
        <v>8</v>
      </c>
      <c r="O47" s="16">
        <f t="shared" si="1"/>
        <v>2017</v>
      </c>
      <c r="P47" s="34"/>
      <c r="Q47" s="34"/>
      <c r="R47" s="34"/>
      <c r="S47" s="34"/>
      <c r="T47" s="34"/>
      <c r="U47" s="17"/>
      <c r="V47" s="23"/>
      <c r="W47" s="15"/>
      <c r="X47" s="15"/>
      <c r="Y47" s="15"/>
    </row>
    <row r="48" spans="1:25" ht="12.75" x14ac:dyDescent="0.2">
      <c r="A48" s="16">
        <v>8187606</v>
      </c>
      <c r="B48" s="9" t="s">
        <v>591</v>
      </c>
      <c r="C48" s="9" t="s">
        <v>522</v>
      </c>
      <c r="D48" s="9" t="s">
        <v>82</v>
      </c>
      <c r="E48" s="9" t="s">
        <v>83</v>
      </c>
      <c r="F48" s="18">
        <v>42961</v>
      </c>
      <c r="G48" s="24" t="s">
        <v>592</v>
      </c>
      <c r="H48" s="27" t="s">
        <v>32</v>
      </c>
      <c r="I48" s="49" t="str">
        <f>VLOOKUP(H48,VALIDACIONES!$A$2:$B$138,2,0)</f>
        <v>No acatar las señales o requerimientos impartidos por los agentes de Tránsito.</v>
      </c>
      <c r="J48" s="16">
        <v>368859</v>
      </c>
      <c r="K48" s="9" t="s">
        <v>86</v>
      </c>
      <c r="L48" s="55"/>
      <c r="M48" s="56"/>
      <c r="N48" s="16">
        <f t="shared" si="0"/>
        <v>8</v>
      </c>
      <c r="O48" s="16">
        <f t="shared" si="1"/>
        <v>2017</v>
      </c>
      <c r="P48" s="34"/>
      <c r="Q48" s="34"/>
      <c r="R48" s="34"/>
      <c r="S48" s="34"/>
      <c r="T48" s="34"/>
      <c r="U48" s="17"/>
      <c r="V48" s="23"/>
      <c r="W48" s="15"/>
      <c r="X48" s="15"/>
      <c r="Y48" s="15"/>
    </row>
    <row r="49" spans="1:25" ht="12.75" x14ac:dyDescent="0.2">
      <c r="A49" s="16">
        <v>3468974</v>
      </c>
      <c r="B49" s="9" t="s">
        <v>593</v>
      </c>
      <c r="C49" s="9" t="s">
        <v>516</v>
      </c>
      <c r="D49" s="9" t="s">
        <v>82</v>
      </c>
      <c r="E49" s="9" t="s">
        <v>83</v>
      </c>
      <c r="F49" s="18">
        <v>42955</v>
      </c>
      <c r="G49" s="24" t="s">
        <v>525</v>
      </c>
      <c r="H49" s="27" t="s">
        <v>276</v>
      </c>
      <c r="I49" s="49" t="str">
        <f>VLOOKUP(H49,VALIDACIONES!$A$2:$B$138,2,0)</f>
        <v>Conducir un vehículo sin llevar consigo la licencia de conducción.</v>
      </c>
      <c r="J49" s="16">
        <v>196728</v>
      </c>
      <c r="K49" s="9" t="s">
        <v>86</v>
      </c>
      <c r="L49" s="55"/>
      <c r="M49" s="56"/>
      <c r="N49" s="16">
        <f t="shared" si="0"/>
        <v>8</v>
      </c>
      <c r="O49" s="16">
        <f t="shared" si="1"/>
        <v>2017</v>
      </c>
      <c r="P49" s="34"/>
      <c r="Q49" s="34"/>
      <c r="R49" s="34"/>
      <c r="S49" s="34"/>
      <c r="T49" s="34"/>
      <c r="U49" s="17"/>
      <c r="V49" s="23"/>
      <c r="W49" s="15"/>
      <c r="X49" s="15"/>
      <c r="Y49" s="15"/>
    </row>
    <row r="50" spans="1:25" ht="12.75" x14ac:dyDescent="0.2">
      <c r="A50" s="16">
        <v>71694692</v>
      </c>
      <c r="B50" s="9" t="s">
        <v>594</v>
      </c>
      <c r="C50" s="9" t="s">
        <v>522</v>
      </c>
      <c r="D50" s="9" t="s">
        <v>82</v>
      </c>
      <c r="E50" s="9" t="s">
        <v>83</v>
      </c>
      <c r="F50" s="18">
        <v>42971</v>
      </c>
      <c r="G50" s="24" t="s">
        <v>533</v>
      </c>
      <c r="H50" s="27" t="s">
        <v>4</v>
      </c>
      <c r="I50" s="49" t="str">
        <f>VLOOKUP(H50,VALIDACIONES!$A$2:$B$138,2,0)</f>
        <v>Estacionar un vehículo en los sitios prohibidos por el Código Nacional de Tránsito, reglamentado por la Res.3027.</v>
      </c>
      <c r="J50" s="16">
        <v>368865</v>
      </c>
      <c r="K50" s="9" t="s">
        <v>86</v>
      </c>
      <c r="L50" s="55"/>
      <c r="M50" s="56"/>
      <c r="N50" s="16">
        <f t="shared" si="0"/>
        <v>8</v>
      </c>
      <c r="O50" s="16">
        <f t="shared" si="1"/>
        <v>2017</v>
      </c>
      <c r="P50" s="34"/>
      <c r="Q50" s="34"/>
      <c r="R50" s="34"/>
      <c r="S50" s="34"/>
      <c r="T50" s="34"/>
      <c r="U50" s="17"/>
      <c r="V50" s="23"/>
      <c r="W50" s="15"/>
      <c r="X50" s="15"/>
      <c r="Y50" s="15"/>
    </row>
    <row r="51" spans="1:25" ht="25.5" x14ac:dyDescent="0.2">
      <c r="A51" s="16">
        <v>1037593068</v>
      </c>
      <c r="B51" s="9" t="s">
        <v>595</v>
      </c>
      <c r="C51" s="17" t="s">
        <v>596</v>
      </c>
      <c r="D51" s="9" t="s">
        <v>82</v>
      </c>
      <c r="E51" s="9" t="s">
        <v>83</v>
      </c>
      <c r="F51" s="18">
        <v>42985</v>
      </c>
      <c r="G51" s="24" t="s">
        <v>597</v>
      </c>
      <c r="H51" s="27" t="s">
        <v>10</v>
      </c>
      <c r="I51" s="49" t="str">
        <f>VLOOKUP(H51,VALIDACIONES!$A$2:$B$138,2,0)</f>
        <v>Conducir un vehículo a velocidad superior a la máxima permitida, la cual deberá estar señalizada en forma sectorizada, no obstante esta no podrá ser superior a (verlistado)</v>
      </c>
      <c r="J51" s="16">
        <v>36887</v>
      </c>
      <c r="K51" s="9" t="s">
        <v>86</v>
      </c>
      <c r="L51" s="55"/>
      <c r="M51" s="55"/>
      <c r="N51" s="16">
        <f t="shared" si="0"/>
        <v>9</v>
      </c>
      <c r="O51" s="16">
        <f t="shared" si="1"/>
        <v>2017</v>
      </c>
      <c r="P51" s="34"/>
      <c r="Q51" s="34"/>
      <c r="R51" s="34"/>
      <c r="S51" s="34"/>
      <c r="T51" s="34"/>
      <c r="U51" s="17"/>
      <c r="V51" s="23"/>
      <c r="W51" s="15"/>
      <c r="X51" s="15"/>
      <c r="Y51" s="15"/>
    </row>
    <row r="52" spans="1:25" ht="12.75" x14ac:dyDescent="0.2">
      <c r="A52" s="16">
        <v>71674351</v>
      </c>
      <c r="B52" s="9" t="s">
        <v>598</v>
      </c>
      <c r="C52" s="9" t="s">
        <v>25</v>
      </c>
      <c r="D52" s="9" t="s">
        <v>25</v>
      </c>
      <c r="E52" s="9" t="s">
        <v>83</v>
      </c>
      <c r="F52" s="18">
        <v>42990</v>
      </c>
      <c r="G52" s="24" t="s">
        <v>542</v>
      </c>
      <c r="H52" s="27" t="s">
        <v>8</v>
      </c>
      <c r="I52" s="49" t="str">
        <f>VLOOKUP(H52,VALIDACIONES!$A$2:$B$138,2,0)</f>
        <v>Conducir motocicleta sin observar las siguientes normas.(verlistadodesituaciones)</v>
      </c>
      <c r="J52" s="16">
        <v>368858</v>
      </c>
      <c r="K52" s="9" t="s">
        <v>86</v>
      </c>
      <c r="L52" s="55"/>
      <c r="M52" s="55"/>
      <c r="N52" s="16">
        <f t="shared" si="0"/>
        <v>9</v>
      </c>
      <c r="O52" s="16">
        <f t="shared" si="1"/>
        <v>2017</v>
      </c>
      <c r="P52" s="34"/>
      <c r="Q52" s="34"/>
      <c r="R52" s="34"/>
      <c r="S52" s="34"/>
      <c r="T52" s="34"/>
      <c r="U52" s="17"/>
      <c r="V52" s="23"/>
      <c r="W52" s="15"/>
      <c r="X52" s="15"/>
      <c r="Y52" s="15"/>
    </row>
    <row r="53" spans="1:25" ht="25.5" x14ac:dyDescent="0.2">
      <c r="A53" s="16">
        <v>70509776</v>
      </c>
      <c r="B53" s="9" t="s">
        <v>599</v>
      </c>
      <c r="C53" s="9" t="s">
        <v>522</v>
      </c>
      <c r="D53" s="9" t="s">
        <v>82</v>
      </c>
      <c r="E53" s="9" t="s">
        <v>83</v>
      </c>
      <c r="F53" s="18">
        <v>42990</v>
      </c>
      <c r="G53" s="24" t="s">
        <v>597</v>
      </c>
      <c r="H53" s="27" t="s">
        <v>10</v>
      </c>
      <c r="I53" s="49" t="str">
        <f>VLOOKUP(H53,VALIDACIONES!$A$2:$B$138,2,0)</f>
        <v>Conducir un vehículo a velocidad superior a la máxima permitida, la cual deberá estar señalizada en forma sectorizada, no obstante esta no podrá ser superior a (verlistado)</v>
      </c>
      <c r="J53" s="16">
        <v>36887</v>
      </c>
      <c r="K53" s="9" t="s">
        <v>86</v>
      </c>
      <c r="L53" s="55"/>
      <c r="M53" s="55"/>
      <c r="N53" s="16">
        <f t="shared" si="0"/>
        <v>9</v>
      </c>
      <c r="O53" s="16">
        <f t="shared" si="1"/>
        <v>2017</v>
      </c>
      <c r="P53" s="34"/>
      <c r="Q53" s="34"/>
      <c r="R53" s="34"/>
      <c r="S53" s="34"/>
      <c r="T53" s="34"/>
      <c r="U53" s="17"/>
      <c r="V53" s="23"/>
      <c r="W53" s="15"/>
      <c r="X53" s="15"/>
      <c r="Y53" s="15"/>
    </row>
    <row r="54" spans="1:25" ht="12.75" x14ac:dyDescent="0.2">
      <c r="A54" s="16">
        <v>15516017</v>
      </c>
      <c r="B54" s="9" t="s">
        <v>600</v>
      </c>
      <c r="C54" s="9" t="s">
        <v>563</v>
      </c>
      <c r="D54" s="9" t="s">
        <v>82</v>
      </c>
      <c r="E54" s="9" t="s">
        <v>83</v>
      </c>
      <c r="F54" s="18">
        <v>43000</v>
      </c>
      <c r="G54" s="24" t="s">
        <v>601</v>
      </c>
      <c r="H54" s="27" t="s">
        <v>15</v>
      </c>
      <c r="I54" s="49" t="str">
        <f>VLOOKUP(H54,VALIDACIONES!$A$2:$B$138,2,0)</f>
        <v>Las demas conductas que constituyan infraccion a las normas de transito y que no se encuentren descritas en este acto administrativo.</v>
      </c>
      <c r="J54" s="16" t="s">
        <v>172</v>
      </c>
      <c r="K54" s="9" t="s">
        <v>86</v>
      </c>
      <c r="L54" s="55"/>
      <c r="M54" s="55"/>
      <c r="N54" s="16">
        <f t="shared" si="0"/>
        <v>9</v>
      </c>
      <c r="O54" s="16">
        <f t="shared" si="1"/>
        <v>2017</v>
      </c>
      <c r="P54" s="34"/>
      <c r="Q54" s="34"/>
      <c r="R54" s="34"/>
      <c r="S54" s="34"/>
      <c r="T54" s="34"/>
      <c r="U54" s="17"/>
      <c r="V54" s="23"/>
      <c r="W54" s="15"/>
      <c r="X54" s="15"/>
      <c r="Y54" s="15"/>
    </row>
    <row r="55" spans="1:25" ht="25.5" x14ac:dyDescent="0.2">
      <c r="A55" s="16">
        <v>98643488</v>
      </c>
      <c r="B55" s="9" t="s">
        <v>602</v>
      </c>
      <c r="C55" s="9" t="s">
        <v>522</v>
      </c>
      <c r="D55" s="9" t="s">
        <v>82</v>
      </c>
      <c r="E55" s="9" t="s">
        <v>83</v>
      </c>
      <c r="F55" s="18">
        <v>43004</v>
      </c>
      <c r="G55" s="24" t="s">
        <v>542</v>
      </c>
      <c r="H55" s="27" t="s">
        <v>10</v>
      </c>
      <c r="I55" s="49" t="str">
        <f>VLOOKUP(H55,VALIDACIONES!$A$2:$B$138,2,0)</f>
        <v>Conducir un vehículo a velocidad superior a la máxima permitida, la cual deberá estar señalizada en forma sectorizada, no obstante esta no podrá ser superior a (verlistado)</v>
      </c>
      <c r="J55" s="16">
        <v>368858</v>
      </c>
      <c r="K55" s="9" t="s">
        <v>86</v>
      </c>
      <c r="L55" s="55"/>
      <c r="M55" s="55"/>
      <c r="N55" s="16">
        <f t="shared" si="0"/>
        <v>9</v>
      </c>
      <c r="O55" s="16">
        <f t="shared" si="1"/>
        <v>2017</v>
      </c>
      <c r="P55" s="34"/>
      <c r="Q55" s="34"/>
      <c r="R55" s="34"/>
      <c r="S55" s="34"/>
      <c r="T55" s="34"/>
      <c r="U55" s="17"/>
      <c r="V55" s="23"/>
      <c r="W55" s="15"/>
      <c r="X55" s="15"/>
      <c r="Y55" s="15"/>
    </row>
    <row r="56" spans="1:25" ht="12.75" x14ac:dyDescent="0.2">
      <c r="A56" s="16">
        <v>1094902521</v>
      </c>
      <c r="B56" s="9" t="s">
        <v>603</v>
      </c>
      <c r="C56" s="9" t="s">
        <v>516</v>
      </c>
      <c r="D56" s="9" t="s">
        <v>82</v>
      </c>
      <c r="E56" s="9" t="s">
        <v>239</v>
      </c>
      <c r="F56" s="18">
        <v>42982</v>
      </c>
      <c r="G56" s="24" t="s">
        <v>539</v>
      </c>
      <c r="H56" s="27" t="s">
        <v>276</v>
      </c>
      <c r="I56" s="49" t="str">
        <f>VLOOKUP(H56,VALIDACIONES!$A$2:$B$138,2,0)</f>
        <v>Conducir un vehículo sin llevar consigo la licencia de conducción.</v>
      </c>
      <c r="J56" s="16">
        <v>196728</v>
      </c>
      <c r="K56" s="9" t="s">
        <v>86</v>
      </c>
      <c r="L56" s="55"/>
      <c r="M56" s="55"/>
      <c r="N56" s="16">
        <f t="shared" si="0"/>
        <v>9</v>
      </c>
      <c r="O56" s="16">
        <f t="shared" si="1"/>
        <v>2017</v>
      </c>
      <c r="P56" s="34"/>
      <c r="Q56" s="34"/>
      <c r="R56" s="34"/>
      <c r="S56" s="34"/>
      <c r="T56" s="34"/>
      <c r="U56" s="17"/>
      <c r="V56" s="23"/>
      <c r="W56" s="15"/>
      <c r="X56" s="15"/>
      <c r="Y56" s="15"/>
    </row>
    <row r="57" spans="1:25" ht="12.75" x14ac:dyDescent="0.2">
      <c r="A57" s="16">
        <v>8294503</v>
      </c>
      <c r="B57" s="9" t="s">
        <v>604</v>
      </c>
      <c r="C57" s="9" t="s">
        <v>522</v>
      </c>
      <c r="D57" s="9" t="s">
        <v>82</v>
      </c>
      <c r="E57" s="9" t="s">
        <v>83</v>
      </c>
      <c r="F57" s="18">
        <v>42990</v>
      </c>
      <c r="G57" s="24" t="s">
        <v>525</v>
      </c>
      <c r="H57" s="27" t="s">
        <v>4</v>
      </c>
      <c r="I57" s="49" t="str">
        <f>VLOOKUP(H57,VALIDACIONES!$A$2:$B$138,2,0)</f>
        <v>Estacionar un vehículo en los sitios prohibidos por el Código Nacional de Tránsito, reglamentado por la Res.3027.</v>
      </c>
      <c r="J57" s="16">
        <v>368865</v>
      </c>
      <c r="K57" s="9" t="s">
        <v>86</v>
      </c>
      <c r="L57" s="55"/>
      <c r="M57" s="55"/>
      <c r="N57" s="16">
        <f t="shared" si="0"/>
        <v>9</v>
      </c>
      <c r="O57" s="16">
        <f t="shared" si="1"/>
        <v>2017</v>
      </c>
      <c r="P57" s="34"/>
      <c r="Q57" s="34"/>
      <c r="R57" s="34"/>
      <c r="S57" s="34"/>
      <c r="T57" s="34"/>
      <c r="U57" s="17"/>
      <c r="V57" s="23"/>
      <c r="W57" s="15"/>
      <c r="X57" s="15"/>
      <c r="Y57" s="15"/>
    </row>
    <row r="58" spans="1:25" ht="25.5" x14ac:dyDescent="0.2">
      <c r="A58" s="16">
        <v>1088302838</v>
      </c>
      <c r="B58" s="9" t="s">
        <v>605</v>
      </c>
      <c r="C58" s="17" t="s">
        <v>519</v>
      </c>
      <c r="D58" s="9" t="s">
        <v>82</v>
      </c>
      <c r="E58" s="9" t="s">
        <v>262</v>
      </c>
      <c r="F58" s="18">
        <v>43006</v>
      </c>
      <c r="G58" s="24" t="s">
        <v>520</v>
      </c>
      <c r="H58" s="27" t="s">
        <v>13</v>
      </c>
      <c r="I58" s="49" t="str">
        <f>VLOOKUP(H58,VALIDACIONES!$A$2:$B$138,2,0)</f>
        <v>Transitarensentidocontrarioalestipuladoparalavía,calzadaocarril.Enelcasodemotocicletaseprocederaasuinmovilizaciónhastatantonosepagueelvalordelamultaolaautoridadcompetentedecidasobresuimposicionenlosterminosdelosarticulos135y136delcódigonacionaldetránsito.</v>
      </c>
      <c r="J58" s="16">
        <v>737717</v>
      </c>
      <c r="K58" s="9" t="s">
        <v>86</v>
      </c>
      <c r="L58" s="55"/>
      <c r="M58" s="55"/>
      <c r="N58" s="16">
        <f t="shared" si="0"/>
        <v>9</v>
      </c>
      <c r="O58" s="16">
        <f t="shared" si="1"/>
        <v>2017</v>
      </c>
      <c r="P58" s="34"/>
      <c r="Q58" s="34"/>
      <c r="R58" s="34"/>
      <c r="S58" s="34"/>
      <c r="T58" s="34"/>
      <c r="U58" s="17"/>
      <c r="V58" s="23"/>
      <c r="W58" s="15"/>
      <c r="X58" s="15"/>
      <c r="Y58" s="15"/>
    </row>
    <row r="59" spans="1:25" ht="25.5" x14ac:dyDescent="0.2">
      <c r="A59" s="16">
        <v>70093672</v>
      </c>
      <c r="B59" s="9" t="s">
        <v>606</v>
      </c>
      <c r="C59" s="9" t="s">
        <v>522</v>
      </c>
      <c r="D59" s="9" t="s">
        <v>82</v>
      </c>
      <c r="E59" s="9" t="s">
        <v>83</v>
      </c>
      <c r="F59" s="18">
        <v>42991</v>
      </c>
      <c r="G59" s="24" t="s">
        <v>542</v>
      </c>
      <c r="H59" s="27" t="s">
        <v>10</v>
      </c>
      <c r="I59" s="49" t="str">
        <f>VLOOKUP(H59,VALIDACIONES!$A$2:$B$138,2,0)</f>
        <v>Conducir un vehículo a velocidad superior a la máxima permitida, la cual deberá estar señalizada en forma sectorizada, no obstante esta no podrá ser superior a (verlistado)</v>
      </c>
      <c r="J59" s="16">
        <v>368858</v>
      </c>
      <c r="K59" s="9" t="s">
        <v>86</v>
      </c>
      <c r="L59" s="55"/>
      <c r="M59" s="55"/>
      <c r="N59" s="16">
        <f t="shared" si="0"/>
        <v>9</v>
      </c>
      <c r="O59" s="16">
        <f t="shared" si="1"/>
        <v>2017</v>
      </c>
      <c r="P59" s="34"/>
      <c r="Q59" s="34"/>
      <c r="R59" s="34"/>
      <c r="S59" s="34"/>
      <c r="T59" s="34"/>
      <c r="U59" s="17"/>
      <c r="V59" s="23"/>
      <c r="W59" s="15"/>
      <c r="X59" s="15"/>
      <c r="Y59" s="15"/>
    </row>
    <row r="60" spans="1:25" ht="51" x14ac:dyDescent="0.2">
      <c r="A60" s="16">
        <v>1107055509</v>
      </c>
      <c r="B60" s="9" t="s">
        <v>534</v>
      </c>
      <c r="C60" s="9" t="s">
        <v>516</v>
      </c>
      <c r="D60" s="9" t="s">
        <v>82</v>
      </c>
      <c r="E60" s="17" t="s">
        <v>251</v>
      </c>
      <c r="F60" s="18">
        <v>42980</v>
      </c>
      <c r="G60" s="24" t="s">
        <v>535</v>
      </c>
      <c r="H60" s="27" t="s">
        <v>283</v>
      </c>
      <c r="I60" s="49" t="str">
        <f>VLOOKUP(H60,VALIDACIONES!$A$2:$B$138,2,0)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60" s="16">
        <v>221328</v>
      </c>
      <c r="K60" s="9" t="s">
        <v>86</v>
      </c>
      <c r="L60" s="55"/>
      <c r="M60" s="55"/>
      <c r="N60" s="16">
        <f t="shared" si="0"/>
        <v>9</v>
      </c>
      <c r="O60" s="16">
        <f t="shared" si="1"/>
        <v>2017</v>
      </c>
      <c r="P60" s="34"/>
      <c r="Q60" s="34"/>
      <c r="R60" s="34"/>
      <c r="S60" s="34"/>
      <c r="T60" s="34"/>
      <c r="U60" s="17"/>
      <c r="V60" s="23"/>
      <c r="W60" s="15"/>
      <c r="X60" s="15"/>
      <c r="Y60" s="15"/>
    </row>
    <row r="61" spans="1:25" ht="25.5" x14ac:dyDescent="0.2">
      <c r="A61" s="16">
        <v>70518460</v>
      </c>
      <c r="B61" s="9" t="s">
        <v>607</v>
      </c>
      <c r="C61" s="9" t="s">
        <v>516</v>
      </c>
      <c r="D61" s="9" t="s">
        <v>82</v>
      </c>
      <c r="E61" s="9" t="s">
        <v>83</v>
      </c>
      <c r="F61" s="18">
        <v>43005</v>
      </c>
      <c r="G61" s="24" t="s">
        <v>557</v>
      </c>
      <c r="H61" s="27" t="s">
        <v>385</v>
      </c>
      <c r="I61" s="49" t="str">
        <f>VLOOKUP(H61,VALIDACIONES!$A$2:$B$138,2,0)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61" s="16">
        <v>368865</v>
      </c>
      <c r="K61" s="9" t="s">
        <v>86</v>
      </c>
      <c r="L61" s="55"/>
      <c r="M61" s="55"/>
      <c r="N61" s="16">
        <f t="shared" si="0"/>
        <v>9</v>
      </c>
      <c r="O61" s="16">
        <f t="shared" si="1"/>
        <v>2017</v>
      </c>
      <c r="P61" s="34"/>
      <c r="Q61" s="34"/>
      <c r="R61" s="34"/>
      <c r="S61" s="34"/>
      <c r="T61" s="34"/>
      <c r="U61" s="17"/>
      <c r="V61" s="23"/>
      <c r="W61" s="15"/>
      <c r="X61" s="15"/>
      <c r="Y61" s="15"/>
    </row>
    <row r="62" spans="1:25" ht="38.25" x14ac:dyDescent="0.2">
      <c r="A62" s="16">
        <v>71691380</v>
      </c>
      <c r="B62" s="9" t="s">
        <v>608</v>
      </c>
      <c r="C62" s="9" t="s">
        <v>522</v>
      </c>
      <c r="D62" s="9" t="s">
        <v>82</v>
      </c>
      <c r="E62" s="9" t="s">
        <v>83</v>
      </c>
      <c r="F62" s="18">
        <v>43007</v>
      </c>
      <c r="G62" s="24" t="s">
        <v>592</v>
      </c>
      <c r="H62" s="27" t="s">
        <v>397</v>
      </c>
      <c r="I62" s="49" t="str">
        <f>VLOOKUP(H62,VALIDACIONES!$A$2:$B$138,2,0)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62" s="16">
        <v>737717</v>
      </c>
      <c r="K62" s="9" t="s">
        <v>86</v>
      </c>
      <c r="L62" s="55"/>
      <c r="M62" s="55"/>
      <c r="N62" s="16">
        <f t="shared" si="0"/>
        <v>9</v>
      </c>
      <c r="O62" s="16">
        <f t="shared" si="1"/>
        <v>2017</v>
      </c>
      <c r="P62" s="34"/>
      <c r="Q62" s="34"/>
      <c r="R62" s="34"/>
      <c r="S62" s="34"/>
      <c r="T62" s="34"/>
      <c r="U62" s="17"/>
      <c r="V62" s="23"/>
      <c r="W62" s="15"/>
      <c r="X62" s="15"/>
      <c r="Y62" s="15"/>
    </row>
    <row r="63" spans="1:25" ht="38.25" x14ac:dyDescent="0.2">
      <c r="A63" s="16">
        <v>71765988</v>
      </c>
      <c r="B63" s="9" t="s">
        <v>609</v>
      </c>
      <c r="C63" s="17" t="s">
        <v>563</v>
      </c>
      <c r="D63" s="9" t="s">
        <v>82</v>
      </c>
      <c r="E63" s="9" t="s">
        <v>83</v>
      </c>
      <c r="F63" s="18">
        <v>43005</v>
      </c>
      <c r="G63" s="24" t="s">
        <v>610</v>
      </c>
      <c r="H63" s="26" t="s">
        <v>11</v>
      </c>
      <c r="I63" s="49" t="str">
        <f>VLOOKUP(H63,VALIDACIONES!$A$2:$B$138,2,0)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63" s="16">
        <v>368859</v>
      </c>
      <c r="K63" s="9" t="s">
        <v>86</v>
      </c>
      <c r="L63" s="55"/>
      <c r="M63" s="55"/>
      <c r="N63" s="16">
        <f t="shared" si="0"/>
        <v>9</v>
      </c>
      <c r="O63" s="16">
        <f t="shared" si="1"/>
        <v>2017</v>
      </c>
      <c r="P63" s="34"/>
      <c r="Q63" s="34"/>
      <c r="R63" s="34"/>
      <c r="S63" s="34"/>
      <c r="T63" s="34"/>
      <c r="U63" s="17"/>
      <c r="V63" s="23"/>
      <c r="W63" s="15"/>
      <c r="X63" s="15"/>
      <c r="Y63" s="15"/>
    </row>
    <row r="64" spans="1:25" ht="12.75" x14ac:dyDescent="0.2">
      <c r="A64" s="16">
        <v>4390053</v>
      </c>
      <c r="B64" s="9" t="s">
        <v>567</v>
      </c>
      <c r="C64" s="9" t="s">
        <v>516</v>
      </c>
      <c r="D64" s="9" t="s">
        <v>82</v>
      </c>
      <c r="E64" s="9" t="s">
        <v>262</v>
      </c>
      <c r="F64" s="18">
        <v>43025</v>
      </c>
      <c r="G64" s="24" t="s">
        <v>611</v>
      </c>
      <c r="H64" s="27" t="s">
        <v>329</v>
      </c>
      <c r="I64" s="49" t="str">
        <f>VLOOKUP(H64,VALIDACIONES!$A$2:$B$138,2,0)</f>
        <v>Estacionarunvehículosintomarlassiguientesprecauciones:(verlistado)</v>
      </c>
      <c r="J64" s="16">
        <v>368850</v>
      </c>
      <c r="K64" s="9" t="s">
        <v>86</v>
      </c>
      <c r="L64" s="55"/>
      <c r="M64" s="55"/>
      <c r="N64" s="16">
        <v>10</v>
      </c>
      <c r="O64" s="16">
        <f t="shared" si="1"/>
        <v>2017</v>
      </c>
      <c r="P64" s="34"/>
      <c r="Q64" s="34"/>
      <c r="R64" s="34"/>
      <c r="S64" s="34"/>
      <c r="T64" s="34"/>
      <c r="U64" s="17"/>
      <c r="V64" s="23"/>
      <c r="W64" s="15"/>
      <c r="X64" s="15"/>
      <c r="Y64" s="15"/>
    </row>
    <row r="65" spans="1:25" ht="25.5" x14ac:dyDescent="0.2">
      <c r="A65" s="16">
        <v>1035521496</v>
      </c>
      <c r="B65" s="9" t="s">
        <v>612</v>
      </c>
      <c r="C65" s="17" t="s">
        <v>563</v>
      </c>
      <c r="D65" s="9" t="s">
        <v>82</v>
      </c>
      <c r="E65" s="9" t="s">
        <v>83</v>
      </c>
      <c r="F65" s="18">
        <v>43027</v>
      </c>
      <c r="G65" s="24" t="s">
        <v>533</v>
      </c>
      <c r="H65" s="27" t="s">
        <v>383</v>
      </c>
      <c r="I65" s="49" t="str">
        <f>VLOOKUP(H65,VALIDACIONES!$A$2:$B$138,2,0)</f>
        <v>Transportar pasajeros en el platón de una camioneta picó o en laplataforma de un vehículo de carga, trátese de furgón o plataforma de estacas.</v>
      </c>
      <c r="J65" s="16">
        <v>368865</v>
      </c>
      <c r="K65" s="9" t="s">
        <v>86</v>
      </c>
      <c r="L65" s="55"/>
      <c r="M65" s="55"/>
      <c r="N65" s="16">
        <v>10</v>
      </c>
      <c r="O65" s="16">
        <f t="shared" si="1"/>
        <v>2017</v>
      </c>
      <c r="P65" s="34"/>
      <c r="Q65" s="34"/>
      <c r="R65" s="34"/>
      <c r="S65" s="34"/>
      <c r="T65" s="34"/>
      <c r="U65" s="17"/>
      <c r="V65" s="23"/>
      <c r="W65" s="15"/>
      <c r="X65" s="15"/>
      <c r="Y65" s="15"/>
    </row>
    <row r="66" spans="1:25" ht="51" x14ac:dyDescent="0.2">
      <c r="A66" s="16">
        <v>98657031</v>
      </c>
      <c r="B66" s="9" t="s">
        <v>613</v>
      </c>
      <c r="C66" s="17" t="s">
        <v>563</v>
      </c>
      <c r="D66" s="9" t="s">
        <v>82</v>
      </c>
      <c r="E66" s="9" t="s">
        <v>83</v>
      </c>
      <c r="F66" s="18">
        <v>43029</v>
      </c>
      <c r="G66" s="24" t="s">
        <v>533</v>
      </c>
      <c r="H66" s="27" t="s">
        <v>283</v>
      </c>
      <c r="I66" s="49" t="str">
        <f>VLOOKUP(H66,VALIDACIONES!$A$2:$B$138,2,0)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66" s="16">
        <v>196728</v>
      </c>
      <c r="K66" s="9" t="s">
        <v>86</v>
      </c>
      <c r="L66" s="55"/>
      <c r="M66" s="55"/>
      <c r="N66" s="16">
        <v>10</v>
      </c>
      <c r="O66" s="16">
        <f t="shared" si="1"/>
        <v>2017</v>
      </c>
      <c r="P66" s="34"/>
      <c r="Q66" s="34"/>
      <c r="R66" s="34"/>
      <c r="S66" s="34"/>
      <c r="T66" s="34"/>
      <c r="U66" s="17"/>
      <c r="V66" s="23"/>
      <c r="W66" s="15"/>
      <c r="X66" s="15"/>
      <c r="Y66" s="15"/>
    </row>
    <row r="67" spans="1:25" ht="38.25" x14ac:dyDescent="0.2">
      <c r="A67" s="16">
        <v>1110514655</v>
      </c>
      <c r="B67" s="9" t="s">
        <v>614</v>
      </c>
      <c r="C67" s="17" t="s">
        <v>516</v>
      </c>
      <c r="D67" s="9" t="s">
        <v>82</v>
      </c>
      <c r="E67" s="9" t="s">
        <v>255</v>
      </c>
      <c r="F67" s="18">
        <v>43058</v>
      </c>
      <c r="G67" s="24" t="s">
        <v>615</v>
      </c>
      <c r="H67" s="26" t="s">
        <v>11</v>
      </c>
      <c r="I67" s="49" t="str">
        <f>VLOOKUP(H67,VALIDACIONES!$A$2:$B$138,2,0)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67" s="16">
        <v>123783</v>
      </c>
      <c r="K67" s="9" t="s">
        <v>86</v>
      </c>
      <c r="L67" s="55"/>
      <c r="M67" s="55"/>
      <c r="N67" s="16">
        <v>11</v>
      </c>
      <c r="O67" s="16">
        <f t="shared" si="1"/>
        <v>2017</v>
      </c>
      <c r="P67" s="34"/>
      <c r="Q67" s="34"/>
      <c r="R67" s="34"/>
      <c r="S67" s="34"/>
      <c r="T67" s="34"/>
      <c r="U67" s="17"/>
      <c r="V67" s="23"/>
      <c r="W67" s="15"/>
      <c r="X67" s="15"/>
      <c r="Y67" s="15"/>
    </row>
    <row r="68" spans="1:25" ht="38.25" x14ac:dyDescent="0.2">
      <c r="A68" s="16">
        <v>70001338</v>
      </c>
      <c r="B68" s="9" t="s">
        <v>616</v>
      </c>
      <c r="C68" s="9" t="s">
        <v>25</v>
      </c>
      <c r="D68" s="9" t="s">
        <v>25</v>
      </c>
      <c r="E68" s="9" t="s">
        <v>83</v>
      </c>
      <c r="F68" s="18">
        <v>43061</v>
      </c>
      <c r="G68" s="24" t="s">
        <v>617</v>
      </c>
      <c r="H68" s="27" t="s">
        <v>399</v>
      </c>
      <c r="I68" s="49" t="str">
        <f>VLOOKUP(H68,VALIDACIONES!$A$2:$B$138,2,0)</f>
        <v>Conducirrealizandomaniobrasaltamentepeligrosaseirresponsablesqueponganenpeligroalaspersonasolascosas.Enelcasodemotocicletaseprocederaasuinmovilizaciónhastatantonosepagueelvalordelamultaolaautoridadcompetentedecidasobresuimposicionenlosterminosdelosarticulos135y136delcódigonacionaldetránsito.</v>
      </c>
      <c r="J68" s="16">
        <v>737717</v>
      </c>
      <c r="K68" s="9" t="s">
        <v>86</v>
      </c>
      <c r="L68" s="55"/>
      <c r="M68" s="55"/>
      <c r="N68" s="16">
        <v>11</v>
      </c>
      <c r="O68" s="16">
        <f t="shared" si="1"/>
        <v>2017</v>
      </c>
      <c r="P68" s="34"/>
      <c r="Q68" s="34"/>
      <c r="R68" s="34"/>
      <c r="S68" s="34"/>
      <c r="T68" s="34"/>
      <c r="U68" s="17"/>
      <c r="V68" s="23"/>
      <c r="W68" s="15"/>
      <c r="X68" s="15"/>
      <c r="Y68" s="15"/>
    </row>
    <row r="69" spans="1:25" ht="25.5" x14ac:dyDescent="0.2">
      <c r="A69" s="16">
        <v>98522991</v>
      </c>
      <c r="B69" s="9" t="s">
        <v>618</v>
      </c>
      <c r="C69" s="9" t="s">
        <v>516</v>
      </c>
      <c r="D69" s="9" t="s">
        <v>82</v>
      </c>
      <c r="E69" s="9" t="s">
        <v>83</v>
      </c>
      <c r="F69" s="18">
        <v>43047</v>
      </c>
      <c r="G69" s="24" t="s">
        <v>525</v>
      </c>
      <c r="H69" s="27" t="s">
        <v>5</v>
      </c>
      <c r="I69" s="49" t="str">
        <f>VLOOKUP(H69,VALIDACIONES!$A$2:$B$138,2,0)</f>
        <v>Noutilizarelcinturóndeseguridadporpartedelosocupantesdelvehículoyloscinturonesdeseguridadenlosasientostraserosenlosvehículosfabricadosapartirdelaño2004.</v>
      </c>
      <c r="J69" s="16">
        <v>368865</v>
      </c>
      <c r="K69" s="9" t="s">
        <v>86</v>
      </c>
      <c r="L69" s="55"/>
      <c r="M69" s="55"/>
      <c r="N69" s="16">
        <v>11</v>
      </c>
      <c r="O69" s="16">
        <f t="shared" si="1"/>
        <v>2017</v>
      </c>
      <c r="P69" s="34"/>
      <c r="Q69" s="34"/>
      <c r="R69" s="34"/>
      <c r="S69" s="34"/>
      <c r="T69" s="34"/>
      <c r="U69" s="17"/>
      <c r="V69" s="23"/>
      <c r="W69" s="15"/>
      <c r="X69" s="15"/>
      <c r="Y69" s="15"/>
    </row>
    <row r="70" spans="1:25" ht="12.75" x14ac:dyDescent="0.2">
      <c r="A70" s="16">
        <v>10019873</v>
      </c>
      <c r="B70" s="9" t="s">
        <v>619</v>
      </c>
      <c r="C70" s="17" t="s">
        <v>519</v>
      </c>
      <c r="D70" s="9" t="s">
        <v>82</v>
      </c>
      <c r="E70" s="9" t="s">
        <v>262</v>
      </c>
      <c r="F70" s="18">
        <v>43041</v>
      </c>
      <c r="G70" s="24" t="s">
        <v>611</v>
      </c>
      <c r="H70" s="27" t="s">
        <v>276</v>
      </c>
      <c r="I70" s="49" t="str">
        <f>VLOOKUP(H70,VALIDACIONES!$A$2:$B$138,2,0)</f>
        <v>Conducir un vehículo sin llevar consigo la licencia de conducción.</v>
      </c>
      <c r="J70" s="16">
        <v>196720</v>
      </c>
      <c r="K70" s="9" t="s">
        <v>86</v>
      </c>
      <c r="L70" s="55"/>
      <c r="M70" s="55"/>
      <c r="N70" s="16">
        <v>11</v>
      </c>
      <c r="O70" s="16">
        <f t="shared" si="1"/>
        <v>2017</v>
      </c>
      <c r="P70" s="34"/>
      <c r="Q70" s="34"/>
      <c r="R70" s="34"/>
      <c r="S70" s="34"/>
      <c r="T70" s="34"/>
      <c r="U70" s="17"/>
      <c r="V70" s="23"/>
      <c r="W70" s="15"/>
      <c r="X70" s="15"/>
      <c r="Y70" s="15"/>
    </row>
    <row r="71" spans="1:25" ht="25.5" x14ac:dyDescent="0.2">
      <c r="A71" s="16">
        <v>16230156</v>
      </c>
      <c r="B71" s="9" t="s">
        <v>620</v>
      </c>
      <c r="C71" s="9" t="s">
        <v>516</v>
      </c>
      <c r="D71" s="9" t="s">
        <v>82</v>
      </c>
      <c r="E71" s="9" t="s">
        <v>262</v>
      </c>
      <c r="F71" s="18">
        <v>43049</v>
      </c>
      <c r="G71" s="24" t="s">
        <v>542</v>
      </c>
      <c r="H71" s="27" t="s">
        <v>7</v>
      </c>
      <c r="I71" s="49" t="str">
        <f>VLOOKUP(H71,VALIDACIONES!$A$2:$B$138,2,0)</f>
        <v>Transitar por los siguientes sitios restringidos o en horas prohibidas por laautoridad competente. Además, el vehículo será inmovilizado.(verlistado)</v>
      </c>
      <c r="J71" s="16">
        <v>368858</v>
      </c>
      <c r="K71" s="9" t="s">
        <v>86</v>
      </c>
      <c r="L71" s="55"/>
      <c r="M71" s="55"/>
      <c r="N71" s="16">
        <v>11</v>
      </c>
      <c r="O71" s="16">
        <f t="shared" si="1"/>
        <v>2017</v>
      </c>
      <c r="P71" s="34"/>
      <c r="Q71" s="34"/>
      <c r="R71" s="34"/>
      <c r="S71" s="34"/>
      <c r="T71" s="34"/>
      <c r="U71" s="17"/>
      <c r="V71" s="23"/>
      <c r="W71" s="15"/>
      <c r="X71" s="15"/>
      <c r="Y71" s="15"/>
    </row>
    <row r="72" spans="1:25" ht="12.75" x14ac:dyDescent="0.2">
      <c r="A72" s="16">
        <v>98658387</v>
      </c>
      <c r="B72" s="9" t="s">
        <v>621</v>
      </c>
      <c r="C72" s="17" t="s">
        <v>563</v>
      </c>
      <c r="D72" s="9" t="s">
        <v>82</v>
      </c>
      <c r="E72" s="9" t="s">
        <v>83</v>
      </c>
      <c r="F72" s="18">
        <v>43066</v>
      </c>
      <c r="G72" s="24" t="s">
        <v>517</v>
      </c>
      <c r="H72" s="27" t="s">
        <v>276</v>
      </c>
      <c r="I72" s="49" t="str">
        <f>VLOOKUP(H72,VALIDACIONES!$A$2:$B$138,2,0)</f>
        <v>Conducir un vehículo sin llevar consigo la licencia de conducción.</v>
      </c>
      <c r="J72" s="16">
        <v>196728</v>
      </c>
      <c r="K72" s="9" t="s">
        <v>86</v>
      </c>
      <c r="L72" s="55"/>
      <c r="M72" s="55"/>
      <c r="N72" s="16">
        <v>11</v>
      </c>
      <c r="O72" s="16">
        <f t="shared" si="1"/>
        <v>2017</v>
      </c>
      <c r="P72" s="34"/>
      <c r="Q72" s="34"/>
      <c r="R72" s="34"/>
      <c r="S72" s="34"/>
      <c r="T72" s="34"/>
      <c r="U72" s="17"/>
      <c r="V72" s="23"/>
      <c r="W72" s="15"/>
      <c r="X72" s="15"/>
      <c r="Y72" s="15"/>
    </row>
    <row r="73" spans="1:25" ht="25.5" x14ac:dyDescent="0.2">
      <c r="A73" s="16">
        <v>71664224</v>
      </c>
      <c r="B73" s="9" t="s">
        <v>622</v>
      </c>
      <c r="C73" s="17" t="s">
        <v>563</v>
      </c>
      <c r="D73" s="9" t="s">
        <v>82</v>
      </c>
      <c r="E73" s="9" t="s">
        <v>83</v>
      </c>
      <c r="F73" s="18">
        <v>43063</v>
      </c>
      <c r="G73" s="24" t="s">
        <v>557</v>
      </c>
      <c r="H73" s="27" t="s">
        <v>385</v>
      </c>
      <c r="I73" s="49" t="str">
        <f>VLOOKUP(H73,VALIDACIONES!$A$2:$B$138,2,0)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73" s="16">
        <v>368865</v>
      </c>
      <c r="K73" s="9" t="s">
        <v>86</v>
      </c>
      <c r="L73" s="55"/>
      <c r="M73" s="55"/>
      <c r="N73" s="16">
        <v>11</v>
      </c>
      <c r="O73" s="16">
        <f t="shared" si="1"/>
        <v>2017</v>
      </c>
      <c r="P73" s="34"/>
      <c r="Q73" s="34"/>
      <c r="R73" s="34"/>
      <c r="S73" s="34"/>
      <c r="T73" s="34"/>
      <c r="U73" s="17"/>
      <c r="V73" s="23"/>
      <c r="W73" s="15"/>
      <c r="X73" s="15"/>
      <c r="Y73" s="15"/>
    </row>
    <row r="74" spans="1:25" ht="25.5" x14ac:dyDescent="0.2">
      <c r="A74" s="16">
        <v>71638569</v>
      </c>
      <c r="B74" s="9" t="s">
        <v>623</v>
      </c>
      <c r="C74" s="9" t="s">
        <v>522</v>
      </c>
      <c r="D74" s="9" t="s">
        <v>82</v>
      </c>
      <c r="E74" s="9" t="s">
        <v>83</v>
      </c>
      <c r="F74" s="18">
        <v>43080</v>
      </c>
      <c r="G74" s="24" t="s">
        <v>517</v>
      </c>
      <c r="H74" s="26" t="s">
        <v>10</v>
      </c>
      <c r="I74" s="49" t="str">
        <f>VLOOKUP(H74,VALIDACIONES!$A$2:$B$138,2,0)</f>
        <v>Conducir un vehículo a velocidad superior a la máxima permitida, la cual deberá estar señalizada en forma sectorizada, no obstante esta no podrá ser superior a (verlistado)</v>
      </c>
      <c r="J74" s="16">
        <v>368865</v>
      </c>
      <c r="K74" s="9" t="s">
        <v>86</v>
      </c>
      <c r="L74" s="55"/>
      <c r="M74" s="55"/>
      <c r="N74" s="16">
        <v>12</v>
      </c>
      <c r="O74" s="16">
        <f t="shared" si="1"/>
        <v>2017</v>
      </c>
      <c r="P74" s="34"/>
      <c r="Q74" s="34"/>
      <c r="R74" s="34"/>
      <c r="S74" s="34"/>
      <c r="T74" s="34"/>
      <c r="U74" s="17"/>
      <c r="V74" s="23"/>
      <c r="W74" s="15"/>
      <c r="X74" s="15"/>
      <c r="Y74" s="15"/>
    </row>
    <row r="75" spans="1:25" ht="25.5" x14ac:dyDescent="0.2">
      <c r="A75" s="16">
        <v>14962421</v>
      </c>
      <c r="B75" s="9" t="s">
        <v>624</v>
      </c>
      <c r="C75" s="9" t="s">
        <v>516</v>
      </c>
      <c r="D75" s="9" t="s">
        <v>82</v>
      </c>
      <c r="E75" s="17" t="s">
        <v>251</v>
      </c>
      <c r="F75" s="18">
        <v>43082</v>
      </c>
      <c r="G75" s="24" t="s">
        <v>535</v>
      </c>
      <c r="H75" s="26" t="s">
        <v>7</v>
      </c>
      <c r="I75" s="49" t="str">
        <f>VLOOKUP(H75,VALIDACIONES!$A$2:$B$138,2,0)</f>
        <v>Transitar por los siguientes sitios restringidos o en horas prohibidas por laautoridad competente. Además, el vehículo será inmovilizado.(verlistado)</v>
      </c>
      <c r="J75" s="16">
        <v>393465</v>
      </c>
      <c r="K75" s="9" t="s">
        <v>86</v>
      </c>
      <c r="L75" s="55"/>
      <c r="M75" s="55"/>
      <c r="N75" s="16">
        <v>12</v>
      </c>
      <c r="O75" s="16">
        <f t="shared" si="1"/>
        <v>2017</v>
      </c>
      <c r="P75" s="34"/>
      <c r="Q75" s="34"/>
      <c r="R75" s="34"/>
      <c r="S75" s="34"/>
      <c r="T75" s="34"/>
      <c r="U75" s="17"/>
      <c r="V75" s="23"/>
      <c r="W75" s="15"/>
      <c r="X75" s="15"/>
      <c r="Y75" s="15"/>
    </row>
    <row r="76" spans="1:25" ht="38.25" x14ac:dyDescent="0.2">
      <c r="A76" s="16">
        <v>71721631</v>
      </c>
      <c r="B76" s="9" t="s">
        <v>625</v>
      </c>
      <c r="C76" s="9" t="s">
        <v>522</v>
      </c>
      <c r="D76" s="9" t="s">
        <v>82</v>
      </c>
      <c r="E76" s="9" t="s">
        <v>83</v>
      </c>
      <c r="F76" s="18">
        <v>43074</v>
      </c>
      <c r="G76" s="24" t="s">
        <v>617</v>
      </c>
      <c r="H76" s="26" t="s">
        <v>397</v>
      </c>
      <c r="I76" s="49" t="str">
        <f>VLOOKUP(H76,VALIDACIONES!$A$2:$B$138,2,0)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76" s="16">
        <v>737717</v>
      </c>
      <c r="K76" s="9" t="s">
        <v>86</v>
      </c>
      <c r="L76" s="55"/>
      <c r="M76" s="55"/>
      <c r="N76" s="16">
        <v>12</v>
      </c>
      <c r="O76" s="16">
        <f t="shared" si="1"/>
        <v>2017</v>
      </c>
      <c r="P76" s="34"/>
      <c r="Q76" s="34"/>
      <c r="R76" s="34"/>
      <c r="S76" s="34"/>
      <c r="T76" s="34"/>
      <c r="U76" s="17"/>
      <c r="V76" s="23"/>
      <c r="W76" s="15"/>
      <c r="X76" s="15"/>
      <c r="Y76" s="15"/>
    </row>
    <row r="77" spans="1:25" ht="12.75" x14ac:dyDescent="0.2">
      <c r="A77" s="16">
        <v>1037651024</v>
      </c>
      <c r="B77" s="9" t="s">
        <v>626</v>
      </c>
      <c r="C77" s="9" t="s">
        <v>522</v>
      </c>
      <c r="D77" s="9" t="s">
        <v>82</v>
      </c>
      <c r="E77" s="9" t="s">
        <v>83</v>
      </c>
      <c r="F77" s="18">
        <v>43092</v>
      </c>
      <c r="G77" s="24" t="s">
        <v>533</v>
      </c>
      <c r="H77" s="26" t="s">
        <v>8</v>
      </c>
      <c r="I77" s="49" t="str">
        <f>VLOOKUP(H77,VALIDACIONES!$A$2:$B$138,2,0)</f>
        <v>Conducir motocicleta sin observar las siguientes normas.(verlistadodesituaciones)</v>
      </c>
      <c r="J77" s="16">
        <v>368865</v>
      </c>
      <c r="K77" s="9" t="s">
        <v>86</v>
      </c>
      <c r="L77" s="55"/>
      <c r="M77" s="55"/>
      <c r="N77" s="16">
        <v>12</v>
      </c>
      <c r="O77" s="16">
        <f t="shared" si="1"/>
        <v>2017</v>
      </c>
      <c r="P77" s="34"/>
      <c r="Q77" s="34"/>
      <c r="R77" s="34"/>
      <c r="S77" s="34"/>
      <c r="T77" s="34"/>
      <c r="U77" s="17"/>
      <c r="V77" s="23"/>
      <c r="W77" s="15"/>
      <c r="X77" s="15"/>
      <c r="Y77" s="15"/>
    </row>
    <row r="78" spans="1:25" ht="25.5" x14ac:dyDescent="0.2">
      <c r="A78" s="16">
        <v>76331108</v>
      </c>
      <c r="B78" s="9" t="s">
        <v>627</v>
      </c>
      <c r="C78" s="17" t="s">
        <v>516</v>
      </c>
      <c r="D78" s="9" t="s">
        <v>82</v>
      </c>
      <c r="E78" s="17" t="s">
        <v>265</v>
      </c>
      <c r="F78" s="18">
        <v>43098</v>
      </c>
      <c r="G78" s="24" t="s">
        <v>535</v>
      </c>
      <c r="H78" s="26" t="s">
        <v>7</v>
      </c>
      <c r="I78" s="49" t="str">
        <f>VLOOKUP(H78,VALIDACIONES!$A$2:$B$138,2,0)</f>
        <v>Transitar por los siguientes sitios restringidos o en horas prohibidas por laautoridad competente. Además, el vehículo será inmovilizado.(verlistado)</v>
      </c>
      <c r="J78" s="16">
        <v>393465</v>
      </c>
      <c r="K78" s="9" t="s">
        <v>86</v>
      </c>
      <c r="L78" s="55"/>
      <c r="M78" s="55"/>
      <c r="N78" s="16">
        <v>12</v>
      </c>
      <c r="O78" s="16">
        <f t="shared" si="1"/>
        <v>2017</v>
      </c>
      <c r="P78" s="34"/>
      <c r="Q78" s="34"/>
      <c r="R78" s="34"/>
      <c r="S78" s="34"/>
      <c r="T78" s="34"/>
      <c r="U78" s="17"/>
      <c r="V78" s="23"/>
      <c r="W78" s="15"/>
      <c r="X78" s="15"/>
      <c r="Y78" s="15"/>
    </row>
    <row r="79" spans="1:25" ht="38.25" x14ac:dyDescent="0.2">
      <c r="A79" s="16">
        <v>71765988</v>
      </c>
      <c r="B79" s="9" t="s">
        <v>609</v>
      </c>
      <c r="C79" s="17" t="s">
        <v>563</v>
      </c>
      <c r="D79" s="9" t="s">
        <v>82</v>
      </c>
      <c r="E79" s="9" t="s">
        <v>83</v>
      </c>
      <c r="F79" s="18">
        <v>43078</v>
      </c>
      <c r="G79" s="24" t="s">
        <v>610</v>
      </c>
      <c r="H79" s="26" t="s">
        <v>11</v>
      </c>
      <c r="I79" s="49" t="str">
        <f>VLOOKUP(H79,VALIDACIONES!$A$2:$B$138,2,0)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79" s="16">
        <v>368859</v>
      </c>
      <c r="K79" s="9" t="s">
        <v>86</v>
      </c>
      <c r="L79" s="55"/>
      <c r="M79" s="55"/>
      <c r="N79" s="16">
        <v>12</v>
      </c>
      <c r="O79" s="16">
        <f t="shared" si="1"/>
        <v>2017</v>
      </c>
      <c r="P79" s="34"/>
      <c r="Q79" s="34"/>
      <c r="R79" s="34"/>
      <c r="S79" s="34"/>
      <c r="T79" s="34"/>
      <c r="U79" s="17"/>
      <c r="V79" s="23"/>
      <c r="W79" s="15"/>
      <c r="X79" s="15"/>
      <c r="Y79" s="15"/>
    </row>
    <row r="80" spans="1:25" ht="12.75" x14ac:dyDescent="0.2">
      <c r="A80" s="16">
        <v>1036946073</v>
      </c>
      <c r="B80" s="9" t="s">
        <v>628</v>
      </c>
      <c r="C80" s="9" t="s">
        <v>21</v>
      </c>
      <c r="D80" s="9" t="s">
        <v>135</v>
      </c>
      <c r="E80" s="17" t="s">
        <v>83</v>
      </c>
      <c r="F80" s="18">
        <v>43100</v>
      </c>
      <c r="G80" s="24" t="s">
        <v>533</v>
      </c>
      <c r="H80" s="26" t="s">
        <v>280</v>
      </c>
      <c r="I80" s="49" t="str">
        <f>VLOOKUP(H80,VALIDACIONES!$A$2:$B$138,2,0)</f>
        <v>Conducir un vehículo con la licencia de conducción vencida.</v>
      </c>
      <c r="J80" s="16">
        <v>196728</v>
      </c>
      <c r="K80" s="9" t="s">
        <v>86</v>
      </c>
      <c r="L80" s="55"/>
      <c r="M80" s="55"/>
      <c r="N80" s="16">
        <v>12</v>
      </c>
      <c r="O80" s="16">
        <f t="shared" si="1"/>
        <v>2017</v>
      </c>
      <c r="P80" s="34"/>
      <c r="Q80" s="34"/>
      <c r="R80" s="34"/>
      <c r="S80" s="34"/>
      <c r="T80" s="34"/>
      <c r="U80" s="17"/>
      <c r="V80" s="23"/>
      <c r="W80" s="15"/>
      <c r="X80" s="15"/>
      <c r="Y80" s="15"/>
    </row>
    <row r="81" spans="1:25" ht="25.5" x14ac:dyDescent="0.2">
      <c r="A81" s="16">
        <v>71372712</v>
      </c>
      <c r="B81" s="9" t="s">
        <v>629</v>
      </c>
      <c r="C81" s="9" t="s">
        <v>516</v>
      </c>
      <c r="D81" s="9" t="s">
        <v>82</v>
      </c>
      <c r="E81" s="9" t="s">
        <v>83</v>
      </c>
      <c r="F81" s="18">
        <v>43091</v>
      </c>
      <c r="G81" s="24" t="s">
        <v>525</v>
      </c>
      <c r="H81" s="26" t="s">
        <v>468</v>
      </c>
      <c r="I81" s="49" t="str">
        <f>VLOOKUP(H81,VALIDACIONES!$A$2:$B$138,2,0)</f>
        <v>El conductor, pasajero o peaton, que obstaculice, perjudique o ponga en riesgo a las demas personas o que no cumpla las normas y señales de transito que le sean aplicables o no obedezca las indicaciones que les den las autoridades de tránsito.</v>
      </c>
      <c r="J81" s="16">
        <v>0</v>
      </c>
      <c r="K81" s="9" t="s">
        <v>86</v>
      </c>
      <c r="L81" s="55"/>
      <c r="M81" s="55"/>
      <c r="N81" s="16">
        <v>12</v>
      </c>
      <c r="O81" s="16">
        <f t="shared" si="1"/>
        <v>2017</v>
      </c>
      <c r="P81" s="34"/>
      <c r="Q81" s="34"/>
      <c r="R81" s="34"/>
      <c r="S81" s="34"/>
      <c r="T81" s="34"/>
      <c r="U81" s="17"/>
      <c r="V81" s="23"/>
      <c r="W81" s="15"/>
      <c r="X81" s="15"/>
      <c r="Y81" s="15"/>
    </row>
    <row r="82" spans="1:25" ht="12.75" x14ac:dyDescent="0.2">
      <c r="A82" s="16">
        <v>8306871</v>
      </c>
      <c r="B82" s="9" t="s">
        <v>630</v>
      </c>
      <c r="C82" s="9" t="s">
        <v>516</v>
      </c>
      <c r="D82" s="9" t="s">
        <v>82</v>
      </c>
      <c r="E82" s="9" t="s">
        <v>83</v>
      </c>
      <c r="F82" s="18">
        <v>43129</v>
      </c>
      <c r="G82" s="24" t="s">
        <v>530</v>
      </c>
      <c r="H82" s="26" t="s">
        <v>165</v>
      </c>
      <c r="I82" s="49" t="str">
        <f>VLOOKUP(H82,VALIDACIONES!$A$2:$B$138,2,0)</f>
        <v>Cuandosedetecteoadviertaunainfracciónalasnormasdeemisióncontaminantesodegeneraciónderuidoporvehículosautomotores</v>
      </c>
      <c r="J82" s="16">
        <v>781230</v>
      </c>
      <c r="K82" s="9" t="s">
        <v>86</v>
      </c>
      <c r="L82" s="55"/>
      <c r="M82" s="56" t="s">
        <v>132</v>
      </c>
      <c r="N82" s="16">
        <f t="shared" ref="N82:N302" si="2">MONTH(F82)</f>
        <v>1</v>
      </c>
      <c r="O82" s="16">
        <f t="shared" si="1"/>
        <v>2018</v>
      </c>
      <c r="P82" s="34"/>
      <c r="Q82" s="34"/>
      <c r="R82" s="34"/>
      <c r="S82" s="34"/>
      <c r="T82" s="34"/>
      <c r="U82" s="17"/>
      <c r="V82" s="23"/>
      <c r="W82" s="15"/>
      <c r="X82" s="15"/>
      <c r="Y82" s="15"/>
    </row>
    <row r="83" spans="1:25" ht="25.5" x14ac:dyDescent="0.2">
      <c r="A83" s="16">
        <v>19084515</v>
      </c>
      <c r="B83" s="9" t="s">
        <v>631</v>
      </c>
      <c r="C83" s="9" t="s">
        <v>522</v>
      </c>
      <c r="D83" s="9" t="s">
        <v>82</v>
      </c>
      <c r="E83" s="9" t="s">
        <v>83</v>
      </c>
      <c r="F83" s="18">
        <v>43124</v>
      </c>
      <c r="G83" s="24" t="s">
        <v>533</v>
      </c>
      <c r="H83" s="26" t="s">
        <v>10</v>
      </c>
      <c r="I83" s="49" t="str">
        <f>VLOOKUP(H83,VALIDACIONES!$A$2:$B$138,2,0)</f>
        <v>Conducir un vehículo a velocidad superior a la máxima permitida, la cual deberá estar señalizada en forma sectorizada, no obstante esta no podrá ser superior a (verlistado)</v>
      </c>
      <c r="J83" s="16">
        <v>390615</v>
      </c>
      <c r="K83" s="9" t="s">
        <v>86</v>
      </c>
      <c r="L83" s="55"/>
      <c r="M83" s="56" t="s">
        <v>132</v>
      </c>
      <c r="N83" s="16">
        <f t="shared" si="2"/>
        <v>1</v>
      </c>
      <c r="O83" s="16">
        <f t="shared" si="1"/>
        <v>2018</v>
      </c>
      <c r="P83" s="34"/>
      <c r="Q83" s="34"/>
      <c r="R83" s="34"/>
      <c r="S83" s="34"/>
      <c r="T83" s="34"/>
      <c r="U83" s="17"/>
      <c r="V83" s="23"/>
      <c r="W83" s="15"/>
      <c r="X83" s="15"/>
      <c r="Y83" s="15"/>
    </row>
    <row r="84" spans="1:25" ht="12.75" x14ac:dyDescent="0.2">
      <c r="A84" s="16">
        <v>94361495</v>
      </c>
      <c r="B84" s="9" t="s">
        <v>632</v>
      </c>
      <c r="C84" s="9" t="s">
        <v>516</v>
      </c>
      <c r="D84" s="9" t="s">
        <v>82</v>
      </c>
      <c r="E84" s="9" t="s">
        <v>251</v>
      </c>
      <c r="F84" s="18">
        <v>43117</v>
      </c>
      <c r="G84" s="24" t="s">
        <v>535</v>
      </c>
      <c r="H84" s="26" t="s">
        <v>6</v>
      </c>
      <c r="I84" s="49" t="str">
        <f>VLOOKUP(H84,VALIDACIONES!$A$2:$B$138,2,0)</f>
        <v>Noportarcomomínimoelsiguienteequipodeprevenciónyseguridad.(verlistado)</v>
      </c>
      <c r="J84" s="16">
        <v>416615</v>
      </c>
      <c r="K84" s="9" t="s">
        <v>86</v>
      </c>
      <c r="L84" s="55"/>
      <c r="M84" s="56" t="s">
        <v>132</v>
      </c>
      <c r="N84" s="16">
        <f t="shared" si="2"/>
        <v>1</v>
      </c>
      <c r="O84" s="16">
        <f t="shared" si="1"/>
        <v>2018</v>
      </c>
      <c r="P84" s="34"/>
      <c r="Q84" s="34"/>
      <c r="R84" s="34"/>
      <c r="S84" s="34"/>
      <c r="T84" s="34"/>
      <c r="U84" s="17"/>
      <c r="V84" s="23"/>
      <c r="W84" s="15"/>
      <c r="X84" s="15"/>
      <c r="Y84" s="15"/>
    </row>
    <row r="85" spans="1:25" ht="25.5" x14ac:dyDescent="0.2">
      <c r="A85" s="16">
        <v>70085907</v>
      </c>
      <c r="B85" s="9" t="s">
        <v>633</v>
      </c>
      <c r="C85" s="9" t="s">
        <v>522</v>
      </c>
      <c r="D85" s="9" t="s">
        <v>82</v>
      </c>
      <c r="E85" s="9" t="s">
        <v>83</v>
      </c>
      <c r="F85" s="19">
        <v>43138</v>
      </c>
      <c r="G85" s="24" t="s">
        <v>634</v>
      </c>
      <c r="H85" s="26" t="s">
        <v>10</v>
      </c>
      <c r="I85" s="49" t="str">
        <f>VLOOKUP(H85,VALIDACIONES!$A$2:$B$138,2,0)</f>
        <v>Conducir un vehículo a velocidad superior a la máxima permitida, la cual deberá estar señalizada en forma sectorizada, no obstante esta no podrá ser superior a (verlistado)</v>
      </c>
      <c r="J85" s="16">
        <v>390621</v>
      </c>
      <c r="K85" s="9" t="s">
        <v>86</v>
      </c>
      <c r="L85" s="55"/>
      <c r="M85" s="56" t="s">
        <v>132</v>
      </c>
      <c r="N85" s="16">
        <f t="shared" si="2"/>
        <v>2</v>
      </c>
      <c r="O85" s="16">
        <f t="shared" si="1"/>
        <v>2018</v>
      </c>
      <c r="P85" s="34"/>
      <c r="Q85" s="34"/>
      <c r="R85" s="34"/>
      <c r="S85" s="34"/>
      <c r="T85" s="34"/>
      <c r="U85" s="17"/>
      <c r="V85" s="23"/>
      <c r="W85" s="15"/>
      <c r="X85" s="15"/>
      <c r="Y85" s="15"/>
    </row>
    <row r="86" spans="1:25" ht="25.5" x14ac:dyDescent="0.2">
      <c r="A86" s="16">
        <v>98533424</v>
      </c>
      <c r="B86" s="9" t="s">
        <v>635</v>
      </c>
      <c r="C86" s="9" t="s">
        <v>522</v>
      </c>
      <c r="D86" s="9" t="s">
        <v>82</v>
      </c>
      <c r="E86" s="9" t="s">
        <v>83</v>
      </c>
      <c r="F86" s="19">
        <v>43149</v>
      </c>
      <c r="G86" s="24" t="s">
        <v>533</v>
      </c>
      <c r="H86" s="26" t="s">
        <v>10</v>
      </c>
      <c r="I86" s="49" t="str">
        <f>VLOOKUP(H86,VALIDACIONES!$A$2:$B$138,2,0)</f>
        <v>Conducir un vehículo a velocidad superior a la máxima permitida, la cual deberá estar señalizada en forma sectorizada, no obstante esta no podrá ser superior a (verlistado)</v>
      </c>
      <c r="J86" s="16">
        <v>390615</v>
      </c>
      <c r="K86" s="9" t="s">
        <v>86</v>
      </c>
      <c r="L86" s="55"/>
      <c r="M86" s="56" t="s">
        <v>132</v>
      </c>
      <c r="N86" s="16">
        <f t="shared" si="2"/>
        <v>2</v>
      </c>
      <c r="O86" s="16">
        <f t="shared" si="1"/>
        <v>2018</v>
      </c>
      <c r="P86" s="34"/>
      <c r="Q86" s="34"/>
      <c r="R86" s="34"/>
      <c r="S86" s="34"/>
      <c r="T86" s="34"/>
      <c r="U86" s="17"/>
      <c r="V86" s="23"/>
      <c r="W86" s="15"/>
      <c r="X86" s="15"/>
      <c r="Y86" s="15"/>
    </row>
    <row r="87" spans="1:25" ht="12.75" x14ac:dyDescent="0.2">
      <c r="A87" s="16">
        <v>8010609</v>
      </c>
      <c r="B87" s="9" t="s">
        <v>636</v>
      </c>
      <c r="C87" s="9" t="s">
        <v>516</v>
      </c>
      <c r="D87" s="9" t="s">
        <v>82</v>
      </c>
      <c r="E87" s="9" t="s">
        <v>83</v>
      </c>
      <c r="F87" s="19">
        <v>43138</v>
      </c>
      <c r="G87" s="24" t="s">
        <v>530</v>
      </c>
      <c r="H87" s="26" t="s">
        <v>165</v>
      </c>
      <c r="I87" s="49" t="str">
        <f>VLOOKUP(H87,VALIDACIONES!$A$2:$B$138,2,0)</f>
        <v>Cuandosedetecteoadviertaunainfracciónalasnormasdeemisióncontaminantesodegeneraciónderuidoporvehículosautomotores</v>
      </c>
      <c r="J87" s="16">
        <v>78123</v>
      </c>
      <c r="K87" s="9" t="s">
        <v>86</v>
      </c>
      <c r="L87" s="55"/>
      <c r="M87" s="56" t="s">
        <v>132</v>
      </c>
      <c r="N87" s="16">
        <f t="shared" si="2"/>
        <v>2</v>
      </c>
      <c r="O87" s="16">
        <f t="shared" si="1"/>
        <v>2018</v>
      </c>
      <c r="P87" s="34"/>
      <c r="Q87" s="34"/>
      <c r="R87" s="34"/>
      <c r="S87" s="34"/>
      <c r="T87" s="34"/>
      <c r="U87" s="17"/>
      <c r="V87" s="23"/>
      <c r="W87" s="15"/>
      <c r="X87" s="15"/>
      <c r="Y87" s="15"/>
    </row>
    <row r="88" spans="1:25" ht="51" x14ac:dyDescent="0.2">
      <c r="A88" s="16">
        <v>8406965</v>
      </c>
      <c r="B88" s="9" t="s">
        <v>637</v>
      </c>
      <c r="C88" s="9" t="s">
        <v>522</v>
      </c>
      <c r="D88" s="9" t="s">
        <v>82</v>
      </c>
      <c r="E88" s="9" t="s">
        <v>83</v>
      </c>
      <c r="F88" s="19">
        <v>43157</v>
      </c>
      <c r="G88" s="24" t="s">
        <v>533</v>
      </c>
      <c r="H88" s="26" t="s">
        <v>335</v>
      </c>
      <c r="I88" s="49" t="str">
        <f>VLOOKUP(H88,VALIDACIONES!$A$2:$B$138,2,0)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88" s="16">
        <v>390615</v>
      </c>
      <c r="K88" s="9" t="s">
        <v>86</v>
      </c>
      <c r="L88" s="55"/>
      <c r="M88" s="56" t="s">
        <v>132</v>
      </c>
      <c r="N88" s="16">
        <f t="shared" si="2"/>
        <v>2</v>
      </c>
      <c r="O88" s="16">
        <f t="shared" si="1"/>
        <v>2018</v>
      </c>
      <c r="P88" s="34"/>
      <c r="Q88" s="34"/>
      <c r="R88" s="34"/>
      <c r="S88" s="34"/>
      <c r="T88" s="34"/>
      <c r="U88" s="17"/>
      <c r="V88" s="23"/>
      <c r="W88" s="15"/>
      <c r="X88" s="15"/>
      <c r="Y88" s="15"/>
    </row>
    <row r="89" spans="1:25" ht="25.5" x14ac:dyDescent="0.2">
      <c r="A89" s="16">
        <v>71384501</v>
      </c>
      <c r="B89" s="9" t="s">
        <v>638</v>
      </c>
      <c r="C89" s="9" t="s">
        <v>516</v>
      </c>
      <c r="D89" s="9" t="s">
        <v>82</v>
      </c>
      <c r="E89" s="9" t="s">
        <v>262</v>
      </c>
      <c r="F89" s="19">
        <v>43143</v>
      </c>
      <c r="G89" s="24" t="s">
        <v>639</v>
      </c>
      <c r="H89" s="26" t="s">
        <v>10</v>
      </c>
      <c r="I89" s="49" t="str">
        <f>VLOOKUP(H89,VALIDACIONES!$A$2:$B$138,2,0)</f>
        <v>Conducir un vehículo a velocidad superior a la máxima permitida, la cual deberá estar señalizada en forma sectorizada, no obstante esta no podrá ser superior a (verlistado)</v>
      </c>
      <c r="J89" s="16">
        <v>390621</v>
      </c>
      <c r="K89" s="9" t="s">
        <v>86</v>
      </c>
      <c r="L89" s="55"/>
      <c r="M89" s="56" t="s">
        <v>132</v>
      </c>
      <c r="N89" s="16">
        <f t="shared" si="2"/>
        <v>2</v>
      </c>
      <c r="O89" s="16">
        <f t="shared" si="1"/>
        <v>2018</v>
      </c>
      <c r="P89" s="34"/>
      <c r="Q89" s="34"/>
      <c r="R89" s="34"/>
      <c r="S89" s="34"/>
      <c r="T89" s="34"/>
      <c r="U89" s="17"/>
      <c r="V89" s="23"/>
      <c r="W89" s="15"/>
      <c r="X89" s="15"/>
      <c r="Y89" s="15"/>
    </row>
    <row r="90" spans="1:25" ht="12.75" x14ac:dyDescent="0.2">
      <c r="A90" s="16">
        <v>98512080</v>
      </c>
      <c r="B90" s="9" t="s">
        <v>640</v>
      </c>
      <c r="C90" s="9" t="s">
        <v>522</v>
      </c>
      <c r="D90" s="9" t="s">
        <v>82</v>
      </c>
      <c r="E90" s="9" t="s">
        <v>83</v>
      </c>
      <c r="F90" s="19">
        <v>43159</v>
      </c>
      <c r="G90" s="24" t="s">
        <v>533</v>
      </c>
      <c r="H90" s="26" t="s">
        <v>4</v>
      </c>
      <c r="I90" s="49" t="str">
        <f>VLOOKUP(H90,VALIDACIONES!$A$2:$B$138,2,0)</f>
        <v>Estacionar un vehículo en los sitios prohibidos por el Código Nacional de Tránsito, reglamentado por la Res.3027.</v>
      </c>
      <c r="J90" s="16">
        <v>390615</v>
      </c>
      <c r="K90" s="9" t="s">
        <v>86</v>
      </c>
      <c r="L90" s="55"/>
      <c r="M90" s="56" t="s">
        <v>132</v>
      </c>
      <c r="N90" s="16">
        <f t="shared" si="2"/>
        <v>2</v>
      </c>
      <c r="O90" s="16">
        <f t="shared" si="1"/>
        <v>2018</v>
      </c>
      <c r="P90" s="34"/>
      <c r="Q90" s="34"/>
      <c r="R90" s="34"/>
      <c r="S90" s="34"/>
      <c r="T90" s="34"/>
      <c r="U90" s="17"/>
      <c r="V90" s="23"/>
      <c r="W90" s="15"/>
      <c r="X90" s="15"/>
      <c r="Y90" s="15"/>
    </row>
    <row r="91" spans="1:25" ht="12.75" x14ac:dyDescent="0.2">
      <c r="A91" s="16">
        <v>8794135</v>
      </c>
      <c r="B91" s="9" t="s">
        <v>641</v>
      </c>
      <c r="C91" s="9" t="s">
        <v>522</v>
      </c>
      <c r="D91" s="9" t="s">
        <v>82</v>
      </c>
      <c r="E91" s="9" t="s">
        <v>83</v>
      </c>
      <c r="F91" s="19">
        <v>43147</v>
      </c>
      <c r="G91" s="24" t="s">
        <v>564</v>
      </c>
      <c r="H91" s="26" t="s">
        <v>4</v>
      </c>
      <c r="I91" s="49" t="str">
        <f>VLOOKUP(H91,VALIDACIONES!$A$2:$B$138,2,0)</f>
        <v>Estacionar un vehículo en los sitios prohibidos por el Código Nacional de Tránsito, reglamentado por la Res.3027.</v>
      </c>
      <c r="J91" s="16">
        <v>390615</v>
      </c>
      <c r="K91" s="9" t="s">
        <v>86</v>
      </c>
      <c r="L91" s="55"/>
      <c r="M91" s="56" t="s">
        <v>132</v>
      </c>
      <c r="N91" s="16">
        <f t="shared" si="2"/>
        <v>2</v>
      </c>
      <c r="O91" s="16">
        <f t="shared" si="1"/>
        <v>2018</v>
      </c>
      <c r="P91" s="34"/>
      <c r="Q91" s="34"/>
      <c r="R91" s="34"/>
      <c r="S91" s="34"/>
      <c r="T91" s="34"/>
      <c r="U91" s="17"/>
      <c r="V91" s="23"/>
      <c r="W91" s="15"/>
      <c r="X91" s="15"/>
      <c r="Y91" s="15"/>
    </row>
    <row r="92" spans="1:25" ht="12.75" x14ac:dyDescent="0.2">
      <c r="A92" s="16">
        <v>18509726</v>
      </c>
      <c r="B92" s="9" t="s">
        <v>642</v>
      </c>
      <c r="C92" s="9" t="s">
        <v>516</v>
      </c>
      <c r="D92" s="9" t="s">
        <v>82</v>
      </c>
      <c r="E92" s="9" t="s">
        <v>262</v>
      </c>
      <c r="F92" s="19">
        <v>43143</v>
      </c>
      <c r="G92" s="24" t="s">
        <v>527</v>
      </c>
      <c r="H92" s="26" t="s">
        <v>4</v>
      </c>
      <c r="I92" s="49" t="str">
        <f>VLOOKUP(H92,VALIDACIONES!$A$2:$B$138,2,0)</f>
        <v>Estacionar un vehículo en los sitios prohibidos por el Código Nacional de Tránsito, reglamentado por la Res.3027.</v>
      </c>
      <c r="J92" s="16">
        <v>390621</v>
      </c>
      <c r="K92" s="9" t="s">
        <v>86</v>
      </c>
      <c r="L92" s="55"/>
      <c r="M92" s="56" t="s">
        <v>132</v>
      </c>
      <c r="N92" s="16">
        <f t="shared" si="2"/>
        <v>2</v>
      </c>
      <c r="O92" s="16">
        <f t="shared" si="1"/>
        <v>2018</v>
      </c>
      <c r="P92" s="34"/>
      <c r="Q92" s="34"/>
      <c r="R92" s="34"/>
      <c r="S92" s="34"/>
      <c r="T92" s="34"/>
      <c r="U92" s="17"/>
      <c r="V92" s="23"/>
      <c r="W92" s="15"/>
      <c r="X92" s="15"/>
      <c r="Y92" s="15"/>
    </row>
    <row r="93" spans="1:25" ht="12.75" x14ac:dyDescent="0.2">
      <c r="A93" s="16">
        <v>14799538</v>
      </c>
      <c r="B93" s="9" t="s">
        <v>643</v>
      </c>
      <c r="C93" s="9" t="s">
        <v>516</v>
      </c>
      <c r="D93" s="9" t="s">
        <v>82</v>
      </c>
      <c r="E93" s="9" t="s">
        <v>251</v>
      </c>
      <c r="F93" s="19">
        <v>43136</v>
      </c>
      <c r="G93" s="24" t="s">
        <v>644</v>
      </c>
      <c r="H93" s="26">
        <v>300</v>
      </c>
      <c r="I93" s="49" t="str">
        <f>VLOOKUP(H93,VALIDACIONES!$A$2:$B$138,2,0)</f>
        <v>Acuerdo de pago incumplido</v>
      </c>
      <c r="J93" s="16">
        <v>229035</v>
      </c>
      <c r="K93" s="9" t="s">
        <v>86</v>
      </c>
      <c r="L93" s="55"/>
      <c r="M93" s="56" t="s">
        <v>132</v>
      </c>
      <c r="N93" s="16">
        <f t="shared" si="2"/>
        <v>2</v>
      </c>
      <c r="O93" s="16">
        <f t="shared" si="1"/>
        <v>2018</v>
      </c>
      <c r="P93" s="34"/>
      <c r="Q93" s="34"/>
      <c r="R93" s="34"/>
      <c r="S93" s="34"/>
      <c r="T93" s="34"/>
      <c r="U93" s="17"/>
      <c r="V93" s="23"/>
      <c r="W93" s="15"/>
      <c r="X93" s="15"/>
      <c r="Y93" s="15"/>
    </row>
    <row r="94" spans="1:25" ht="12.75" x14ac:dyDescent="0.2">
      <c r="A94" s="16">
        <v>1088305344</v>
      </c>
      <c r="B94" s="9" t="s">
        <v>645</v>
      </c>
      <c r="C94" s="17" t="s">
        <v>549</v>
      </c>
      <c r="D94" s="9" t="s">
        <v>82</v>
      </c>
      <c r="E94" s="17" t="s">
        <v>262</v>
      </c>
      <c r="F94" s="18">
        <v>43160</v>
      </c>
      <c r="G94" s="24" t="s">
        <v>527</v>
      </c>
      <c r="H94" s="26" t="s">
        <v>4</v>
      </c>
      <c r="I94" s="49" t="str">
        <f>VLOOKUP(H94,VALIDACIONES!$A$2:$B$138,2,0)</f>
        <v>Estacionar un vehículo en los sitios prohibidos por el Código Nacional de Tránsito, reglamentado por la Res.3027.</v>
      </c>
      <c r="J94" s="16">
        <v>390621</v>
      </c>
      <c r="K94" s="9" t="s">
        <v>86</v>
      </c>
      <c r="L94" s="55"/>
      <c r="M94" s="56" t="s">
        <v>132</v>
      </c>
      <c r="N94" s="16">
        <f t="shared" si="2"/>
        <v>3</v>
      </c>
      <c r="O94" s="16">
        <f t="shared" si="1"/>
        <v>2018</v>
      </c>
      <c r="P94" s="34"/>
      <c r="Q94" s="34"/>
      <c r="R94" s="34"/>
      <c r="S94" s="34"/>
      <c r="T94" s="34"/>
      <c r="U94" s="17"/>
      <c r="V94" s="23"/>
      <c r="W94" s="15"/>
      <c r="X94" s="15"/>
      <c r="Y94" s="15"/>
    </row>
    <row r="95" spans="1:25" ht="12.75" x14ac:dyDescent="0.2">
      <c r="A95" s="16">
        <v>10533168</v>
      </c>
      <c r="B95" s="9" t="s">
        <v>646</v>
      </c>
      <c r="C95" s="9" t="s">
        <v>516</v>
      </c>
      <c r="D95" s="9" t="s">
        <v>82</v>
      </c>
      <c r="E95" s="17" t="s">
        <v>251</v>
      </c>
      <c r="F95" s="18">
        <v>43165</v>
      </c>
      <c r="G95" s="24" t="s">
        <v>535</v>
      </c>
      <c r="H95" s="26" t="s">
        <v>4</v>
      </c>
      <c r="I95" s="49" t="str">
        <f>VLOOKUP(H95,VALIDACIONES!$A$2:$B$138,2,0)</f>
        <v>Estacionar un vehículo en los sitios prohibidos por el Código Nacional de Tránsito, reglamentado por la Res.3027.</v>
      </c>
      <c r="J95" s="16">
        <v>390615</v>
      </c>
      <c r="K95" s="9" t="s">
        <v>86</v>
      </c>
      <c r="L95" s="55"/>
      <c r="M95" s="56" t="s">
        <v>132</v>
      </c>
      <c r="N95" s="16">
        <f t="shared" si="2"/>
        <v>3</v>
      </c>
      <c r="O95" s="16">
        <f t="shared" si="1"/>
        <v>2018</v>
      </c>
      <c r="P95" s="34"/>
      <c r="Q95" s="34"/>
      <c r="R95" s="34"/>
      <c r="S95" s="34"/>
      <c r="T95" s="34"/>
      <c r="U95" s="17"/>
      <c r="V95" s="23"/>
      <c r="W95" s="15"/>
      <c r="X95" s="15"/>
      <c r="Y95" s="15"/>
    </row>
    <row r="96" spans="1:25" ht="12.75" x14ac:dyDescent="0.2">
      <c r="A96" s="16">
        <v>71780042</v>
      </c>
      <c r="B96" s="9" t="s">
        <v>647</v>
      </c>
      <c r="C96" s="17" t="s">
        <v>563</v>
      </c>
      <c r="D96" s="9" t="s">
        <v>82</v>
      </c>
      <c r="E96" s="17" t="s">
        <v>83</v>
      </c>
      <c r="F96" s="18">
        <v>43173</v>
      </c>
      <c r="G96" s="24" t="s">
        <v>533</v>
      </c>
      <c r="H96" s="26" t="s">
        <v>9</v>
      </c>
      <c r="I96" s="49" t="str">
        <f>VLOOKUP(H96,VALIDACIONES!$A$2:$B$138,2,0)</f>
        <v>Transitarenvehículosde3.5omástoneladasporelcarrilizquierdodelavíacuandohubieremásdeuncarril.</v>
      </c>
      <c r="J96" s="16">
        <v>390615</v>
      </c>
      <c r="K96" s="9" t="s">
        <v>86</v>
      </c>
      <c r="L96" s="55"/>
      <c r="M96" s="56" t="s">
        <v>132</v>
      </c>
      <c r="N96" s="16">
        <f t="shared" si="2"/>
        <v>3</v>
      </c>
      <c r="O96" s="16">
        <f t="shared" si="1"/>
        <v>2018</v>
      </c>
      <c r="P96" s="34"/>
      <c r="Q96" s="34"/>
      <c r="R96" s="34"/>
      <c r="S96" s="34"/>
      <c r="T96" s="34"/>
      <c r="U96" s="17"/>
      <c r="V96" s="23"/>
      <c r="W96" s="15"/>
      <c r="X96" s="15"/>
      <c r="Y96" s="15"/>
    </row>
    <row r="97" spans="1:25" ht="25.5" x14ac:dyDescent="0.2">
      <c r="A97" s="16">
        <v>98551570</v>
      </c>
      <c r="B97" s="9" t="s">
        <v>648</v>
      </c>
      <c r="C97" s="17" t="s">
        <v>26</v>
      </c>
      <c r="D97" s="9" t="s">
        <v>82</v>
      </c>
      <c r="E97" s="17" t="s">
        <v>83</v>
      </c>
      <c r="F97" s="18">
        <v>43179</v>
      </c>
      <c r="G97" s="24" t="s">
        <v>533</v>
      </c>
      <c r="H97" s="26" t="s">
        <v>10</v>
      </c>
      <c r="I97" s="49" t="str">
        <f>VLOOKUP(H97,VALIDACIONES!$A$2:$B$138,2,0)</f>
        <v>Conducir un vehículo a velocidad superior a la máxima permitida, la cual deberá estar señalizada en forma sectorizada, no obstante esta no podrá ser superior a (verlistado)</v>
      </c>
      <c r="J97" s="16">
        <v>390615</v>
      </c>
      <c r="K97" s="9" t="s">
        <v>86</v>
      </c>
      <c r="L97" s="55"/>
      <c r="M97" s="56" t="s">
        <v>132</v>
      </c>
      <c r="N97" s="16">
        <f t="shared" si="2"/>
        <v>3</v>
      </c>
      <c r="O97" s="16">
        <f t="shared" si="1"/>
        <v>2018</v>
      </c>
      <c r="P97" s="34"/>
      <c r="Q97" s="34"/>
      <c r="R97" s="34"/>
      <c r="S97" s="34"/>
      <c r="T97" s="34"/>
      <c r="U97" s="17"/>
      <c r="V97" s="23"/>
      <c r="W97" s="15"/>
      <c r="X97" s="15"/>
      <c r="Y97" s="15"/>
    </row>
    <row r="98" spans="1:25" ht="25.5" x14ac:dyDescent="0.2">
      <c r="A98" s="16">
        <v>71293523</v>
      </c>
      <c r="B98" s="9" t="s">
        <v>649</v>
      </c>
      <c r="C98" s="17" t="s">
        <v>650</v>
      </c>
      <c r="D98" s="9" t="s">
        <v>82</v>
      </c>
      <c r="E98" s="17" t="s">
        <v>83</v>
      </c>
      <c r="F98" s="18">
        <v>43167</v>
      </c>
      <c r="G98" s="24" t="s">
        <v>525</v>
      </c>
      <c r="H98" s="26" t="s">
        <v>7</v>
      </c>
      <c r="I98" s="49" t="str">
        <f>VLOOKUP(H98,VALIDACIONES!$A$2:$B$138,2,0)</f>
        <v>Transitar por los siguientes sitios restringidos o en horas prohibidas por laautoridad competente. Además, el vehículo será inmovilizado.(verlistado)</v>
      </c>
      <c r="J98" s="16">
        <v>390615</v>
      </c>
      <c r="K98" s="9" t="s">
        <v>86</v>
      </c>
      <c r="L98" s="55"/>
      <c r="M98" s="56" t="s">
        <v>132</v>
      </c>
      <c r="N98" s="16">
        <f t="shared" si="2"/>
        <v>3</v>
      </c>
      <c r="O98" s="16">
        <f t="shared" si="1"/>
        <v>2018</v>
      </c>
      <c r="P98" s="34"/>
      <c r="Q98" s="34"/>
      <c r="R98" s="34"/>
      <c r="S98" s="34"/>
      <c r="T98" s="34"/>
      <c r="U98" s="17"/>
      <c r="V98" s="23"/>
      <c r="W98" s="15"/>
      <c r="X98" s="15"/>
      <c r="Y98" s="15"/>
    </row>
    <row r="99" spans="1:25" ht="12.75" x14ac:dyDescent="0.2">
      <c r="A99" s="16">
        <v>10103588</v>
      </c>
      <c r="B99" s="9" t="s">
        <v>651</v>
      </c>
      <c r="C99" s="17" t="s">
        <v>549</v>
      </c>
      <c r="D99" s="9" t="s">
        <v>82</v>
      </c>
      <c r="E99" s="17" t="s">
        <v>262</v>
      </c>
      <c r="F99" s="18">
        <v>43182</v>
      </c>
      <c r="G99" s="24" t="s">
        <v>527</v>
      </c>
      <c r="H99" s="26" t="s">
        <v>15</v>
      </c>
      <c r="I99" s="49" t="str">
        <f>VLOOKUP(H99,VALIDACIONES!$A$2:$B$138,2,0)</f>
        <v>Las demas conductas que constituyan infraccion a las normas de transito y que no se encuentren descritas en este acto administrativo.</v>
      </c>
      <c r="J99" s="16">
        <v>0</v>
      </c>
      <c r="K99" s="9" t="s">
        <v>86</v>
      </c>
      <c r="L99" s="55"/>
      <c r="M99" s="56" t="s">
        <v>132</v>
      </c>
      <c r="N99" s="16">
        <f t="shared" si="2"/>
        <v>3</v>
      </c>
      <c r="O99" s="16">
        <f t="shared" si="1"/>
        <v>2018</v>
      </c>
      <c r="P99" s="34"/>
      <c r="Q99" s="34"/>
      <c r="R99" s="34"/>
      <c r="S99" s="34"/>
      <c r="T99" s="34"/>
      <c r="U99" s="17"/>
      <c r="V99" s="23"/>
      <c r="W99" s="15"/>
      <c r="X99" s="15"/>
      <c r="Y99" s="15"/>
    </row>
    <row r="100" spans="1:25" ht="25.5" x14ac:dyDescent="0.2">
      <c r="A100" s="16">
        <v>1128466472</v>
      </c>
      <c r="B100" s="9" t="s">
        <v>652</v>
      </c>
      <c r="C100" s="9" t="s">
        <v>522</v>
      </c>
      <c r="D100" s="9" t="s">
        <v>82</v>
      </c>
      <c r="E100" s="17" t="s">
        <v>83</v>
      </c>
      <c r="F100" s="18">
        <v>43165</v>
      </c>
      <c r="G100" s="24" t="s">
        <v>517</v>
      </c>
      <c r="H100" s="26" t="s">
        <v>385</v>
      </c>
      <c r="I100" s="49" t="str">
        <f>VLOOKUP(H100,VALIDACIONES!$A$2:$B$138,2,0)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00" s="16">
        <v>0</v>
      </c>
      <c r="K100" s="9" t="s">
        <v>86</v>
      </c>
      <c r="L100" s="55"/>
      <c r="M100" s="56" t="s">
        <v>132</v>
      </c>
      <c r="N100" s="16">
        <f t="shared" si="2"/>
        <v>3</v>
      </c>
      <c r="O100" s="16">
        <f t="shared" si="1"/>
        <v>2018</v>
      </c>
      <c r="P100" s="34"/>
      <c r="Q100" s="34"/>
      <c r="R100" s="34"/>
      <c r="S100" s="34"/>
      <c r="T100" s="34"/>
      <c r="U100" s="17"/>
      <c r="V100" s="23"/>
      <c r="W100" s="15"/>
      <c r="X100" s="15"/>
      <c r="Y100" s="15"/>
    </row>
    <row r="101" spans="1:25" ht="25.5" x14ac:dyDescent="0.2">
      <c r="A101" s="16">
        <v>10105313</v>
      </c>
      <c r="B101" s="9" t="s">
        <v>653</v>
      </c>
      <c r="C101" s="9" t="s">
        <v>516</v>
      </c>
      <c r="D101" s="9" t="s">
        <v>82</v>
      </c>
      <c r="E101" s="17" t="s">
        <v>262</v>
      </c>
      <c r="F101" s="18">
        <v>43180</v>
      </c>
      <c r="G101" s="24" t="s">
        <v>654</v>
      </c>
      <c r="H101" s="26" t="s">
        <v>5</v>
      </c>
      <c r="I101" s="49" t="str">
        <f>VLOOKUP(H101,VALIDACIONES!$A$2:$B$138,2,0)</f>
        <v>Noutilizarelcinturóndeseguridadporpartedelosocupantesdelvehículoyloscinturonesdeseguridadenlosasientostraserosenlosvehículosfabricadosapartirdelaño2004.</v>
      </c>
      <c r="J101" s="16">
        <v>244134</v>
      </c>
      <c r="K101" s="9" t="s">
        <v>86</v>
      </c>
      <c r="L101" s="55"/>
      <c r="M101" s="56" t="s">
        <v>132</v>
      </c>
      <c r="N101" s="16">
        <f t="shared" si="2"/>
        <v>3</v>
      </c>
      <c r="O101" s="16">
        <f t="shared" si="1"/>
        <v>2018</v>
      </c>
      <c r="P101" s="34"/>
      <c r="Q101" s="34"/>
      <c r="R101" s="34"/>
      <c r="S101" s="34"/>
      <c r="T101" s="34"/>
      <c r="U101" s="17"/>
      <c r="V101" s="23"/>
      <c r="W101" s="15"/>
      <c r="X101" s="15"/>
      <c r="Y101" s="15"/>
    </row>
    <row r="102" spans="1:25" ht="12.75" x14ac:dyDescent="0.2">
      <c r="A102" s="16">
        <v>16077743</v>
      </c>
      <c r="B102" s="9" t="s">
        <v>655</v>
      </c>
      <c r="C102" s="9" t="s">
        <v>516</v>
      </c>
      <c r="D102" s="9" t="s">
        <v>82</v>
      </c>
      <c r="E102" s="17" t="s">
        <v>100</v>
      </c>
      <c r="F102" s="18">
        <v>43181</v>
      </c>
      <c r="G102" s="24" t="s">
        <v>569</v>
      </c>
      <c r="H102" s="26" t="s">
        <v>4</v>
      </c>
      <c r="I102" s="49" t="str">
        <f>VLOOKUP(H102,VALIDACIONES!$A$2:$B$138,2,0)</f>
        <v>Estacionar un vehículo en los sitios prohibidos por el Código Nacional de Tránsito, reglamentado por la Res.3027.</v>
      </c>
      <c r="J102" s="16">
        <v>390615</v>
      </c>
      <c r="K102" s="9" t="s">
        <v>86</v>
      </c>
      <c r="L102" s="55"/>
      <c r="M102" s="56" t="s">
        <v>132</v>
      </c>
      <c r="N102" s="16">
        <f t="shared" si="2"/>
        <v>3</v>
      </c>
      <c r="O102" s="16">
        <f t="shared" si="1"/>
        <v>2018</v>
      </c>
      <c r="P102" s="34"/>
      <c r="Q102" s="34"/>
      <c r="R102" s="34"/>
      <c r="S102" s="34"/>
      <c r="T102" s="34"/>
      <c r="U102" s="17"/>
      <c r="V102" s="23"/>
      <c r="W102" s="15"/>
      <c r="X102" s="15"/>
      <c r="Y102" s="15"/>
    </row>
    <row r="103" spans="1:25" ht="12.75" x14ac:dyDescent="0.2">
      <c r="A103" s="16">
        <v>16446130</v>
      </c>
      <c r="B103" s="9" t="s">
        <v>656</v>
      </c>
      <c r="C103" s="9" t="s">
        <v>516</v>
      </c>
      <c r="D103" s="9" t="s">
        <v>82</v>
      </c>
      <c r="E103" s="17" t="s">
        <v>251</v>
      </c>
      <c r="F103" s="18">
        <v>43161</v>
      </c>
      <c r="G103" s="24" t="s">
        <v>535</v>
      </c>
      <c r="H103" s="26" t="s">
        <v>4</v>
      </c>
      <c r="I103" s="49" t="str">
        <f>VLOOKUP(H103,VALIDACIONES!$A$2:$B$138,2,0)</f>
        <v>Estacionar un vehículo en los sitios prohibidos por el Código Nacional de Tránsito, reglamentado por la Res.3027.</v>
      </c>
      <c r="J103" s="16">
        <v>390615</v>
      </c>
      <c r="K103" s="9" t="s">
        <v>86</v>
      </c>
      <c r="L103" s="55"/>
      <c r="M103" s="56" t="s">
        <v>132</v>
      </c>
      <c r="N103" s="16">
        <f t="shared" si="2"/>
        <v>3</v>
      </c>
      <c r="O103" s="16">
        <f t="shared" si="1"/>
        <v>2018</v>
      </c>
      <c r="P103" s="34"/>
      <c r="Q103" s="34"/>
      <c r="R103" s="34"/>
      <c r="S103" s="34"/>
      <c r="T103" s="34"/>
      <c r="U103" s="17"/>
      <c r="V103" s="23"/>
      <c r="W103" s="15"/>
      <c r="X103" s="15"/>
      <c r="Y103" s="15"/>
    </row>
    <row r="104" spans="1:25" ht="25.5" x14ac:dyDescent="0.2">
      <c r="A104" s="16">
        <v>14585197</v>
      </c>
      <c r="B104" s="9" t="s">
        <v>657</v>
      </c>
      <c r="C104" s="17" t="s">
        <v>516</v>
      </c>
      <c r="D104" s="9" t="s">
        <v>82</v>
      </c>
      <c r="E104" s="17" t="s">
        <v>248</v>
      </c>
      <c r="F104" s="18">
        <v>43195</v>
      </c>
      <c r="G104" s="24" t="s">
        <v>535</v>
      </c>
      <c r="H104" s="26" t="s">
        <v>10</v>
      </c>
      <c r="I104" s="49" t="str">
        <f>VLOOKUP(H104,VALIDACIONES!$A$2:$B$138,2,0)</f>
        <v>Conducir un vehículo a velocidad superior a la máxima permitida, la cual deberá estar señalizada en forma sectorizada, no obstante esta no podrá ser superior a (verlistado)</v>
      </c>
      <c r="J104" s="16">
        <v>390615</v>
      </c>
      <c r="K104" s="9" t="s">
        <v>86</v>
      </c>
      <c r="L104" s="55"/>
      <c r="M104" s="56" t="s">
        <v>132</v>
      </c>
      <c r="N104" s="16">
        <f t="shared" si="2"/>
        <v>4</v>
      </c>
      <c r="O104" s="16">
        <f t="shared" si="1"/>
        <v>2018</v>
      </c>
      <c r="P104" s="34"/>
      <c r="Q104" s="34"/>
      <c r="R104" s="34"/>
      <c r="S104" s="34"/>
      <c r="T104" s="34"/>
      <c r="U104" s="17"/>
      <c r="V104" s="23"/>
      <c r="W104" s="15"/>
      <c r="X104" s="15"/>
      <c r="Y104" s="15"/>
    </row>
    <row r="105" spans="1:25" ht="12.75" x14ac:dyDescent="0.2">
      <c r="A105" s="16">
        <v>70519618</v>
      </c>
      <c r="B105" s="9" t="s">
        <v>658</v>
      </c>
      <c r="C105" s="9" t="s">
        <v>516</v>
      </c>
      <c r="D105" s="9" t="s">
        <v>82</v>
      </c>
      <c r="E105" s="17" t="s">
        <v>83</v>
      </c>
      <c r="F105" s="18">
        <v>43213</v>
      </c>
      <c r="G105" s="24" t="s">
        <v>525</v>
      </c>
      <c r="H105" s="26" t="s">
        <v>97</v>
      </c>
      <c r="I105" s="49" t="e">
        <f>VLOOKUP(H105,VALIDACIONES!$A$2:$B$138,2,0)</f>
        <v>#N/A</v>
      </c>
      <c r="J105" s="16">
        <v>0</v>
      </c>
      <c r="K105" s="9" t="s">
        <v>86</v>
      </c>
      <c r="L105" s="55"/>
      <c r="M105" s="56" t="s">
        <v>132</v>
      </c>
      <c r="N105" s="16">
        <f t="shared" si="2"/>
        <v>4</v>
      </c>
      <c r="O105" s="16">
        <f t="shared" si="1"/>
        <v>2018</v>
      </c>
      <c r="P105" s="34"/>
      <c r="Q105" s="34"/>
      <c r="R105" s="34"/>
      <c r="S105" s="34"/>
      <c r="T105" s="34"/>
      <c r="U105" s="17"/>
      <c r="V105" s="23"/>
      <c r="W105" s="15"/>
      <c r="X105" s="15"/>
      <c r="Y105" s="15"/>
    </row>
    <row r="106" spans="1:25" ht="25.5" x14ac:dyDescent="0.2">
      <c r="A106" s="16">
        <v>52110919</v>
      </c>
      <c r="B106" s="9" t="s">
        <v>659</v>
      </c>
      <c r="C106" s="9" t="s">
        <v>516</v>
      </c>
      <c r="D106" s="9" t="s">
        <v>82</v>
      </c>
      <c r="E106" s="17" t="s">
        <v>262</v>
      </c>
      <c r="F106" s="18">
        <v>43195</v>
      </c>
      <c r="G106" s="24" t="s">
        <v>520</v>
      </c>
      <c r="H106" s="26" t="s">
        <v>5</v>
      </c>
      <c r="I106" s="49" t="str">
        <f>VLOOKUP(H106,VALIDACIONES!$A$2:$B$138,2,0)</f>
        <v>Noutilizarelcinturóndeseguridadporpartedelosocupantesdelvehículoyloscinturonesdeseguridadenlosasientostraserosenlosvehículosfabricadosapartirdelaño2004.</v>
      </c>
      <c r="J106" s="16">
        <v>390621</v>
      </c>
      <c r="K106" s="9" t="s">
        <v>86</v>
      </c>
      <c r="L106" s="55"/>
      <c r="M106" s="56" t="s">
        <v>132</v>
      </c>
      <c r="N106" s="16">
        <f t="shared" si="2"/>
        <v>4</v>
      </c>
      <c r="O106" s="16">
        <f t="shared" si="1"/>
        <v>2018</v>
      </c>
      <c r="P106" s="34"/>
      <c r="Q106" s="34"/>
      <c r="R106" s="34"/>
      <c r="S106" s="34"/>
      <c r="T106" s="34"/>
      <c r="U106" s="17"/>
      <c r="V106" s="23"/>
      <c r="W106" s="15"/>
      <c r="X106" s="15"/>
      <c r="Y106" s="15"/>
    </row>
    <row r="107" spans="1:25" ht="25.5" x14ac:dyDescent="0.2">
      <c r="A107" s="16">
        <v>70127982</v>
      </c>
      <c r="B107" s="9" t="s">
        <v>660</v>
      </c>
      <c r="C107" s="9" t="s">
        <v>522</v>
      </c>
      <c r="D107" s="9" t="s">
        <v>82</v>
      </c>
      <c r="E107" s="17" t="s">
        <v>83</v>
      </c>
      <c r="F107" s="18">
        <v>43193</v>
      </c>
      <c r="G107" s="24" t="s">
        <v>525</v>
      </c>
      <c r="H107" s="26" t="s">
        <v>7</v>
      </c>
      <c r="I107" s="49" t="str">
        <f>VLOOKUP(H107,VALIDACIONES!$A$2:$B$138,2,0)</f>
        <v>Transitar por los siguientes sitios restringidos o en horas prohibidas por laautoridad competente. Además, el vehículo será inmovilizado.(verlistado)</v>
      </c>
      <c r="J107" s="16">
        <v>390615</v>
      </c>
      <c r="K107" s="9" t="s">
        <v>86</v>
      </c>
      <c r="L107" s="55"/>
      <c r="M107" s="56" t="s">
        <v>132</v>
      </c>
      <c r="N107" s="16">
        <f t="shared" si="2"/>
        <v>4</v>
      </c>
      <c r="O107" s="16">
        <f t="shared" si="1"/>
        <v>2018</v>
      </c>
      <c r="P107" s="34"/>
      <c r="Q107" s="34"/>
      <c r="R107" s="34"/>
      <c r="S107" s="34"/>
      <c r="T107" s="34"/>
      <c r="U107" s="17"/>
      <c r="V107" s="23"/>
      <c r="W107" s="15"/>
      <c r="X107" s="15"/>
      <c r="Y107" s="15"/>
    </row>
    <row r="108" spans="1:25" ht="12.75" x14ac:dyDescent="0.2">
      <c r="A108" s="16">
        <v>3348995</v>
      </c>
      <c r="B108" s="9" t="s">
        <v>661</v>
      </c>
      <c r="C108" s="9" t="s">
        <v>516</v>
      </c>
      <c r="D108" s="9" t="s">
        <v>82</v>
      </c>
      <c r="E108" s="17" t="s">
        <v>83</v>
      </c>
      <c r="F108" s="18">
        <v>43209</v>
      </c>
      <c r="G108" s="24" t="s">
        <v>530</v>
      </c>
      <c r="H108" s="26" t="s">
        <v>165</v>
      </c>
      <c r="I108" s="49" t="str">
        <f>VLOOKUP(H108,VALIDACIONES!$A$2:$B$138,2,0)</f>
        <v>Cuandosedetecteoadviertaunainfracciónalasnormasdeemisióncontaminantesodegeneraciónderuidoporvehículosautomotores</v>
      </c>
      <c r="J108" s="16">
        <v>781230</v>
      </c>
      <c r="K108" s="9" t="s">
        <v>86</v>
      </c>
      <c r="L108" s="55"/>
      <c r="M108" s="56" t="s">
        <v>132</v>
      </c>
      <c r="N108" s="16">
        <f t="shared" si="2"/>
        <v>4</v>
      </c>
      <c r="O108" s="16">
        <f t="shared" si="1"/>
        <v>2018</v>
      </c>
      <c r="P108" s="34"/>
      <c r="Q108" s="34"/>
      <c r="R108" s="34"/>
      <c r="S108" s="34"/>
      <c r="T108" s="34"/>
      <c r="U108" s="17"/>
      <c r="V108" s="23"/>
      <c r="W108" s="15"/>
      <c r="X108" s="15"/>
      <c r="Y108" s="15"/>
    </row>
    <row r="109" spans="1:25" ht="25.5" x14ac:dyDescent="0.2">
      <c r="A109" s="16">
        <v>10030363</v>
      </c>
      <c r="B109" s="9" t="s">
        <v>662</v>
      </c>
      <c r="C109" s="17" t="s">
        <v>549</v>
      </c>
      <c r="D109" s="9" t="s">
        <v>82</v>
      </c>
      <c r="E109" s="17" t="s">
        <v>262</v>
      </c>
      <c r="F109" s="18">
        <v>43211</v>
      </c>
      <c r="G109" s="24" t="s">
        <v>597</v>
      </c>
      <c r="H109" s="26" t="s">
        <v>10</v>
      </c>
      <c r="I109" s="49" t="str">
        <f>VLOOKUP(H109,VALIDACIONES!$A$2:$B$138,2,0)</f>
        <v>Conducir un vehículo a velocidad superior a la máxima permitida, la cual deberá estar señalizada en forma sectorizada, no obstante esta no podrá ser superior a (verlistado)</v>
      </c>
      <c r="J109" s="16">
        <v>390621</v>
      </c>
      <c r="K109" s="9" t="s">
        <v>86</v>
      </c>
      <c r="L109" s="55"/>
      <c r="M109" s="56" t="s">
        <v>132</v>
      </c>
      <c r="N109" s="16">
        <f t="shared" si="2"/>
        <v>4</v>
      </c>
      <c r="O109" s="16">
        <f t="shared" si="1"/>
        <v>2018</v>
      </c>
      <c r="P109" s="34"/>
      <c r="Q109" s="34"/>
      <c r="R109" s="34"/>
      <c r="S109" s="34"/>
      <c r="T109" s="34"/>
      <c r="U109" s="17"/>
      <c r="V109" s="23"/>
      <c r="W109" s="15"/>
      <c r="X109" s="15"/>
      <c r="Y109" s="15"/>
    </row>
    <row r="110" spans="1:25" ht="25.5" x14ac:dyDescent="0.2">
      <c r="A110" s="16">
        <v>71613262</v>
      </c>
      <c r="B110" s="9" t="s">
        <v>663</v>
      </c>
      <c r="C110" s="17" t="s">
        <v>664</v>
      </c>
      <c r="D110" s="9" t="s">
        <v>82</v>
      </c>
      <c r="E110" s="17" t="s">
        <v>83</v>
      </c>
      <c r="F110" s="18">
        <v>43194</v>
      </c>
      <c r="G110" s="24" t="s">
        <v>517</v>
      </c>
      <c r="H110" s="26" t="s">
        <v>7</v>
      </c>
      <c r="I110" s="49" t="str">
        <f>VLOOKUP(H110,VALIDACIONES!$A$2:$B$138,2,0)</f>
        <v>Transitar por los siguientes sitios restringidos o en horas prohibidas por laautoridad competente. Además, el vehículo será inmovilizado.(verlistado)</v>
      </c>
      <c r="J110" s="16">
        <v>390615</v>
      </c>
      <c r="K110" s="9" t="s">
        <v>86</v>
      </c>
      <c r="L110" s="55"/>
      <c r="M110" s="56" t="s">
        <v>132</v>
      </c>
      <c r="N110" s="16">
        <f t="shared" si="2"/>
        <v>4</v>
      </c>
      <c r="O110" s="16">
        <f t="shared" si="1"/>
        <v>2018</v>
      </c>
      <c r="P110" s="34"/>
      <c r="Q110" s="34"/>
      <c r="R110" s="34"/>
      <c r="S110" s="34"/>
      <c r="T110" s="34"/>
      <c r="U110" s="17"/>
      <c r="V110" s="23"/>
      <c r="W110" s="15"/>
      <c r="X110" s="15"/>
      <c r="Y110" s="15"/>
    </row>
    <row r="111" spans="1:25" ht="12.75" x14ac:dyDescent="0.2">
      <c r="A111" s="16">
        <v>71768829</v>
      </c>
      <c r="B111" s="9" t="s">
        <v>665</v>
      </c>
      <c r="C111" s="9" t="s">
        <v>522</v>
      </c>
      <c r="D111" s="9" t="s">
        <v>82</v>
      </c>
      <c r="E111" s="17" t="s">
        <v>83</v>
      </c>
      <c r="F111" s="18">
        <v>43241</v>
      </c>
      <c r="G111" s="24" t="s">
        <v>533</v>
      </c>
      <c r="H111" s="26" t="s">
        <v>4</v>
      </c>
      <c r="I111" s="49" t="str">
        <f>VLOOKUP(H111,VALIDACIONES!$A$2:$B$138,2,0)</f>
        <v>Estacionar un vehículo en los sitios prohibidos por el Código Nacional de Tránsito, reglamentado por la Res.3027.</v>
      </c>
      <c r="J111" s="16">
        <v>390615</v>
      </c>
      <c r="K111" s="9" t="s">
        <v>86</v>
      </c>
      <c r="L111" s="55"/>
      <c r="M111" s="56" t="s">
        <v>132</v>
      </c>
      <c r="N111" s="16">
        <f t="shared" si="2"/>
        <v>5</v>
      </c>
      <c r="O111" s="16">
        <f t="shared" si="1"/>
        <v>2018</v>
      </c>
      <c r="P111" s="34"/>
      <c r="Q111" s="34"/>
      <c r="R111" s="34"/>
      <c r="S111" s="34"/>
      <c r="T111" s="34"/>
      <c r="U111" s="17"/>
      <c r="V111" s="23"/>
      <c r="W111" s="15"/>
      <c r="X111" s="15"/>
      <c r="Y111" s="15"/>
    </row>
    <row r="112" spans="1:25" ht="12.75" x14ac:dyDescent="0.2">
      <c r="A112" s="16">
        <v>87491056</v>
      </c>
      <c r="B112" s="9" t="s">
        <v>666</v>
      </c>
      <c r="C112" s="9" t="s">
        <v>21</v>
      </c>
      <c r="D112" s="9" t="s">
        <v>135</v>
      </c>
      <c r="E112" s="17" t="s">
        <v>83</v>
      </c>
      <c r="F112" s="18">
        <v>43235</v>
      </c>
      <c r="G112" s="24" t="s">
        <v>542</v>
      </c>
      <c r="H112" s="26" t="s">
        <v>9</v>
      </c>
      <c r="I112" s="49" t="str">
        <f>VLOOKUP(H112,VALIDACIONES!$A$2:$B$138,2,0)</f>
        <v>Transitarenvehículosde3.5omástoneladasporelcarrilizquierdodelavíacuandohubieremásdeuncarril.</v>
      </c>
      <c r="J112" s="16">
        <v>390621</v>
      </c>
      <c r="K112" s="9" t="s">
        <v>86</v>
      </c>
      <c r="L112" s="55"/>
      <c r="M112" s="56" t="s">
        <v>132</v>
      </c>
      <c r="N112" s="16">
        <f t="shared" si="2"/>
        <v>5</v>
      </c>
      <c r="O112" s="16">
        <f t="shared" si="1"/>
        <v>2018</v>
      </c>
      <c r="P112" s="34"/>
      <c r="Q112" s="34"/>
      <c r="R112" s="34"/>
      <c r="S112" s="34"/>
      <c r="T112" s="34"/>
      <c r="U112" s="17"/>
      <c r="V112" s="23"/>
      <c r="W112" s="15"/>
      <c r="X112" s="15"/>
      <c r="Y112" s="15"/>
    </row>
    <row r="113" spans="1:25" ht="38.25" x14ac:dyDescent="0.2">
      <c r="A113" s="16">
        <v>70555825</v>
      </c>
      <c r="B113" s="9" t="s">
        <v>667</v>
      </c>
      <c r="C113" s="9" t="s">
        <v>516</v>
      </c>
      <c r="D113" s="9" t="s">
        <v>82</v>
      </c>
      <c r="E113" s="17" t="s">
        <v>83</v>
      </c>
      <c r="F113" s="18">
        <v>43244</v>
      </c>
      <c r="G113" s="24" t="s">
        <v>533</v>
      </c>
      <c r="H113" s="26" t="s">
        <v>11</v>
      </c>
      <c r="I113" s="49" t="str">
        <f>VLOOKUP(H113,VALIDACIONES!$A$2:$B$138,2,0)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13" s="16">
        <v>390615</v>
      </c>
      <c r="K113" s="9" t="s">
        <v>86</v>
      </c>
      <c r="L113" s="55"/>
      <c r="M113" s="56" t="s">
        <v>132</v>
      </c>
      <c r="N113" s="16">
        <f t="shared" si="2"/>
        <v>5</v>
      </c>
      <c r="O113" s="16">
        <f t="shared" si="1"/>
        <v>2018</v>
      </c>
      <c r="P113" s="34"/>
      <c r="Q113" s="34"/>
      <c r="R113" s="34"/>
      <c r="S113" s="34"/>
      <c r="T113" s="34"/>
      <c r="U113" s="17"/>
      <c r="V113" s="23"/>
      <c r="W113" s="15"/>
      <c r="X113" s="15"/>
      <c r="Y113" s="15"/>
    </row>
    <row r="114" spans="1:25" ht="25.5" x14ac:dyDescent="0.2">
      <c r="A114" s="16">
        <v>1093885919</v>
      </c>
      <c r="B114" s="9" t="s">
        <v>668</v>
      </c>
      <c r="C114" s="17" t="s">
        <v>664</v>
      </c>
      <c r="D114" s="9" t="s">
        <v>82</v>
      </c>
      <c r="E114" s="17" t="s">
        <v>83</v>
      </c>
      <c r="F114" s="18">
        <v>43239</v>
      </c>
      <c r="G114" s="24" t="s">
        <v>533</v>
      </c>
      <c r="H114" s="26" t="s">
        <v>385</v>
      </c>
      <c r="I114" s="49" t="str">
        <f>VLOOKUP(H114,VALIDACIONES!$A$2:$B$138,2,0)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14" s="16">
        <v>390615</v>
      </c>
      <c r="K114" s="9" t="s">
        <v>86</v>
      </c>
      <c r="L114" s="55"/>
      <c r="M114" s="56" t="s">
        <v>132</v>
      </c>
      <c r="N114" s="16">
        <f t="shared" si="2"/>
        <v>5</v>
      </c>
      <c r="O114" s="16">
        <f t="shared" si="1"/>
        <v>2018</v>
      </c>
      <c r="P114" s="34"/>
      <c r="Q114" s="34"/>
      <c r="R114" s="34"/>
      <c r="S114" s="34"/>
      <c r="T114" s="34"/>
      <c r="U114" s="17"/>
      <c r="V114" s="23"/>
      <c r="W114" s="15"/>
      <c r="X114" s="15"/>
      <c r="Y114" s="15"/>
    </row>
    <row r="115" spans="1:25" ht="25.5" x14ac:dyDescent="0.2">
      <c r="A115" s="16">
        <v>1045422493</v>
      </c>
      <c r="B115" s="9" t="s">
        <v>669</v>
      </c>
      <c r="C115" s="9" t="s">
        <v>522</v>
      </c>
      <c r="D115" s="9" t="s">
        <v>82</v>
      </c>
      <c r="E115" s="17" t="s">
        <v>83</v>
      </c>
      <c r="F115" s="18">
        <v>43249</v>
      </c>
      <c r="G115" s="24" t="s">
        <v>670</v>
      </c>
      <c r="H115" s="26" t="s">
        <v>10</v>
      </c>
      <c r="I115" s="49" t="str">
        <f>VLOOKUP(H115,VALIDACIONES!$A$2:$B$138,2,0)</f>
        <v>Conducir un vehículo a velocidad superior a la máxima permitida, la cual deberá estar señalizada en forma sectorizada, no obstante esta no podrá ser superior a (verlistado)</v>
      </c>
      <c r="J115" s="16">
        <v>390621</v>
      </c>
      <c r="K115" s="9" t="s">
        <v>86</v>
      </c>
      <c r="L115" s="55"/>
      <c r="M115" s="56" t="s">
        <v>132</v>
      </c>
      <c r="N115" s="16">
        <f t="shared" si="2"/>
        <v>5</v>
      </c>
      <c r="O115" s="16">
        <f t="shared" si="1"/>
        <v>2018</v>
      </c>
      <c r="P115" s="34"/>
      <c r="Q115" s="34"/>
      <c r="R115" s="34"/>
      <c r="S115" s="34"/>
      <c r="T115" s="34"/>
      <c r="U115" s="17"/>
      <c r="V115" s="23"/>
      <c r="W115" s="15"/>
      <c r="X115" s="15"/>
      <c r="Y115" s="15"/>
    </row>
    <row r="116" spans="1:25" ht="25.5" x14ac:dyDescent="0.2">
      <c r="A116" s="16">
        <v>10032356</v>
      </c>
      <c r="B116" s="9" t="s">
        <v>558</v>
      </c>
      <c r="C116" s="17" t="s">
        <v>549</v>
      </c>
      <c r="D116" s="9" t="s">
        <v>82</v>
      </c>
      <c r="E116" s="17" t="s">
        <v>262</v>
      </c>
      <c r="F116" s="18">
        <v>43242</v>
      </c>
      <c r="G116" s="24" t="s">
        <v>520</v>
      </c>
      <c r="H116" s="26" t="s">
        <v>10</v>
      </c>
      <c r="I116" s="49" t="str">
        <f>VLOOKUP(H116,VALIDACIONES!$A$2:$B$138,2,0)</f>
        <v>Conducir un vehículo a velocidad superior a la máxima permitida, la cual deberá estar señalizada en forma sectorizada, no obstante esta no podrá ser superior a (verlistado)</v>
      </c>
      <c r="J116" s="16">
        <v>390621</v>
      </c>
      <c r="K116" s="9" t="s">
        <v>86</v>
      </c>
      <c r="L116" s="55"/>
      <c r="M116" s="56" t="s">
        <v>132</v>
      </c>
      <c r="N116" s="16">
        <f t="shared" si="2"/>
        <v>5</v>
      </c>
      <c r="O116" s="16">
        <f t="shared" si="1"/>
        <v>2018</v>
      </c>
      <c r="P116" s="34"/>
      <c r="Q116" s="34"/>
      <c r="R116" s="34"/>
      <c r="S116" s="34"/>
      <c r="T116" s="34"/>
      <c r="U116" s="17"/>
      <c r="V116" s="23"/>
      <c r="W116" s="15"/>
      <c r="X116" s="15"/>
      <c r="Y116" s="15"/>
    </row>
    <row r="117" spans="1:25" ht="12.75" x14ac:dyDescent="0.2">
      <c r="A117" s="16">
        <v>70508778</v>
      </c>
      <c r="B117" s="9" t="s">
        <v>671</v>
      </c>
      <c r="C117" s="9" t="s">
        <v>522</v>
      </c>
      <c r="D117" s="9" t="s">
        <v>82</v>
      </c>
      <c r="E117" s="17" t="s">
        <v>83</v>
      </c>
      <c r="F117" s="18">
        <v>43251</v>
      </c>
      <c r="G117" s="24" t="s">
        <v>533</v>
      </c>
      <c r="H117" s="26" t="s">
        <v>4</v>
      </c>
      <c r="I117" s="49" t="str">
        <f>VLOOKUP(H117,VALIDACIONES!$A$2:$B$138,2,0)</f>
        <v>Estacionar un vehículo en los sitios prohibidos por el Código Nacional de Tránsito, reglamentado por la Res.3027.</v>
      </c>
      <c r="J117" s="16">
        <v>390615</v>
      </c>
      <c r="K117" s="9" t="s">
        <v>86</v>
      </c>
      <c r="L117" s="55"/>
      <c r="M117" s="56" t="s">
        <v>132</v>
      </c>
      <c r="N117" s="16">
        <f t="shared" si="2"/>
        <v>5</v>
      </c>
      <c r="O117" s="16">
        <f t="shared" si="1"/>
        <v>2018</v>
      </c>
      <c r="P117" s="34"/>
      <c r="Q117" s="34"/>
      <c r="R117" s="34"/>
      <c r="S117" s="34"/>
      <c r="T117" s="34"/>
      <c r="U117" s="17"/>
      <c r="V117" s="23"/>
      <c r="W117" s="15"/>
      <c r="X117" s="15"/>
      <c r="Y117" s="15"/>
    </row>
    <row r="118" spans="1:25" ht="12.75" x14ac:dyDescent="0.2">
      <c r="A118" s="16">
        <v>71580758</v>
      </c>
      <c r="B118" s="9" t="s">
        <v>672</v>
      </c>
      <c r="C118" s="9" t="s">
        <v>522</v>
      </c>
      <c r="D118" s="9" t="s">
        <v>82</v>
      </c>
      <c r="E118" s="17" t="s">
        <v>83</v>
      </c>
      <c r="F118" s="18">
        <v>43250</v>
      </c>
      <c r="G118" s="24" t="s">
        <v>542</v>
      </c>
      <c r="H118" s="26" t="s">
        <v>8</v>
      </c>
      <c r="I118" s="49" t="str">
        <f>VLOOKUP(H118,VALIDACIONES!$A$2:$B$138,2,0)</f>
        <v>Conducir motocicleta sin observar las siguientes normas.(verlistadodesituaciones)</v>
      </c>
      <c r="J118" s="16">
        <v>390621</v>
      </c>
      <c r="K118" s="9" t="s">
        <v>86</v>
      </c>
      <c r="L118" s="55"/>
      <c r="M118" s="56" t="s">
        <v>132</v>
      </c>
      <c r="N118" s="16">
        <f t="shared" si="2"/>
        <v>5</v>
      </c>
      <c r="O118" s="16">
        <f t="shared" si="1"/>
        <v>2018</v>
      </c>
      <c r="P118" s="34"/>
      <c r="Q118" s="34"/>
      <c r="R118" s="34"/>
      <c r="S118" s="34"/>
      <c r="T118" s="34"/>
      <c r="U118" s="17"/>
      <c r="V118" s="23"/>
      <c r="W118" s="15"/>
      <c r="X118" s="15"/>
      <c r="Y118" s="15"/>
    </row>
    <row r="119" spans="1:25" ht="51" x14ac:dyDescent="0.2">
      <c r="A119" s="16">
        <v>10000500</v>
      </c>
      <c r="B119" s="9" t="s">
        <v>673</v>
      </c>
      <c r="C119" s="9" t="s">
        <v>516</v>
      </c>
      <c r="D119" s="9" t="s">
        <v>82</v>
      </c>
      <c r="E119" s="17" t="s">
        <v>262</v>
      </c>
      <c r="F119" s="18">
        <v>43235</v>
      </c>
      <c r="G119" s="24" t="s">
        <v>654</v>
      </c>
      <c r="H119" s="26" t="s">
        <v>335</v>
      </c>
      <c r="I119" s="49" t="str">
        <f>VLOOKUP(H119,VALIDACIONES!$A$2:$B$138,2,0)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119" s="16">
        <v>390615</v>
      </c>
      <c r="K119" s="9" t="s">
        <v>86</v>
      </c>
      <c r="L119" s="55"/>
      <c r="M119" s="56" t="s">
        <v>132</v>
      </c>
      <c r="N119" s="16">
        <f t="shared" si="2"/>
        <v>5</v>
      </c>
      <c r="O119" s="16">
        <f t="shared" si="1"/>
        <v>2018</v>
      </c>
      <c r="P119" s="34"/>
      <c r="Q119" s="34"/>
      <c r="R119" s="34"/>
      <c r="S119" s="34"/>
      <c r="T119" s="34"/>
      <c r="U119" s="17"/>
      <c r="V119" s="23"/>
      <c r="W119" s="15"/>
      <c r="X119" s="15"/>
      <c r="Y119" s="15"/>
    </row>
    <row r="120" spans="1:25" ht="25.5" x14ac:dyDescent="0.2">
      <c r="A120" s="16">
        <v>98708358</v>
      </c>
      <c r="B120" s="9" t="s">
        <v>674</v>
      </c>
      <c r="C120" s="9" t="s">
        <v>522</v>
      </c>
      <c r="D120" s="9" t="s">
        <v>82</v>
      </c>
      <c r="E120" s="17" t="s">
        <v>83</v>
      </c>
      <c r="F120" s="18">
        <v>43238</v>
      </c>
      <c r="G120" s="24" t="s">
        <v>675</v>
      </c>
      <c r="H120" s="26" t="s">
        <v>468</v>
      </c>
      <c r="I120" s="49" t="str">
        <f>VLOOKUP(H120,VALIDACIONES!$A$2:$B$138,2,0)</f>
        <v>El conductor, pasajero o peaton, que obstaculice, perjudique o ponga en riesgo a las demas personas o que no cumpla las normas y señales de transito que le sean aplicables o no obedezca las indicaciones que les den las autoridades de tránsito.</v>
      </c>
      <c r="J120" s="16">
        <v>0</v>
      </c>
      <c r="K120" s="9" t="s">
        <v>86</v>
      </c>
      <c r="L120" s="55"/>
      <c r="M120" s="56" t="s">
        <v>132</v>
      </c>
      <c r="N120" s="16">
        <f t="shared" si="2"/>
        <v>5</v>
      </c>
      <c r="O120" s="16">
        <f t="shared" si="1"/>
        <v>2018</v>
      </c>
      <c r="P120" s="34"/>
      <c r="Q120" s="34"/>
      <c r="R120" s="34"/>
      <c r="S120" s="34"/>
      <c r="T120" s="34"/>
      <c r="U120" s="17"/>
      <c r="V120" s="23"/>
      <c r="W120" s="15"/>
      <c r="X120" s="15"/>
      <c r="Y120" s="15"/>
    </row>
    <row r="121" spans="1:25" ht="12.75" x14ac:dyDescent="0.2">
      <c r="A121" s="16">
        <v>98764588</v>
      </c>
      <c r="B121" s="9" t="s">
        <v>676</v>
      </c>
      <c r="C121" s="17" t="s">
        <v>664</v>
      </c>
      <c r="D121" s="9" t="s">
        <v>82</v>
      </c>
      <c r="E121" s="17" t="s">
        <v>83</v>
      </c>
      <c r="F121" s="18">
        <v>43251</v>
      </c>
      <c r="G121" s="24" t="s">
        <v>517</v>
      </c>
      <c r="H121" s="26" t="s">
        <v>180</v>
      </c>
      <c r="I121" s="49" t="str">
        <f>VLOOKUP(H121,VALIDACIONES!$A$2:$B$138,2,0)</f>
        <v>Bloquearunacalzadaointersecciónconunvehículo,salvocuandoelbloqueoobedezcaalaocurrenciadeunaccidente.</v>
      </c>
      <c r="J121" s="16">
        <v>390615</v>
      </c>
      <c r="K121" s="9" t="s">
        <v>86</v>
      </c>
      <c r="L121" s="55"/>
      <c r="M121" s="56" t="s">
        <v>132</v>
      </c>
      <c r="N121" s="16">
        <f t="shared" si="2"/>
        <v>5</v>
      </c>
      <c r="O121" s="16">
        <f t="shared" si="1"/>
        <v>2018</v>
      </c>
      <c r="P121" s="34"/>
      <c r="Q121" s="34"/>
      <c r="R121" s="34"/>
      <c r="S121" s="34"/>
      <c r="T121" s="34"/>
      <c r="U121" s="17"/>
      <c r="V121" s="23"/>
      <c r="W121" s="15"/>
      <c r="X121" s="15"/>
      <c r="Y121" s="15"/>
    </row>
    <row r="122" spans="1:25" ht="12.75" x14ac:dyDescent="0.2">
      <c r="A122" s="16">
        <v>16662139</v>
      </c>
      <c r="B122" s="9" t="s">
        <v>677</v>
      </c>
      <c r="C122" s="9" t="s">
        <v>516</v>
      </c>
      <c r="D122" s="9" t="s">
        <v>82</v>
      </c>
      <c r="E122" s="17" t="s">
        <v>251</v>
      </c>
      <c r="F122" s="18">
        <v>43238</v>
      </c>
      <c r="G122" s="24" t="s">
        <v>535</v>
      </c>
      <c r="H122" s="26">
        <v>300</v>
      </c>
      <c r="I122" s="49" t="str">
        <f>VLOOKUP(H122,VALIDACIONES!$A$2:$B$138,2,0)</f>
        <v>Acuerdo de pago incumplido</v>
      </c>
      <c r="J122" s="16">
        <v>589785</v>
      </c>
      <c r="K122" s="9" t="s">
        <v>86</v>
      </c>
      <c r="L122" s="55"/>
      <c r="M122" s="56" t="s">
        <v>132</v>
      </c>
      <c r="N122" s="16">
        <f t="shared" si="2"/>
        <v>5</v>
      </c>
      <c r="O122" s="16">
        <f t="shared" si="1"/>
        <v>2018</v>
      </c>
      <c r="P122" s="34"/>
      <c r="Q122" s="34"/>
      <c r="R122" s="34"/>
      <c r="S122" s="34"/>
      <c r="T122" s="34"/>
      <c r="U122" s="17"/>
      <c r="V122" s="23"/>
      <c r="W122" s="15"/>
      <c r="X122" s="15"/>
      <c r="Y122" s="15"/>
    </row>
    <row r="123" spans="1:25" ht="12.75" x14ac:dyDescent="0.2">
      <c r="A123" s="16">
        <v>3353481</v>
      </c>
      <c r="B123" s="9" t="s">
        <v>678</v>
      </c>
      <c r="C123" s="9" t="s">
        <v>522</v>
      </c>
      <c r="D123" s="9" t="s">
        <v>82</v>
      </c>
      <c r="E123" s="17" t="s">
        <v>83</v>
      </c>
      <c r="F123" s="18">
        <v>43273</v>
      </c>
      <c r="G123" s="24" t="s">
        <v>525</v>
      </c>
      <c r="H123" s="26" t="s">
        <v>4</v>
      </c>
      <c r="I123" s="49" t="str">
        <f>VLOOKUP(H123,VALIDACIONES!$A$2:$B$138,2,0)</f>
        <v>Estacionar un vehículo en los sitios prohibidos por el Código Nacional de Tránsito, reglamentado por la Res.3027.</v>
      </c>
      <c r="J123" s="16">
        <v>390615</v>
      </c>
      <c r="K123" s="9" t="s">
        <v>86</v>
      </c>
      <c r="L123" s="55"/>
      <c r="M123" s="56"/>
      <c r="N123" s="16">
        <f t="shared" si="2"/>
        <v>6</v>
      </c>
      <c r="O123" s="16">
        <f t="shared" si="1"/>
        <v>2018</v>
      </c>
      <c r="P123" s="34"/>
      <c r="Q123" s="34"/>
      <c r="R123" s="34"/>
      <c r="S123" s="34"/>
      <c r="T123" s="34"/>
      <c r="U123" s="17"/>
      <c r="V123" s="23"/>
      <c r="W123" s="15"/>
      <c r="X123" s="15"/>
      <c r="Y123" s="15"/>
    </row>
    <row r="124" spans="1:25" ht="12.75" x14ac:dyDescent="0.2">
      <c r="A124" s="16">
        <v>15928517</v>
      </c>
      <c r="B124" s="9" t="s">
        <v>679</v>
      </c>
      <c r="C124" s="17" t="s">
        <v>563</v>
      </c>
      <c r="D124" s="9" t="s">
        <v>82</v>
      </c>
      <c r="E124" s="17" t="s">
        <v>83</v>
      </c>
      <c r="F124" s="18">
        <v>43258</v>
      </c>
      <c r="G124" s="24" t="s">
        <v>564</v>
      </c>
      <c r="H124" s="26" t="s">
        <v>165</v>
      </c>
      <c r="I124" s="49" t="str">
        <f>VLOOKUP(H124,VALIDACIONES!$A$2:$B$138,2,0)</f>
        <v>Cuandosedetecteoadviertaunainfracciónalasnormasdeemisióncontaminantesodegeneraciónderuidoporvehículosautomotores</v>
      </c>
      <c r="J124" s="16">
        <v>781230</v>
      </c>
      <c r="K124" s="9" t="s">
        <v>86</v>
      </c>
      <c r="L124" s="55"/>
      <c r="M124" s="56"/>
      <c r="N124" s="16">
        <f t="shared" si="2"/>
        <v>6</v>
      </c>
      <c r="O124" s="16">
        <f t="shared" si="1"/>
        <v>2018</v>
      </c>
      <c r="P124" s="34"/>
      <c r="Q124" s="34"/>
      <c r="R124" s="34"/>
      <c r="S124" s="34"/>
      <c r="T124" s="34"/>
      <c r="U124" s="17"/>
      <c r="V124" s="23"/>
      <c r="W124" s="15"/>
      <c r="X124" s="15"/>
      <c r="Y124" s="15"/>
    </row>
    <row r="125" spans="1:25" ht="12.75" x14ac:dyDescent="0.2">
      <c r="A125" s="16">
        <v>98487377</v>
      </c>
      <c r="B125" s="9" t="s">
        <v>680</v>
      </c>
      <c r="C125" s="17" t="s">
        <v>681</v>
      </c>
      <c r="D125" s="9" t="s">
        <v>82</v>
      </c>
      <c r="E125" s="17" t="s">
        <v>83</v>
      </c>
      <c r="F125" s="18">
        <v>43276</v>
      </c>
      <c r="G125" s="24" t="s">
        <v>525</v>
      </c>
      <c r="H125" s="26" t="s">
        <v>276</v>
      </c>
      <c r="I125" s="49" t="str">
        <f>VLOOKUP(H125,VALIDACIONES!$A$2:$B$138,2,0)</f>
        <v>Conducir un vehículo sin llevar consigo la licencia de conducción.</v>
      </c>
      <c r="J125" s="16">
        <v>208328</v>
      </c>
      <c r="K125" s="9" t="s">
        <v>86</v>
      </c>
      <c r="L125" s="55"/>
      <c r="M125" s="56"/>
      <c r="N125" s="16">
        <f t="shared" si="2"/>
        <v>6</v>
      </c>
      <c r="O125" s="16">
        <f t="shared" si="1"/>
        <v>2018</v>
      </c>
      <c r="P125" s="34"/>
      <c r="Q125" s="34"/>
      <c r="R125" s="34"/>
      <c r="S125" s="34"/>
      <c r="T125" s="34"/>
      <c r="U125" s="17"/>
      <c r="V125" s="23"/>
      <c r="W125" s="15"/>
      <c r="X125" s="15"/>
      <c r="Y125" s="15"/>
    </row>
    <row r="126" spans="1:25" ht="12.75" x14ac:dyDescent="0.2">
      <c r="A126" s="16">
        <v>71580758</v>
      </c>
      <c r="B126" s="9" t="s">
        <v>672</v>
      </c>
      <c r="C126" s="9" t="s">
        <v>522</v>
      </c>
      <c r="D126" s="9" t="s">
        <v>82</v>
      </c>
      <c r="E126" s="17" t="s">
        <v>83</v>
      </c>
      <c r="F126" s="18">
        <v>43256</v>
      </c>
      <c r="G126" s="24" t="s">
        <v>542</v>
      </c>
      <c r="H126" s="26" t="s">
        <v>12</v>
      </c>
      <c r="I126" s="49" t="str">
        <f>VLOOKUP(H126,VALIDACIONES!$A$2:$B$138,2,0)</f>
        <v>ConducirsinportarelSeguroObligatoriodeAccidentesdetránsitoordenadoporlaley.Además,elvehículoseráinmovilizado.</v>
      </c>
      <c r="J126" s="16">
        <v>781242</v>
      </c>
      <c r="K126" s="9" t="s">
        <v>86</v>
      </c>
      <c r="L126" s="55"/>
      <c r="M126" s="56"/>
      <c r="N126" s="16">
        <f t="shared" si="2"/>
        <v>6</v>
      </c>
      <c r="O126" s="16">
        <f t="shared" si="1"/>
        <v>2018</v>
      </c>
      <c r="P126" s="34"/>
      <c r="Q126" s="34"/>
      <c r="R126" s="34"/>
      <c r="S126" s="34"/>
      <c r="T126" s="34"/>
      <c r="U126" s="17"/>
      <c r="V126" s="23"/>
      <c r="W126" s="15"/>
      <c r="X126" s="15"/>
      <c r="Y126" s="15"/>
    </row>
    <row r="127" spans="1:25" ht="12.75" x14ac:dyDescent="0.2">
      <c r="A127" s="16">
        <v>71580758</v>
      </c>
      <c r="B127" s="9" t="s">
        <v>672</v>
      </c>
      <c r="C127" s="9" t="s">
        <v>522</v>
      </c>
      <c r="D127" s="9" t="s">
        <v>82</v>
      </c>
      <c r="E127" s="17" t="s">
        <v>83</v>
      </c>
      <c r="F127" s="18">
        <v>43256</v>
      </c>
      <c r="G127" s="24" t="s">
        <v>542</v>
      </c>
      <c r="H127" s="26" t="s">
        <v>8</v>
      </c>
      <c r="I127" s="49" t="str">
        <f>VLOOKUP(H127,VALIDACIONES!$A$2:$B$138,2,0)</f>
        <v>Conducir motocicleta sin observar las siguientes normas.(verlistadodesituaciones)</v>
      </c>
      <c r="J127" s="16">
        <v>390621</v>
      </c>
      <c r="K127" s="9" t="s">
        <v>86</v>
      </c>
      <c r="L127" s="55"/>
      <c r="M127" s="56"/>
      <c r="N127" s="16">
        <f t="shared" si="2"/>
        <v>6</v>
      </c>
      <c r="O127" s="16">
        <f t="shared" si="1"/>
        <v>2018</v>
      </c>
      <c r="P127" s="34"/>
      <c r="Q127" s="34"/>
      <c r="R127" s="34"/>
      <c r="S127" s="34"/>
      <c r="T127" s="34"/>
      <c r="U127" s="17"/>
      <c r="V127" s="23"/>
      <c r="W127" s="15"/>
      <c r="X127" s="15"/>
      <c r="Y127" s="15"/>
    </row>
    <row r="128" spans="1:25" ht="38.25" x14ac:dyDescent="0.2">
      <c r="A128" s="16">
        <v>71580758</v>
      </c>
      <c r="B128" s="9" t="s">
        <v>672</v>
      </c>
      <c r="C128" s="9" t="s">
        <v>522</v>
      </c>
      <c r="D128" s="9" t="s">
        <v>82</v>
      </c>
      <c r="E128" s="17" t="s">
        <v>83</v>
      </c>
      <c r="F128" s="18">
        <v>43256</v>
      </c>
      <c r="G128" s="24" t="s">
        <v>542</v>
      </c>
      <c r="H128" s="26" t="s">
        <v>11</v>
      </c>
      <c r="I128" s="49" t="str">
        <f>VLOOKUP(H128,VALIDACIONES!$A$2:$B$138,2,0)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28" s="16">
        <v>390621</v>
      </c>
      <c r="K128" s="9" t="s">
        <v>86</v>
      </c>
      <c r="L128" s="55"/>
      <c r="M128" s="56"/>
      <c r="N128" s="16">
        <f t="shared" si="2"/>
        <v>6</v>
      </c>
      <c r="O128" s="16">
        <f t="shared" si="1"/>
        <v>2018</v>
      </c>
      <c r="P128" s="34"/>
      <c r="Q128" s="34"/>
      <c r="R128" s="34"/>
      <c r="S128" s="34"/>
      <c r="T128" s="34"/>
      <c r="U128" s="17"/>
      <c r="V128" s="23"/>
      <c r="W128" s="15"/>
      <c r="X128" s="15"/>
      <c r="Y128" s="15"/>
    </row>
    <row r="129" spans="1:25" ht="38.25" x14ac:dyDescent="0.2">
      <c r="A129" s="16">
        <v>80888645</v>
      </c>
      <c r="B129" s="9" t="s">
        <v>682</v>
      </c>
      <c r="C129" s="9" t="s">
        <v>516</v>
      </c>
      <c r="D129" s="9" t="s">
        <v>82</v>
      </c>
      <c r="E129" s="17" t="s">
        <v>83</v>
      </c>
      <c r="F129" s="18">
        <v>43253</v>
      </c>
      <c r="G129" s="24" t="s">
        <v>525</v>
      </c>
      <c r="H129" s="26" t="s">
        <v>14</v>
      </c>
      <c r="I129" s="49" t="str">
        <f>VLOOKUP(H129,VALIDACIONES!$A$2:$B$138,2,0)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129" s="16">
        <v>781230</v>
      </c>
      <c r="K129" s="9" t="s">
        <v>86</v>
      </c>
      <c r="L129" s="55"/>
      <c r="M129" s="56"/>
      <c r="N129" s="16">
        <f t="shared" si="2"/>
        <v>6</v>
      </c>
      <c r="O129" s="16">
        <f t="shared" si="1"/>
        <v>2018</v>
      </c>
      <c r="P129" s="34"/>
      <c r="Q129" s="34"/>
      <c r="R129" s="34"/>
      <c r="S129" s="34"/>
      <c r="T129" s="34"/>
      <c r="U129" s="17"/>
      <c r="V129" s="23"/>
      <c r="W129" s="15"/>
      <c r="X129" s="15"/>
      <c r="Y129" s="15"/>
    </row>
    <row r="130" spans="1:25" ht="12.75" x14ac:dyDescent="0.2">
      <c r="A130" s="16">
        <v>71798982</v>
      </c>
      <c r="B130" s="9" t="s">
        <v>683</v>
      </c>
      <c r="C130" s="17" t="s">
        <v>563</v>
      </c>
      <c r="D130" s="9" t="s">
        <v>82</v>
      </c>
      <c r="E130" s="17" t="s">
        <v>83</v>
      </c>
      <c r="F130" s="18">
        <v>43259</v>
      </c>
      <c r="G130" s="24" t="s">
        <v>542</v>
      </c>
      <c r="H130" s="26" t="s">
        <v>9</v>
      </c>
      <c r="I130" s="49" t="str">
        <f>VLOOKUP(H130,VALIDACIONES!$A$2:$B$138,2,0)</f>
        <v>Transitarenvehículosde3.5omástoneladasporelcarrilizquierdodelavíacuandohubieremásdeuncarril.</v>
      </c>
      <c r="J130" s="16">
        <v>390621</v>
      </c>
      <c r="K130" s="9" t="s">
        <v>86</v>
      </c>
      <c r="L130" s="55"/>
      <c r="M130" s="56"/>
      <c r="N130" s="16">
        <f t="shared" si="2"/>
        <v>6</v>
      </c>
      <c r="O130" s="16">
        <f t="shared" si="1"/>
        <v>2018</v>
      </c>
      <c r="P130" s="34"/>
      <c r="Q130" s="34"/>
      <c r="R130" s="34"/>
      <c r="S130" s="34"/>
      <c r="T130" s="34"/>
      <c r="U130" s="17"/>
      <c r="V130" s="23"/>
      <c r="W130" s="15"/>
      <c r="X130" s="15"/>
      <c r="Y130" s="15"/>
    </row>
    <row r="131" spans="1:25" ht="12.75" x14ac:dyDescent="0.2">
      <c r="A131" s="16">
        <v>16662139</v>
      </c>
      <c r="B131" s="9" t="s">
        <v>677</v>
      </c>
      <c r="C131" s="9" t="s">
        <v>516</v>
      </c>
      <c r="D131" s="9" t="s">
        <v>82</v>
      </c>
      <c r="E131" s="17" t="s">
        <v>251</v>
      </c>
      <c r="F131" s="18">
        <v>43277</v>
      </c>
      <c r="G131" s="24" t="s">
        <v>535</v>
      </c>
      <c r="H131" s="26" t="s">
        <v>276</v>
      </c>
      <c r="I131" s="49" t="str">
        <f>VLOOKUP(H131,VALIDACIONES!$A$2:$B$138,2,0)</f>
        <v>Conducir un vehículo sin llevar consigo la licencia de conducción.</v>
      </c>
      <c r="J131" s="16">
        <v>234328</v>
      </c>
      <c r="K131" s="9" t="s">
        <v>86</v>
      </c>
      <c r="L131" s="55"/>
      <c r="M131" s="56"/>
      <c r="N131" s="16">
        <f t="shared" si="2"/>
        <v>6</v>
      </c>
      <c r="O131" s="16">
        <f t="shared" si="1"/>
        <v>2018</v>
      </c>
      <c r="P131" s="34"/>
      <c r="Q131" s="34"/>
      <c r="R131" s="34"/>
      <c r="S131" s="34"/>
      <c r="T131" s="34"/>
      <c r="U131" s="17"/>
      <c r="V131" s="23"/>
      <c r="W131" s="15"/>
      <c r="X131" s="15"/>
      <c r="Y131" s="15"/>
    </row>
    <row r="132" spans="1:25" ht="25.5" x14ac:dyDescent="0.2">
      <c r="A132" s="16">
        <v>94418763</v>
      </c>
      <c r="B132" s="9" t="s">
        <v>684</v>
      </c>
      <c r="C132" s="9" t="s">
        <v>516</v>
      </c>
      <c r="D132" s="9" t="s">
        <v>82</v>
      </c>
      <c r="E132" s="17" t="s">
        <v>251</v>
      </c>
      <c r="F132" s="18">
        <v>43287</v>
      </c>
      <c r="G132" s="24" t="s">
        <v>535</v>
      </c>
      <c r="H132" s="26" t="s">
        <v>5</v>
      </c>
      <c r="I132" s="49" t="str">
        <f>VLOOKUP(H132,VALIDACIONES!$A$2:$B$138,2,0)</f>
        <v>Noutilizarelcinturóndeseguridadporpartedelosocupantesdelvehículoyloscinturonesdeseguridadenlosasientostraserosenlosvehículosfabricadosapartirdelaño2004.</v>
      </c>
      <c r="J132" s="16">
        <v>390615</v>
      </c>
      <c r="K132" s="9" t="s">
        <v>86</v>
      </c>
      <c r="L132" s="55"/>
      <c r="M132" s="56"/>
      <c r="N132" s="16">
        <f t="shared" si="2"/>
        <v>7</v>
      </c>
      <c r="O132" s="16">
        <f t="shared" si="1"/>
        <v>2018</v>
      </c>
      <c r="P132" s="34"/>
      <c r="Q132" s="34"/>
      <c r="R132" s="34"/>
      <c r="S132" s="34"/>
      <c r="T132" s="34"/>
      <c r="U132" s="17"/>
      <c r="V132" s="23"/>
      <c r="W132" s="15"/>
      <c r="X132" s="15"/>
      <c r="Y132" s="15"/>
    </row>
    <row r="133" spans="1:25" ht="25.5" x14ac:dyDescent="0.2">
      <c r="A133" s="16">
        <v>94418763</v>
      </c>
      <c r="B133" s="9" t="s">
        <v>684</v>
      </c>
      <c r="C133" s="9" t="s">
        <v>516</v>
      </c>
      <c r="D133" s="9" t="s">
        <v>82</v>
      </c>
      <c r="E133" s="17" t="s">
        <v>251</v>
      </c>
      <c r="F133" s="18">
        <v>43284</v>
      </c>
      <c r="G133" s="24" t="s">
        <v>535</v>
      </c>
      <c r="H133" s="26" t="s">
        <v>5</v>
      </c>
      <c r="I133" s="49" t="str">
        <f>VLOOKUP(H133,VALIDACIONES!$A$2:$B$138,2,0)</f>
        <v>Noutilizarelcinturóndeseguridadporpartedelosocupantesdelvehículoyloscinturonesdeseguridadenlosasientostraserosenlosvehículosfabricadosapartirdelaño2004.</v>
      </c>
      <c r="J133" s="16">
        <v>390615</v>
      </c>
      <c r="K133" s="9" t="s">
        <v>86</v>
      </c>
      <c r="L133" s="55"/>
      <c r="M133" s="56"/>
      <c r="N133" s="16">
        <f t="shared" si="2"/>
        <v>7</v>
      </c>
      <c r="O133" s="16">
        <f t="shared" si="1"/>
        <v>2018</v>
      </c>
      <c r="P133" s="34"/>
      <c r="Q133" s="34"/>
      <c r="R133" s="34"/>
      <c r="S133" s="34"/>
      <c r="T133" s="34"/>
      <c r="U133" s="17"/>
      <c r="V133" s="23"/>
      <c r="W133" s="15"/>
      <c r="X133" s="15"/>
      <c r="Y133" s="15"/>
    </row>
    <row r="134" spans="1:25" ht="12.75" x14ac:dyDescent="0.2">
      <c r="A134" s="16">
        <v>72205427</v>
      </c>
      <c r="B134" s="9" t="s">
        <v>685</v>
      </c>
      <c r="C134" s="9" t="s">
        <v>522</v>
      </c>
      <c r="D134" s="9" t="s">
        <v>82</v>
      </c>
      <c r="E134" s="17" t="s">
        <v>83</v>
      </c>
      <c r="F134" s="18">
        <v>43311</v>
      </c>
      <c r="G134" s="24" t="s">
        <v>686</v>
      </c>
      <c r="H134" s="26" t="s">
        <v>32</v>
      </c>
      <c r="I134" s="49" t="str">
        <f>VLOOKUP(H134,VALIDACIONES!$A$2:$B$138,2,0)</f>
        <v>No acatar las señales o requerimientos impartidos por los agentes de Tránsito.</v>
      </c>
      <c r="J134" s="16">
        <v>390621</v>
      </c>
      <c r="K134" s="9" t="s">
        <v>86</v>
      </c>
      <c r="L134" s="55"/>
      <c r="M134" s="56"/>
      <c r="N134" s="16">
        <f t="shared" si="2"/>
        <v>7</v>
      </c>
      <c r="O134" s="16">
        <f t="shared" si="1"/>
        <v>2018</v>
      </c>
      <c r="P134" s="34"/>
      <c r="Q134" s="34"/>
      <c r="R134" s="34"/>
      <c r="S134" s="34"/>
      <c r="T134" s="34"/>
      <c r="U134" s="17"/>
      <c r="V134" s="23"/>
      <c r="W134" s="15"/>
      <c r="X134" s="15"/>
      <c r="Y134" s="15"/>
    </row>
    <row r="135" spans="1:25" ht="12.75" x14ac:dyDescent="0.2">
      <c r="A135" s="16">
        <v>1036638930</v>
      </c>
      <c r="B135" s="9" t="s">
        <v>687</v>
      </c>
      <c r="C135" s="17" t="s">
        <v>681</v>
      </c>
      <c r="D135" s="9" t="s">
        <v>82</v>
      </c>
      <c r="E135" s="17" t="s">
        <v>83</v>
      </c>
      <c r="F135" s="18">
        <v>43298</v>
      </c>
      <c r="G135" s="24" t="s">
        <v>517</v>
      </c>
      <c r="H135" s="26" t="s">
        <v>15</v>
      </c>
      <c r="I135" s="49" t="str">
        <f>VLOOKUP(H135,VALIDACIONES!$A$2:$B$138,2,0)</f>
        <v>Las demas conductas que constituyan infraccion a las normas de transito y que no se encuentren descritas en este acto administrativo.</v>
      </c>
      <c r="J135" s="16">
        <v>0</v>
      </c>
      <c r="K135" s="9" t="s">
        <v>86</v>
      </c>
      <c r="L135" s="55"/>
      <c r="M135" s="56"/>
      <c r="N135" s="16">
        <f t="shared" si="2"/>
        <v>7</v>
      </c>
      <c r="O135" s="16">
        <f t="shared" si="1"/>
        <v>2018</v>
      </c>
      <c r="P135" s="34"/>
      <c r="Q135" s="34"/>
      <c r="R135" s="34"/>
      <c r="S135" s="34"/>
      <c r="T135" s="34"/>
      <c r="U135" s="17"/>
      <c r="V135" s="23"/>
      <c r="W135" s="15"/>
      <c r="X135" s="15"/>
      <c r="Y135" s="15"/>
    </row>
    <row r="136" spans="1:25" ht="12.75" x14ac:dyDescent="0.2">
      <c r="A136" s="16">
        <v>4759199</v>
      </c>
      <c r="B136" s="9" t="s">
        <v>688</v>
      </c>
      <c r="C136" s="9" t="s">
        <v>516</v>
      </c>
      <c r="D136" s="9" t="s">
        <v>82</v>
      </c>
      <c r="E136" s="17" t="s">
        <v>251</v>
      </c>
      <c r="F136" s="18">
        <v>43300</v>
      </c>
      <c r="G136" s="24" t="s">
        <v>535</v>
      </c>
      <c r="H136" s="26">
        <v>300</v>
      </c>
      <c r="I136" s="49" t="str">
        <f>VLOOKUP(H136,VALIDACIONES!$A$2:$B$138,2,0)</f>
        <v>Acuerdo de pago incumplido</v>
      </c>
      <c r="J136" s="16">
        <v>159150</v>
      </c>
      <c r="K136" s="9" t="s">
        <v>86</v>
      </c>
      <c r="L136" s="55"/>
      <c r="M136" s="56"/>
      <c r="N136" s="16">
        <f t="shared" si="2"/>
        <v>7</v>
      </c>
      <c r="O136" s="16">
        <f t="shared" si="1"/>
        <v>2018</v>
      </c>
      <c r="P136" s="34"/>
      <c r="Q136" s="34"/>
      <c r="R136" s="34"/>
      <c r="S136" s="34"/>
      <c r="T136" s="34"/>
      <c r="U136" s="17"/>
      <c r="V136" s="23"/>
      <c r="W136" s="15"/>
      <c r="X136" s="15"/>
      <c r="Y136" s="15"/>
    </row>
    <row r="137" spans="1:25" ht="38.25" x14ac:dyDescent="0.2">
      <c r="A137" s="16">
        <v>1152205883</v>
      </c>
      <c r="B137" s="9" t="s">
        <v>689</v>
      </c>
      <c r="C137" s="17" t="s">
        <v>26</v>
      </c>
      <c r="D137" s="9" t="s">
        <v>82</v>
      </c>
      <c r="E137" s="17" t="s">
        <v>83</v>
      </c>
      <c r="F137" s="18">
        <v>43311</v>
      </c>
      <c r="G137" s="24" t="s">
        <v>617</v>
      </c>
      <c r="H137" s="26" t="s">
        <v>11</v>
      </c>
      <c r="I137" s="49" t="str">
        <f>VLOOKUP(H137,VALIDACIONES!$A$2:$B$138,2,0)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37" s="16">
        <v>390621</v>
      </c>
      <c r="K137" s="9" t="s">
        <v>86</v>
      </c>
      <c r="L137" s="55"/>
      <c r="M137" s="56"/>
      <c r="N137" s="16">
        <f t="shared" si="2"/>
        <v>7</v>
      </c>
      <c r="O137" s="16">
        <f t="shared" si="1"/>
        <v>2018</v>
      </c>
      <c r="P137" s="34"/>
      <c r="Q137" s="34"/>
      <c r="R137" s="34"/>
      <c r="S137" s="34"/>
      <c r="T137" s="34"/>
      <c r="U137" s="17"/>
      <c r="V137" s="23"/>
      <c r="W137" s="15"/>
      <c r="X137" s="15"/>
      <c r="Y137" s="15"/>
    </row>
    <row r="138" spans="1:25" ht="25.5" x14ac:dyDescent="0.2">
      <c r="A138" s="16">
        <v>10082828</v>
      </c>
      <c r="B138" s="9" t="s">
        <v>690</v>
      </c>
      <c r="C138" s="9" t="s">
        <v>516</v>
      </c>
      <c r="D138" s="9" t="s">
        <v>82</v>
      </c>
      <c r="E138" s="17" t="s">
        <v>262</v>
      </c>
      <c r="F138" s="18">
        <v>43309</v>
      </c>
      <c r="G138" s="24" t="s">
        <v>527</v>
      </c>
      <c r="H138" s="26" t="s">
        <v>385</v>
      </c>
      <c r="I138" s="49" t="str">
        <f>VLOOKUP(H138,VALIDACIONES!$A$2:$B$138,2,0)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38" s="16">
        <v>390621</v>
      </c>
      <c r="K138" s="9" t="s">
        <v>86</v>
      </c>
      <c r="L138" s="55"/>
      <c r="M138" s="56"/>
      <c r="N138" s="16">
        <f t="shared" si="2"/>
        <v>7</v>
      </c>
      <c r="O138" s="16">
        <f t="shared" si="1"/>
        <v>2018</v>
      </c>
      <c r="P138" s="34"/>
      <c r="Q138" s="34"/>
      <c r="R138" s="34"/>
      <c r="S138" s="34"/>
      <c r="T138" s="34"/>
      <c r="U138" s="17"/>
      <c r="V138" s="23"/>
      <c r="W138" s="15"/>
      <c r="X138" s="15"/>
      <c r="Y138" s="15"/>
    </row>
    <row r="139" spans="1:25" ht="12.75" x14ac:dyDescent="0.2">
      <c r="A139" s="16">
        <v>71742425</v>
      </c>
      <c r="B139" s="9" t="s">
        <v>691</v>
      </c>
      <c r="C139" s="9" t="s">
        <v>522</v>
      </c>
      <c r="D139" s="9" t="s">
        <v>82</v>
      </c>
      <c r="E139" s="17" t="s">
        <v>83</v>
      </c>
      <c r="F139" s="18">
        <v>43305</v>
      </c>
      <c r="G139" s="24" t="s">
        <v>557</v>
      </c>
      <c r="H139" s="26" t="s">
        <v>32</v>
      </c>
      <c r="I139" s="49" t="str">
        <f>VLOOKUP(H139,VALIDACIONES!$A$2:$B$138,2,0)</f>
        <v>No acatar las señales o requerimientos impartidos por los agentes de Tránsito.</v>
      </c>
      <c r="J139" s="16">
        <v>390615</v>
      </c>
      <c r="K139" s="9" t="s">
        <v>86</v>
      </c>
      <c r="L139" s="55"/>
      <c r="M139" s="56"/>
      <c r="N139" s="16">
        <f t="shared" si="2"/>
        <v>7</v>
      </c>
      <c r="O139" s="16">
        <f t="shared" si="1"/>
        <v>2018</v>
      </c>
      <c r="P139" s="34"/>
      <c r="Q139" s="34"/>
      <c r="R139" s="34"/>
      <c r="S139" s="34"/>
      <c r="T139" s="34"/>
      <c r="U139" s="17"/>
      <c r="V139" s="23"/>
      <c r="W139" s="15"/>
      <c r="X139" s="15"/>
      <c r="Y139" s="15"/>
    </row>
    <row r="140" spans="1:25" ht="25.5" x14ac:dyDescent="0.2">
      <c r="A140" s="16">
        <v>71757060</v>
      </c>
      <c r="B140" s="9" t="s">
        <v>692</v>
      </c>
      <c r="C140" s="17" t="s">
        <v>664</v>
      </c>
      <c r="D140" s="9" t="s">
        <v>82</v>
      </c>
      <c r="E140" s="17" t="s">
        <v>83</v>
      </c>
      <c r="F140" s="18">
        <v>43311</v>
      </c>
      <c r="G140" s="24" t="s">
        <v>517</v>
      </c>
      <c r="H140" s="26" t="s">
        <v>385</v>
      </c>
      <c r="I140" s="49" t="str">
        <f>VLOOKUP(H140,VALIDACIONES!$A$2:$B$138,2,0)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40" s="16">
        <v>390615</v>
      </c>
      <c r="K140" s="9" t="s">
        <v>86</v>
      </c>
      <c r="L140" s="55"/>
      <c r="M140" s="56"/>
      <c r="N140" s="16">
        <f t="shared" si="2"/>
        <v>7</v>
      </c>
      <c r="O140" s="16">
        <f t="shared" si="1"/>
        <v>2018</v>
      </c>
      <c r="P140" s="34"/>
      <c r="Q140" s="34"/>
      <c r="R140" s="34"/>
      <c r="S140" s="34"/>
      <c r="T140" s="34"/>
      <c r="U140" s="17"/>
      <c r="V140" s="23"/>
      <c r="W140" s="15"/>
      <c r="X140" s="15"/>
      <c r="Y140" s="15"/>
    </row>
    <row r="141" spans="1:25" ht="12.75" x14ac:dyDescent="0.2">
      <c r="A141" s="16">
        <v>18509726</v>
      </c>
      <c r="B141" s="9" t="s">
        <v>642</v>
      </c>
      <c r="C141" s="9" t="s">
        <v>516</v>
      </c>
      <c r="D141" s="9" t="s">
        <v>82</v>
      </c>
      <c r="E141" s="17" t="s">
        <v>262</v>
      </c>
      <c r="F141" s="18">
        <v>43304</v>
      </c>
      <c r="G141" s="24" t="s">
        <v>527</v>
      </c>
      <c r="H141" s="26" t="s">
        <v>4</v>
      </c>
      <c r="I141" s="49" t="str">
        <f>VLOOKUP(H141,VALIDACIONES!$A$2:$B$138,2,0)</f>
        <v>Estacionar un vehículo en los sitios prohibidos por el Código Nacional de Tránsito, reglamentado por la Res.3027.</v>
      </c>
      <c r="J141" s="16">
        <v>390621</v>
      </c>
      <c r="K141" s="9" t="s">
        <v>86</v>
      </c>
      <c r="L141" s="55"/>
      <c r="M141" s="56"/>
      <c r="N141" s="16">
        <f t="shared" si="2"/>
        <v>7</v>
      </c>
      <c r="O141" s="16">
        <f t="shared" si="1"/>
        <v>2018</v>
      </c>
      <c r="P141" s="34"/>
      <c r="Q141" s="34"/>
      <c r="R141" s="34"/>
      <c r="S141" s="34"/>
      <c r="T141" s="34"/>
      <c r="U141" s="17"/>
      <c r="V141" s="23"/>
      <c r="W141" s="15"/>
      <c r="X141" s="15"/>
      <c r="Y141" s="15"/>
    </row>
    <row r="142" spans="1:25" ht="12.75" x14ac:dyDescent="0.2">
      <c r="A142" s="16">
        <v>1130625262</v>
      </c>
      <c r="B142" s="9" t="s">
        <v>693</v>
      </c>
      <c r="C142" s="9" t="s">
        <v>516</v>
      </c>
      <c r="D142" s="9" t="s">
        <v>82</v>
      </c>
      <c r="E142" s="17" t="s">
        <v>251</v>
      </c>
      <c r="F142" s="18">
        <v>43298</v>
      </c>
      <c r="G142" s="24" t="s">
        <v>644</v>
      </c>
      <c r="H142" s="26">
        <v>300</v>
      </c>
      <c r="I142" s="49" t="str">
        <f>VLOOKUP(H142,VALIDACIONES!$A$2:$B$138,2,0)</f>
        <v>Acuerdo de pago incumplido</v>
      </c>
      <c r="J142" s="16">
        <v>217958</v>
      </c>
      <c r="K142" s="9" t="s">
        <v>86</v>
      </c>
      <c r="L142" s="55"/>
      <c r="M142" s="56"/>
      <c r="N142" s="16">
        <f t="shared" si="2"/>
        <v>7</v>
      </c>
      <c r="O142" s="16">
        <f t="shared" si="1"/>
        <v>2018</v>
      </c>
      <c r="P142" s="34"/>
      <c r="Q142" s="34"/>
      <c r="R142" s="34"/>
      <c r="S142" s="34"/>
      <c r="T142" s="34"/>
      <c r="U142" s="17"/>
      <c r="V142" s="23"/>
      <c r="W142" s="15"/>
      <c r="X142" s="15"/>
      <c r="Y142" s="15"/>
    </row>
    <row r="143" spans="1:25" ht="25.5" x14ac:dyDescent="0.2">
      <c r="A143" s="16">
        <v>10286648</v>
      </c>
      <c r="B143" s="9" t="s">
        <v>694</v>
      </c>
      <c r="C143" s="9" t="s">
        <v>516</v>
      </c>
      <c r="D143" s="9" t="s">
        <v>82</v>
      </c>
      <c r="E143" s="17" t="s">
        <v>100</v>
      </c>
      <c r="F143" s="18">
        <v>43343</v>
      </c>
      <c r="G143" s="24" t="s">
        <v>569</v>
      </c>
      <c r="H143" s="26" t="s">
        <v>385</v>
      </c>
      <c r="I143" s="49" t="str">
        <f>VLOOKUP(H143,VALIDACIONES!$A$2:$B$138,2,0)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43" s="16">
        <v>390615</v>
      </c>
      <c r="K143" s="9" t="s">
        <v>86</v>
      </c>
      <c r="L143" s="55"/>
      <c r="M143" s="56"/>
      <c r="N143" s="16">
        <f t="shared" si="2"/>
        <v>8</v>
      </c>
      <c r="O143" s="16">
        <f t="shared" si="1"/>
        <v>2018</v>
      </c>
      <c r="P143" s="34"/>
      <c r="Q143" s="34"/>
      <c r="R143" s="34"/>
      <c r="S143" s="34"/>
      <c r="T143" s="34"/>
      <c r="U143" s="17"/>
      <c r="V143" s="23"/>
      <c r="W143" s="15"/>
      <c r="X143" s="15"/>
      <c r="Y143" s="15"/>
    </row>
    <row r="144" spans="1:25" ht="25.5" x14ac:dyDescent="0.2">
      <c r="A144" s="16">
        <v>98567164</v>
      </c>
      <c r="B144" s="9" t="s">
        <v>532</v>
      </c>
      <c r="C144" s="9" t="s">
        <v>522</v>
      </c>
      <c r="D144" s="9" t="s">
        <v>82</v>
      </c>
      <c r="E144" s="17" t="s">
        <v>83</v>
      </c>
      <c r="F144" s="18">
        <v>43335</v>
      </c>
      <c r="G144" s="24" t="s">
        <v>695</v>
      </c>
      <c r="H144" s="26" t="s">
        <v>10</v>
      </c>
      <c r="I144" s="49" t="str">
        <f>VLOOKUP(H144,VALIDACIONES!$A$2:$B$138,2,0)</f>
        <v>Conducir un vehículo a velocidad superior a la máxima permitida, la cual deberá estar señalizada en forma sectorizada, no obstante esta no podrá ser superior a (verlistado)</v>
      </c>
      <c r="J144" s="16">
        <v>421870</v>
      </c>
      <c r="K144" s="9" t="s">
        <v>86</v>
      </c>
      <c r="L144" s="55"/>
      <c r="M144" s="56"/>
      <c r="N144" s="16">
        <f t="shared" si="2"/>
        <v>8</v>
      </c>
      <c r="O144" s="16">
        <f t="shared" si="1"/>
        <v>2018</v>
      </c>
      <c r="P144" s="34"/>
      <c r="Q144" s="34"/>
      <c r="R144" s="34"/>
      <c r="S144" s="34"/>
      <c r="T144" s="34"/>
      <c r="U144" s="17"/>
      <c r="V144" s="23"/>
      <c r="W144" s="15"/>
      <c r="X144" s="15"/>
      <c r="Y144" s="15"/>
    </row>
    <row r="145" spans="1:25" ht="12.75" x14ac:dyDescent="0.2">
      <c r="A145" s="16">
        <v>71670203</v>
      </c>
      <c r="B145" s="9" t="s">
        <v>696</v>
      </c>
      <c r="C145" s="9" t="s">
        <v>25</v>
      </c>
      <c r="D145" s="9" t="s">
        <v>25</v>
      </c>
      <c r="E145" s="17" t="s">
        <v>83</v>
      </c>
      <c r="F145" s="18">
        <v>43320</v>
      </c>
      <c r="G145" s="24" t="s">
        <v>566</v>
      </c>
      <c r="H145" s="26" t="s">
        <v>365</v>
      </c>
      <c r="I145" s="49" t="str">
        <f>VLOOKUP(H145,VALIDACIONES!$A$2:$B$138,2,0)</f>
        <v>Transitarsinatenderalgunadelassiguientesreglas.(verlistadodesituaciones)</v>
      </c>
      <c r="J145" s="16">
        <v>390615</v>
      </c>
      <c r="K145" s="9" t="s">
        <v>86</v>
      </c>
      <c r="L145" s="55"/>
      <c r="M145" s="56"/>
      <c r="N145" s="16">
        <f t="shared" si="2"/>
        <v>8</v>
      </c>
      <c r="O145" s="16">
        <f t="shared" si="1"/>
        <v>2018</v>
      </c>
      <c r="P145" s="34"/>
      <c r="Q145" s="34"/>
      <c r="R145" s="34"/>
      <c r="S145" s="34"/>
      <c r="T145" s="34"/>
      <c r="U145" s="17"/>
      <c r="V145" s="23"/>
      <c r="W145" s="15"/>
      <c r="X145" s="15"/>
      <c r="Y145" s="15"/>
    </row>
    <row r="146" spans="1:25" ht="12.75" x14ac:dyDescent="0.2">
      <c r="A146" s="16">
        <v>1040734245</v>
      </c>
      <c r="B146" s="9" t="s">
        <v>697</v>
      </c>
      <c r="C146" s="17" t="s">
        <v>698</v>
      </c>
      <c r="D146" s="9" t="s">
        <v>82</v>
      </c>
      <c r="E146" s="17" t="s">
        <v>83</v>
      </c>
      <c r="F146" s="18">
        <v>43317</v>
      </c>
      <c r="G146" s="24" t="s">
        <v>533</v>
      </c>
      <c r="H146" s="26" t="s">
        <v>4</v>
      </c>
      <c r="I146" s="49" t="str">
        <f>VLOOKUP(H146,VALIDACIONES!$A$2:$B$138,2,0)</f>
        <v>Estacionar un vehículo en los sitios prohibidos por el Código Nacional de Tránsito, reglamentado por la Res.3027.</v>
      </c>
      <c r="J146" s="16">
        <v>390615</v>
      </c>
      <c r="K146" s="9" t="s">
        <v>86</v>
      </c>
      <c r="L146" s="55"/>
      <c r="M146" s="56"/>
      <c r="N146" s="16">
        <f t="shared" si="2"/>
        <v>8</v>
      </c>
      <c r="O146" s="16">
        <f t="shared" si="1"/>
        <v>2018</v>
      </c>
      <c r="P146" s="34"/>
      <c r="Q146" s="34"/>
      <c r="R146" s="34"/>
      <c r="S146" s="34"/>
      <c r="T146" s="34"/>
      <c r="U146" s="17"/>
      <c r="V146" s="23"/>
      <c r="W146" s="15"/>
      <c r="X146" s="15"/>
      <c r="Y146" s="15"/>
    </row>
    <row r="147" spans="1:25" ht="38.25" x14ac:dyDescent="0.2">
      <c r="A147" s="16">
        <v>87946366</v>
      </c>
      <c r="B147" s="9" t="s">
        <v>699</v>
      </c>
      <c r="C147" s="9" t="s">
        <v>522</v>
      </c>
      <c r="D147" s="9" t="s">
        <v>82</v>
      </c>
      <c r="E147" s="17" t="s">
        <v>83</v>
      </c>
      <c r="F147" s="18">
        <v>43371</v>
      </c>
      <c r="G147" s="24" t="s">
        <v>546</v>
      </c>
      <c r="H147" s="26" t="s">
        <v>397</v>
      </c>
      <c r="I147" s="49" t="str">
        <f>VLOOKUP(H147,VALIDACIONES!$A$2:$B$138,2,0)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147" s="16">
        <v>781242</v>
      </c>
      <c r="K147" s="9" t="s">
        <v>86</v>
      </c>
      <c r="L147" s="55"/>
      <c r="M147" s="56"/>
      <c r="N147" s="16">
        <f t="shared" si="2"/>
        <v>9</v>
      </c>
      <c r="O147" s="16">
        <f t="shared" si="1"/>
        <v>2018</v>
      </c>
      <c r="P147" s="34"/>
      <c r="Q147" s="34"/>
      <c r="R147" s="34"/>
      <c r="S147" s="34"/>
      <c r="T147" s="34"/>
      <c r="U147" s="17"/>
      <c r="V147" s="23"/>
      <c r="W147" s="15"/>
      <c r="X147" s="15"/>
      <c r="Y147" s="15"/>
    </row>
    <row r="148" spans="1:25" ht="12.75" x14ac:dyDescent="0.2">
      <c r="A148" s="16">
        <v>88201349</v>
      </c>
      <c r="B148" s="9" t="s">
        <v>700</v>
      </c>
      <c r="C148" s="9" t="s">
        <v>516</v>
      </c>
      <c r="D148" s="9" t="s">
        <v>82</v>
      </c>
      <c r="E148" s="17" t="s">
        <v>83</v>
      </c>
      <c r="F148" s="18">
        <v>43362</v>
      </c>
      <c r="G148" s="24" t="s">
        <v>542</v>
      </c>
      <c r="H148" s="26" t="s">
        <v>4</v>
      </c>
      <c r="I148" s="49" t="str">
        <f>VLOOKUP(H148,VALIDACIONES!$A$2:$B$138,2,0)</f>
        <v>Estacionar un vehículo en los sitios prohibidos por el Código Nacional de Tránsito, reglamentado por la Res.3027.</v>
      </c>
      <c r="J148" s="16">
        <v>390615</v>
      </c>
      <c r="K148" s="9" t="s">
        <v>86</v>
      </c>
      <c r="L148" s="55"/>
      <c r="M148" s="56"/>
      <c r="N148" s="16">
        <f t="shared" si="2"/>
        <v>9</v>
      </c>
      <c r="O148" s="16">
        <f t="shared" si="1"/>
        <v>2018</v>
      </c>
      <c r="P148" s="34"/>
      <c r="Q148" s="34"/>
      <c r="R148" s="34"/>
      <c r="S148" s="34"/>
      <c r="T148" s="34"/>
      <c r="U148" s="17"/>
      <c r="V148" s="23"/>
      <c r="W148" s="15"/>
      <c r="X148" s="15"/>
      <c r="Y148" s="15"/>
    </row>
    <row r="149" spans="1:25" ht="25.5" x14ac:dyDescent="0.2">
      <c r="A149" s="16">
        <v>71605539</v>
      </c>
      <c r="B149" s="9" t="s">
        <v>701</v>
      </c>
      <c r="C149" s="9" t="s">
        <v>522</v>
      </c>
      <c r="D149" s="9" t="s">
        <v>82</v>
      </c>
      <c r="E149" s="17" t="s">
        <v>83</v>
      </c>
      <c r="F149" s="18">
        <v>43393</v>
      </c>
      <c r="G149" s="24" t="s">
        <v>542</v>
      </c>
      <c r="H149" s="26" t="s">
        <v>7</v>
      </c>
      <c r="I149" s="49" t="str">
        <f>VLOOKUP(H149,VALIDACIONES!$A$2:$B$138,2,0)</f>
        <v>Transitar por los siguientes sitios restringidos o en horas prohibidas por laautoridad competente. Además, el vehículo será inmovilizado.(verlistado)</v>
      </c>
      <c r="J149" s="16">
        <v>390621</v>
      </c>
      <c r="K149" s="9" t="s">
        <v>86</v>
      </c>
      <c r="L149" s="55"/>
      <c r="M149" s="56"/>
      <c r="N149" s="16">
        <f t="shared" si="2"/>
        <v>10</v>
      </c>
      <c r="O149" s="16">
        <f t="shared" si="1"/>
        <v>2018</v>
      </c>
      <c r="P149" s="34"/>
      <c r="Q149" s="34"/>
      <c r="R149" s="34"/>
      <c r="S149" s="34"/>
      <c r="T149" s="34"/>
      <c r="U149" s="17"/>
      <c r="V149" s="23"/>
      <c r="W149" s="15"/>
      <c r="X149" s="15"/>
      <c r="Y149" s="15"/>
    </row>
    <row r="150" spans="1:25" ht="38.25" x14ac:dyDescent="0.2">
      <c r="A150" s="16">
        <v>98572372</v>
      </c>
      <c r="B150" s="9" t="s">
        <v>702</v>
      </c>
      <c r="C150" s="9" t="s">
        <v>25</v>
      </c>
      <c r="D150" s="9" t="s">
        <v>25</v>
      </c>
      <c r="E150" s="17" t="s">
        <v>83</v>
      </c>
      <c r="F150" s="18">
        <v>43402</v>
      </c>
      <c r="G150" s="24" t="s">
        <v>592</v>
      </c>
      <c r="H150" s="26" t="s">
        <v>397</v>
      </c>
      <c r="I150" s="49" t="str">
        <f>VLOOKUP(H150,VALIDACIONES!$A$2:$B$138,2,0)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150" s="16">
        <v>781242</v>
      </c>
      <c r="K150" s="9" t="s">
        <v>86</v>
      </c>
      <c r="L150" s="55"/>
      <c r="M150" s="56"/>
      <c r="N150" s="16">
        <f t="shared" si="2"/>
        <v>10</v>
      </c>
      <c r="O150" s="16">
        <f t="shared" si="1"/>
        <v>2018</v>
      </c>
      <c r="P150" s="34"/>
      <c r="Q150" s="34"/>
      <c r="R150" s="34"/>
      <c r="S150" s="34"/>
      <c r="T150" s="34"/>
      <c r="U150" s="17"/>
      <c r="V150" s="23"/>
      <c r="W150" s="15"/>
      <c r="X150" s="15"/>
      <c r="Y150" s="15"/>
    </row>
    <row r="151" spans="1:25" ht="25.5" x14ac:dyDescent="0.2">
      <c r="A151" s="16">
        <v>1097394803</v>
      </c>
      <c r="B151" s="9" t="s">
        <v>703</v>
      </c>
      <c r="C151" s="9" t="s">
        <v>516</v>
      </c>
      <c r="D151" s="9" t="s">
        <v>82</v>
      </c>
      <c r="E151" s="17" t="s">
        <v>239</v>
      </c>
      <c r="F151" s="18">
        <v>43394</v>
      </c>
      <c r="G151" s="24" t="s">
        <v>704</v>
      </c>
      <c r="H151" s="26" t="s">
        <v>10</v>
      </c>
      <c r="I151" s="49" t="str">
        <f>VLOOKUP(H151,VALIDACIONES!$A$2:$B$138,2,0)</f>
        <v>Conducir un vehículo a velocidad superior a la máxima permitida, la cual deberá estar señalizada en forma sectorizada, no obstante esta no podrá ser superior a (verlistado)</v>
      </c>
      <c r="J151" s="16">
        <v>390621</v>
      </c>
      <c r="K151" s="9" t="s">
        <v>86</v>
      </c>
      <c r="L151" s="55"/>
      <c r="M151" s="56"/>
      <c r="N151" s="16">
        <f t="shared" si="2"/>
        <v>10</v>
      </c>
      <c r="O151" s="16">
        <f t="shared" si="1"/>
        <v>2018</v>
      </c>
      <c r="P151" s="34"/>
      <c r="Q151" s="34"/>
      <c r="R151" s="34"/>
      <c r="S151" s="34"/>
      <c r="T151" s="34"/>
      <c r="U151" s="17"/>
      <c r="V151" s="23"/>
      <c r="W151" s="15"/>
      <c r="X151" s="15"/>
      <c r="Y151" s="15"/>
    </row>
    <row r="152" spans="1:25" ht="25.5" x14ac:dyDescent="0.2">
      <c r="A152" s="16">
        <v>1097394803</v>
      </c>
      <c r="B152" s="9" t="s">
        <v>703</v>
      </c>
      <c r="C152" s="9" t="s">
        <v>516</v>
      </c>
      <c r="D152" s="9" t="s">
        <v>82</v>
      </c>
      <c r="E152" s="17" t="s">
        <v>239</v>
      </c>
      <c r="F152" s="18">
        <v>43393</v>
      </c>
      <c r="G152" s="24" t="s">
        <v>639</v>
      </c>
      <c r="H152" s="26" t="s">
        <v>10</v>
      </c>
      <c r="I152" s="49" t="str">
        <f>VLOOKUP(H152,VALIDACIONES!$A$2:$B$138,2,0)</f>
        <v>Conducir un vehículo a velocidad superior a la máxima permitida, la cual deberá estar señalizada en forma sectorizada, no obstante esta no podrá ser superior a (verlistado)</v>
      </c>
      <c r="J152" s="16">
        <v>390621</v>
      </c>
      <c r="K152" s="9" t="s">
        <v>86</v>
      </c>
      <c r="L152" s="55"/>
      <c r="M152" s="56"/>
      <c r="N152" s="16">
        <f t="shared" si="2"/>
        <v>10</v>
      </c>
      <c r="O152" s="16">
        <f t="shared" si="1"/>
        <v>2018</v>
      </c>
      <c r="P152" s="34"/>
      <c r="Q152" s="34"/>
      <c r="R152" s="34"/>
      <c r="S152" s="34"/>
      <c r="T152" s="34"/>
      <c r="U152" s="17"/>
      <c r="V152" s="23"/>
      <c r="W152" s="15"/>
      <c r="X152" s="15"/>
      <c r="Y152" s="15"/>
    </row>
    <row r="153" spans="1:25" ht="12.75" x14ac:dyDescent="0.2">
      <c r="A153" s="16">
        <v>71599110</v>
      </c>
      <c r="B153" s="9" t="s">
        <v>705</v>
      </c>
      <c r="C153" s="9" t="s">
        <v>516</v>
      </c>
      <c r="D153" s="9" t="s">
        <v>82</v>
      </c>
      <c r="E153" s="17" t="s">
        <v>83</v>
      </c>
      <c r="F153" s="18">
        <v>43398</v>
      </c>
      <c r="G153" s="24" t="s">
        <v>525</v>
      </c>
      <c r="H153" s="26" t="s">
        <v>32</v>
      </c>
      <c r="I153" s="49" t="str">
        <f>VLOOKUP(H153,VALIDACIONES!$A$2:$B$138,2,0)</f>
        <v>No acatar las señales o requerimientos impartidos por los agentes de Tránsito.</v>
      </c>
      <c r="J153" s="16">
        <v>390615</v>
      </c>
      <c r="K153" s="9" t="s">
        <v>86</v>
      </c>
      <c r="L153" s="55"/>
      <c r="M153" s="56"/>
      <c r="N153" s="16">
        <f t="shared" si="2"/>
        <v>10</v>
      </c>
      <c r="O153" s="16">
        <f t="shared" si="1"/>
        <v>2018</v>
      </c>
      <c r="P153" s="34"/>
      <c r="Q153" s="34"/>
      <c r="R153" s="34"/>
      <c r="S153" s="34"/>
      <c r="T153" s="34"/>
      <c r="U153" s="17"/>
      <c r="V153" s="23"/>
      <c r="W153" s="15"/>
      <c r="X153" s="15"/>
      <c r="Y153" s="15"/>
    </row>
    <row r="154" spans="1:25" ht="25.5" x14ac:dyDescent="0.2">
      <c r="A154" s="16">
        <v>70509184</v>
      </c>
      <c r="B154" s="9" t="s">
        <v>706</v>
      </c>
      <c r="C154" s="9" t="s">
        <v>522</v>
      </c>
      <c r="D154" s="9" t="s">
        <v>82</v>
      </c>
      <c r="E154" s="17" t="s">
        <v>83</v>
      </c>
      <c r="F154" s="18">
        <v>43382</v>
      </c>
      <c r="G154" s="24" t="s">
        <v>542</v>
      </c>
      <c r="H154" s="26" t="s">
        <v>7</v>
      </c>
      <c r="I154" s="49" t="str">
        <f>VLOOKUP(H154,VALIDACIONES!$A$2:$B$138,2,0)</f>
        <v>Transitar por los siguientes sitios restringidos o en horas prohibidas por laautoridad competente. Además, el vehículo será inmovilizado.(verlistado)</v>
      </c>
      <c r="J154" s="16">
        <v>390621</v>
      </c>
      <c r="K154" s="9" t="s">
        <v>86</v>
      </c>
      <c r="L154" s="55"/>
      <c r="M154" s="56"/>
      <c r="N154" s="16">
        <f t="shared" si="2"/>
        <v>10</v>
      </c>
      <c r="O154" s="16">
        <f t="shared" si="1"/>
        <v>2018</v>
      </c>
      <c r="P154" s="34"/>
      <c r="Q154" s="34"/>
      <c r="R154" s="34"/>
      <c r="S154" s="34"/>
      <c r="T154" s="34"/>
      <c r="U154" s="17"/>
      <c r="V154" s="23"/>
      <c r="W154" s="15"/>
      <c r="X154" s="15"/>
      <c r="Y154" s="15"/>
    </row>
    <row r="155" spans="1:25" ht="12.75" x14ac:dyDescent="0.2">
      <c r="A155" s="16">
        <v>71684363</v>
      </c>
      <c r="B155" s="9" t="s">
        <v>707</v>
      </c>
      <c r="C155" s="9" t="s">
        <v>522</v>
      </c>
      <c r="D155" s="9" t="s">
        <v>82</v>
      </c>
      <c r="E155" s="17" t="s">
        <v>83</v>
      </c>
      <c r="F155" s="18">
        <v>43396</v>
      </c>
      <c r="G155" s="24" t="s">
        <v>533</v>
      </c>
      <c r="H155" s="26" t="s">
        <v>4</v>
      </c>
      <c r="I155" s="49" t="str">
        <f>VLOOKUP(H155,VALIDACIONES!$A$2:$B$138,2,0)</f>
        <v>Estacionar un vehículo en los sitios prohibidos por el Código Nacional de Tránsito, reglamentado por la Res.3027.</v>
      </c>
      <c r="J155" s="16">
        <v>390615</v>
      </c>
      <c r="K155" s="9" t="s">
        <v>86</v>
      </c>
      <c r="L155" s="55"/>
      <c r="M155" s="56"/>
      <c r="N155" s="16">
        <f t="shared" si="2"/>
        <v>10</v>
      </c>
      <c r="O155" s="16">
        <f t="shared" si="1"/>
        <v>2018</v>
      </c>
      <c r="P155" s="34"/>
      <c r="Q155" s="34"/>
      <c r="R155" s="34"/>
      <c r="S155" s="34"/>
      <c r="T155" s="34"/>
      <c r="U155" s="17"/>
      <c r="V155" s="23"/>
      <c r="W155" s="15"/>
      <c r="X155" s="15"/>
      <c r="Y155" s="15"/>
    </row>
    <row r="156" spans="1:25" ht="51" x14ac:dyDescent="0.2">
      <c r="A156" s="16">
        <v>71978953</v>
      </c>
      <c r="B156" s="9" t="s">
        <v>708</v>
      </c>
      <c r="C156" s="9" t="s">
        <v>25</v>
      </c>
      <c r="D156" s="9" t="s">
        <v>25</v>
      </c>
      <c r="E156" s="17" t="s">
        <v>83</v>
      </c>
      <c r="F156" s="18">
        <v>43404</v>
      </c>
      <c r="G156" s="24" t="s">
        <v>533</v>
      </c>
      <c r="H156" s="26" t="s">
        <v>335</v>
      </c>
      <c r="I156" s="49" t="str">
        <f>VLOOKUP(H156,VALIDACIONES!$A$2:$B$138,2,0)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156" s="16">
        <v>390615</v>
      </c>
      <c r="K156" s="9" t="s">
        <v>86</v>
      </c>
      <c r="L156" s="55"/>
      <c r="M156" s="56"/>
      <c r="N156" s="16">
        <f t="shared" si="2"/>
        <v>10</v>
      </c>
      <c r="O156" s="16">
        <f t="shared" si="1"/>
        <v>2018</v>
      </c>
      <c r="P156" s="34"/>
      <c r="Q156" s="34"/>
      <c r="R156" s="34"/>
      <c r="S156" s="34"/>
      <c r="T156" s="34"/>
      <c r="U156" s="17"/>
      <c r="V156" s="23"/>
      <c r="W156" s="15"/>
      <c r="X156" s="15"/>
      <c r="Y156" s="15"/>
    </row>
    <row r="157" spans="1:25" ht="25.5" x14ac:dyDescent="0.2">
      <c r="A157" s="16">
        <v>79329287</v>
      </c>
      <c r="B157" s="9" t="s">
        <v>709</v>
      </c>
      <c r="C157" s="9" t="s">
        <v>516</v>
      </c>
      <c r="D157" s="9" t="s">
        <v>82</v>
      </c>
      <c r="E157" s="17" t="s">
        <v>239</v>
      </c>
      <c r="F157" s="18">
        <v>43384</v>
      </c>
      <c r="G157" s="24" t="s">
        <v>710</v>
      </c>
      <c r="H157" s="26" t="s">
        <v>10</v>
      </c>
      <c r="I157" s="49" t="str">
        <f>VLOOKUP(H157,VALIDACIONES!$A$2:$B$138,2,0)</f>
        <v>Conducir un vehículo a velocidad superior a la máxima permitida, la cual deberá estar señalizada en forma sectorizada, no obstante esta no podrá ser superior a (verlistado)</v>
      </c>
      <c r="J157" s="16">
        <v>390621</v>
      </c>
      <c r="K157" s="9" t="s">
        <v>86</v>
      </c>
      <c r="L157" s="55"/>
      <c r="M157" s="56"/>
      <c r="N157" s="16">
        <f t="shared" si="2"/>
        <v>10</v>
      </c>
      <c r="O157" s="16">
        <f t="shared" si="1"/>
        <v>2018</v>
      </c>
      <c r="P157" s="34"/>
      <c r="Q157" s="34"/>
      <c r="R157" s="34"/>
      <c r="S157" s="34"/>
      <c r="T157" s="34"/>
      <c r="U157" s="17"/>
      <c r="V157" s="23"/>
      <c r="W157" s="15"/>
      <c r="X157" s="15"/>
      <c r="Y157" s="15"/>
    </row>
    <row r="158" spans="1:25" ht="12.75" x14ac:dyDescent="0.2">
      <c r="A158" s="16">
        <v>19391627</v>
      </c>
      <c r="B158" s="9" t="s">
        <v>570</v>
      </c>
      <c r="C158" s="9" t="s">
        <v>516</v>
      </c>
      <c r="D158" s="9" t="s">
        <v>82</v>
      </c>
      <c r="E158" s="17" t="s">
        <v>100</v>
      </c>
      <c r="F158" s="18">
        <v>43433</v>
      </c>
      <c r="G158" s="24" t="s">
        <v>569</v>
      </c>
      <c r="H158" s="26" t="s">
        <v>6</v>
      </c>
      <c r="I158" s="49" t="str">
        <f>VLOOKUP(H158,VALIDACIONES!$A$2:$B$138,2,0)</f>
        <v>Noportarcomomínimoelsiguienteequipodeprevenciónyseguridad.(verlistado)</v>
      </c>
      <c r="J158" s="16">
        <v>390615</v>
      </c>
      <c r="K158" s="9" t="s">
        <v>86</v>
      </c>
      <c r="L158" s="55"/>
      <c r="M158" s="56"/>
      <c r="N158" s="16">
        <f t="shared" si="2"/>
        <v>11</v>
      </c>
      <c r="O158" s="16">
        <f t="shared" si="1"/>
        <v>2018</v>
      </c>
      <c r="P158" s="34"/>
      <c r="Q158" s="34"/>
      <c r="R158" s="34"/>
      <c r="S158" s="34"/>
      <c r="T158" s="34"/>
      <c r="U158" s="17"/>
      <c r="V158" s="23"/>
      <c r="W158" s="15"/>
      <c r="X158" s="15"/>
      <c r="Y158" s="15"/>
    </row>
    <row r="159" spans="1:25" ht="25.5" x14ac:dyDescent="0.2">
      <c r="A159" s="16">
        <v>19391627</v>
      </c>
      <c r="B159" s="9" t="s">
        <v>570</v>
      </c>
      <c r="C159" s="9" t="s">
        <v>516</v>
      </c>
      <c r="D159" s="9" t="s">
        <v>82</v>
      </c>
      <c r="E159" s="17" t="s">
        <v>100</v>
      </c>
      <c r="F159" s="18">
        <v>43433</v>
      </c>
      <c r="G159" s="24" t="s">
        <v>569</v>
      </c>
      <c r="H159" s="26" t="s">
        <v>385</v>
      </c>
      <c r="I159" s="49" t="str">
        <f>VLOOKUP(H159,VALIDACIONES!$A$2:$B$138,2,0)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59" s="16">
        <v>390615</v>
      </c>
      <c r="K159" s="9" t="s">
        <v>86</v>
      </c>
      <c r="L159" s="55"/>
      <c r="M159" s="56"/>
      <c r="N159" s="16">
        <f t="shared" si="2"/>
        <v>11</v>
      </c>
      <c r="O159" s="16">
        <f t="shared" si="1"/>
        <v>2018</v>
      </c>
      <c r="P159" s="34"/>
      <c r="Q159" s="34"/>
      <c r="R159" s="34"/>
      <c r="S159" s="34"/>
      <c r="T159" s="34"/>
      <c r="U159" s="17"/>
      <c r="V159" s="23"/>
      <c r="W159" s="15"/>
      <c r="X159" s="15"/>
      <c r="Y159" s="15"/>
    </row>
    <row r="160" spans="1:25" ht="38.25" x14ac:dyDescent="0.2">
      <c r="A160" s="16">
        <v>3512448</v>
      </c>
      <c r="B160" s="9" t="s">
        <v>711</v>
      </c>
      <c r="C160" s="9" t="s">
        <v>522</v>
      </c>
      <c r="D160" s="9" t="s">
        <v>82</v>
      </c>
      <c r="E160" s="17" t="s">
        <v>83</v>
      </c>
      <c r="F160" s="18">
        <v>43419</v>
      </c>
      <c r="G160" s="24" t="s">
        <v>542</v>
      </c>
      <c r="H160" s="26" t="s">
        <v>399</v>
      </c>
      <c r="I160" s="49" t="str">
        <f>VLOOKUP(H160,VALIDACIONES!$A$2:$B$138,2,0)</f>
        <v>Conducirrealizandomaniobrasaltamentepeligrosaseirresponsablesqueponganenpeligroalaspersonasolascosas.Enelcasodemotocicletaseprocederaasuinmovilizaciónhastatantonosepagueelvalordelamultaolaautoridadcompetentedecidasobresuimposicionenlosterminosdelosarticulos135y136delcódigonacionaldetránsito.</v>
      </c>
      <c r="J160" s="16">
        <v>781242</v>
      </c>
      <c r="K160" s="9" t="s">
        <v>86</v>
      </c>
      <c r="L160" s="55"/>
      <c r="M160" s="56"/>
      <c r="N160" s="16">
        <f t="shared" si="2"/>
        <v>11</v>
      </c>
      <c r="O160" s="16">
        <f t="shared" si="1"/>
        <v>2018</v>
      </c>
      <c r="P160" s="34"/>
      <c r="Q160" s="34"/>
      <c r="R160" s="34"/>
      <c r="S160" s="34"/>
      <c r="T160" s="34"/>
      <c r="U160" s="17"/>
      <c r="V160" s="23"/>
      <c r="W160" s="15"/>
      <c r="X160" s="15"/>
      <c r="Y160" s="15"/>
    </row>
    <row r="161" spans="1:25" ht="25.5" x14ac:dyDescent="0.2">
      <c r="A161" s="16">
        <v>71384501</v>
      </c>
      <c r="B161" s="9" t="s">
        <v>638</v>
      </c>
      <c r="C161" s="9" t="s">
        <v>516</v>
      </c>
      <c r="D161" s="9" t="s">
        <v>82</v>
      </c>
      <c r="E161" s="17" t="s">
        <v>262</v>
      </c>
      <c r="F161" s="18">
        <v>43426</v>
      </c>
      <c r="G161" s="24" t="s">
        <v>527</v>
      </c>
      <c r="H161" s="26" t="s">
        <v>385</v>
      </c>
      <c r="I161" s="49" t="str">
        <f>VLOOKUP(H161,VALIDACIONES!$A$2:$B$138,2,0)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61" s="16">
        <v>390621</v>
      </c>
      <c r="K161" s="9" t="s">
        <v>86</v>
      </c>
      <c r="L161" s="55"/>
      <c r="M161" s="56"/>
      <c r="N161" s="16">
        <f t="shared" si="2"/>
        <v>11</v>
      </c>
      <c r="O161" s="16">
        <f t="shared" si="1"/>
        <v>2018</v>
      </c>
      <c r="P161" s="34"/>
      <c r="Q161" s="34"/>
      <c r="R161" s="34"/>
      <c r="S161" s="34"/>
      <c r="T161" s="34"/>
      <c r="U161" s="17"/>
      <c r="V161" s="23"/>
      <c r="W161" s="15"/>
      <c r="X161" s="15"/>
      <c r="Y161" s="15"/>
    </row>
    <row r="162" spans="1:25" ht="38.25" x14ac:dyDescent="0.2">
      <c r="A162" s="16">
        <v>71642705</v>
      </c>
      <c r="B162" s="9" t="s">
        <v>712</v>
      </c>
      <c r="C162" s="17" t="s">
        <v>596</v>
      </c>
      <c r="D162" s="9" t="s">
        <v>82</v>
      </c>
      <c r="E162" s="17" t="s">
        <v>83</v>
      </c>
      <c r="F162" s="18">
        <v>43426</v>
      </c>
      <c r="G162" s="24" t="s">
        <v>592</v>
      </c>
      <c r="H162" s="26" t="s">
        <v>397</v>
      </c>
      <c r="I162" s="49" t="str">
        <f>VLOOKUP(H162,VALIDACIONES!$A$2:$B$138,2,0)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162" s="16">
        <v>781242</v>
      </c>
      <c r="K162" s="9" t="s">
        <v>86</v>
      </c>
      <c r="L162" s="55"/>
      <c r="M162" s="56"/>
      <c r="N162" s="16">
        <f t="shared" si="2"/>
        <v>11</v>
      </c>
      <c r="O162" s="16">
        <f t="shared" si="1"/>
        <v>2018</v>
      </c>
      <c r="P162" s="34"/>
      <c r="Q162" s="34"/>
      <c r="R162" s="34"/>
      <c r="S162" s="34"/>
      <c r="T162" s="34"/>
      <c r="U162" s="17"/>
      <c r="V162" s="23"/>
      <c r="W162" s="15"/>
      <c r="X162" s="15"/>
      <c r="Y162" s="15"/>
    </row>
    <row r="163" spans="1:25" ht="12.75" x14ac:dyDescent="0.2">
      <c r="A163" s="16">
        <v>3452470</v>
      </c>
      <c r="B163" s="9" t="s">
        <v>713</v>
      </c>
      <c r="C163" s="9" t="s">
        <v>516</v>
      </c>
      <c r="D163" s="9" t="s">
        <v>82</v>
      </c>
      <c r="E163" s="17" t="s">
        <v>262</v>
      </c>
      <c r="F163" s="18">
        <v>43410</v>
      </c>
      <c r="G163" s="24" t="s">
        <v>527</v>
      </c>
      <c r="H163" s="26" t="s">
        <v>4</v>
      </c>
      <c r="I163" s="49" t="str">
        <f>VLOOKUP(H163,VALIDACIONES!$A$2:$B$138,2,0)</f>
        <v>Estacionar un vehículo en los sitios prohibidos por el Código Nacional de Tránsito, reglamentado por la Res.3027.</v>
      </c>
      <c r="J163" s="16">
        <v>244138</v>
      </c>
      <c r="K163" s="9" t="s">
        <v>86</v>
      </c>
      <c r="L163" s="55"/>
      <c r="M163" s="56"/>
      <c r="N163" s="16">
        <f t="shared" si="2"/>
        <v>11</v>
      </c>
      <c r="O163" s="16">
        <f t="shared" si="1"/>
        <v>2018</v>
      </c>
      <c r="P163" s="34"/>
      <c r="Q163" s="34"/>
      <c r="R163" s="34"/>
      <c r="S163" s="34"/>
      <c r="T163" s="34"/>
      <c r="U163" s="17"/>
      <c r="V163" s="23"/>
      <c r="W163" s="15"/>
      <c r="X163" s="15"/>
      <c r="Y163" s="15"/>
    </row>
    <row r="164" spans="1:25" ht="12.75" x14ac:dyDescent="0.2">
      <c r="A164" s="16">
        <v>15484254</v>
      </c>
      <c r="B164" s="9" t="s">
        <v>714</v>
      </c>
      <c r="C164" s="9" t="s">
        <v>522</v>
      </c>
      <c r="D164" s="9" t="s">
        <v>82</v>
      </c>
      <c r="E164" s="17" t="s">
        <v>83</v>
      </c>
      <c r="F164" s="18">
        <v>43414</v>
      </c>
      <c r="G164" s="24" t="s">
        <v>517</v>
      </c>
      <c r="H164" s="26" t="s">
        <v>8</v>
      </c>
      <c r="I164" s="49" t="str">
        <f>VLOOKUP(H164,VALIDACIONES!$A$2:$B$138,2,0)</f>
        <v>Conducir motocicleta sin observar las siguientes normas.(verlistadodesituaciones)</v>
      </c>
      <c r="J164" s="16">
        <v>244134</v>
      </c>
      <c r="K164" s="9" t="s">
        <v>86</v>
      </c>
      <c r="L164" s="55"/>
      <c r="M164" s="56"/>
      <c r="N164" s="16">
        <f t="shared" si="2"/>
        <v>11</v>
      </c>
      <c r="O164" s="16">
        <f t="shared" si="1"/>
        <v>2018</v>
      </c>
      <c r="P164" s="34"/>
      <c r="Q164" s="34"/>
      <c r="R164" s="34"/>
      <c r="S164" s="34"/>
      <c r="T164" s="34"/>
      <c r="U164" s="17"/>
      <c r="V164" s="23"/>
      <c r="W164" s="15"/>
      <c r="X164" s="15"/>
      <c r="Y164" s="15"/>
    </row>
    <row r="165" spans="1:25" ht="12.75" x14ac:dyDescent="0.2">
      <c r="A165" s="16">
        <v>16077743</v>
      </c>
      <c r="B165" s="9" t="s">
        <v>655</v>
      </c>
      <c r="C165" s="9" t="s">
        <v>516</v>
      </c>
      <c r="D165" s="9" t="s">
        <v>82</v>
      </c>
      <c r="E165" s="17" t="s">
        <v>100</v>
      </c>
      <c r="F165" s="18">
        <v>43431</v>
      </c>
      <c r="G165" s="24" t="s">
        <v>569</v>
      </c>
      <c r="H165" s="26" t="s">
        <v>180</v>
      </c>
      <c r="I165" s="49" t="str">
        <f>VLOOKUP(H165,VALIDACIONES!$A$2:$B$138,2,0)</f>
        <v>Bloquearunacalzadaointersecciónconunvehículo,salvocuandoelbloqueoobedezcaalaocurrenciadeunaccidente.</v>
      </c>
      <c r="J165" s="16">
        <v>390615</v>
      </c>
      <c r="K165" s="9" t="s">
        <v>86</v>
      </c>
      <c r="L165" s="55"/>
      <c r="M165" s="56"/>
      <c r="N165" s="16">
        <f t="shared" si="2"/>
        <v>11</v>
      </c>
      <c r="O165" s="16">
        <f t="shared" si="1"/>
        <v>2018</v>
      </c>
      <c r="P165" s="34"/>
      <c r="Q165" s="34"/>
      <c r="R165" s="34"/>
      <c r="S165" s="34"/>
      <c r="T165" s="34"/>
      <c r="U165" s="17"/>
      <c r="V165" s="23"/>
      <c r="W165" s="15"/>
      <c r="X165" s="15"/>
      <c r="Y165" s="15"/>
    </row>
    <row r="166" spans="1:25" ht="12.75" x14ac:dyDescent="0.2">
      <c r="A166" s="16">
        <v>75086269</v>
      </c>
      <c r="B166" s="9" t="s">
        <v>715</v>
      </c>
      <c r="C166" s="9" t="s">
        <v>516</v>
      </c>
      <c r="D166" s="9" t="s">
        <v>82</v>
      </c>
      <c r="E166" s="17" t="s">
        <v>100</v>
      </c>
      <c r="F166" s="18">
        <v>43432</v>
      </c>
      <c r="G166" s="24" t="s">
        <v>569</v>
      </c>
      <c r="H166" s="26" t="s">
        <v>4</v>
      </c>
      <c r="I166" s="49" t="str">
        <f>VLOOKUP(H166,VALIDACIONES!$A$2:$B$138,2,0)</f>
        <v>Estacionar un vehículo en los sitios prohibidos por el Código Nacional de Tránsito, reglamentado por la Res.3027.</v>
      </c>
      <c r="J166" s="16">
        <v>390615</v>
      </c>
      <c r="K166" s="9" t="s">
        <v>86</v>
      </c>
      <c r="L166" s="55"/>
      <c r="M166" s="56"/>
      <c r="N166" s="16">
        <f t="shared" si="2"/>
        <v>11</v>
      </c>
      <c r="O166" s="16">
        <f t="shared" si="1"/>
        <v>2018</v>
      </c>
      <c r="P166" s="34"/>
      <c r="Q166" s="34"/>
      <c r="R166" s="34"/>
      <c r="S166" s="34"/>
      <c r="T166" s="34"/>
      <c r="U166" s="17"/>
      <c r="V166" s="23"/>
      <c r="W166" s="15"/>
      <c r="X166" s="15"/>
      <c r="Y166" s="15"/>
    </row>
    <row r="167" spans="1:25" ht="38.25" x14ac:dyDescent="0.2">
      <c r="A167" s="16">
        <v>8399595</v>
      </c>
      <c r="B167" s="9" t="s">
        <v>716</v>
      </c>
      <c r="C167" s="17" t="s">
        <v>717</v>
      </c>
      <c r="D167" s="9" t="s">
        <v>82</v>
      </c>
      <c r="E167" s="17" t="s">
        <v>83</v>
      </c>
      <c r="F167" s="18">
        <v>43441</v>
      </c>
      <c r="G167" s="24" t="s">
        <v>617</v>
      </c>
      <c r="H167" s="26" t="s">
        <v>397</v>
      </c>
      <c r="I167" s="49" t="str">
        <f>VLOOKUP(H167,VALIDACIONES!$A$2:$B$138,2,0)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167" s="16">
        <v>781242</v>
      </c>
      <c r="K167" s="9" t="s">
        <v>86</v>
      </c>
      <c r="L167" s="55"/>
      <c r="M167" s="56"/>
      <c r="N167" s="16">
        <f t="shared" si="2"/>
        <v>12</v>
      </c>
      <c r="O167" s="16">
        <f t="shared" si="1"/>
        <v>2018</v>
      </c>
      <c r="P167" s="34"/>
      <c r="Q167" s="34"/>
      <c r="R167" s="34"/>
      <c r="S167" s="34"/>
      <c r="T167" s="34"/>
      <c r="U167" s="17"/>
      <c r="V167" s="23"/>
      <c r="W167" s="15"/>
      <c r="X167" s="15"/>
      <c r="Y167" s="15"/>
    </row>
    <row r="168" spans="1:25" ht="12.75" x14ac:dyDescent="0.2">
      <c r="A168" s="16">
        <v>1124501929</v>
      </c>
      <c r="B168" s="9" t="s">
        <v>718</v>
      </c>
      <c r="C168" s="9" t="s">
        <v>516</v>
      </c>
      <c r="D168" s="9" t="s">
        <v>82</v>
      </c>
      <c r="E168" s="17" t="s">
        <v>83</v>
      </c>
      <c r="F168" s="18">
        <v>43461</v>
      </c>
      <c r="G168" s="24" t="s">
        <v>530</v>
      </c>
      <c r="H168" s="26" t="s">
        <v>32</v>
      </c>
      <c r="I168" s="49" t="str">
        <f>VLOOKUP(H168,VALIDACIONES!$A$2:$B$138,2,0)</f>
        <v>No acatar las señales o requerimientos impartidos por los agentes de Tránsito.</v>
      </c>
      <c r="J168" s="16">
        <v>390615</v>
      </c>
      <c r="K168" s="9" t="s">
        <v>86</v>
      </c>
      <c r="L168" s="55"/>
      <c r="M168" s="56"/>
      <c r="N168" s="16">
        <f t="shared" si="2"/>
        <v>12</v>
      </c>
      <c r="O168" s="16">
        <f t="shared" si="1"/>
        <v>2018</v>
      </c>
      <c r="P168" s="34"/>
      <c r="Q168" s="34"/>
      <c r="R168" s="34"/>
      <c r="S168" s="34"/>
      <c r="T168" s="34"/>
      <c r="U168" s="17"/>
      <c r="V168" s="23"/>
      <c r="W168" s="15"/>
      <c r="X168" s="15"/>
      <c r="Y168" s="15"/>
    </row>
    <row r="169" spans="1:25" ht="25.5" x14ac:dyDescent="0.2">
      <c r="A169" s="16">
        <v>1152715961</v>
      </c>
      <c r="B169" s="9" t="s">
        <v>719</v>
      </c>
      <c r="C169" s="9" t="s">
        <v>516</v>
      </c>
      <c r="D169" s="9" t="s">
        <v>82</v>
      </c>
      <c r="E169" s="17" t="s">
        <v>83</v>
      </c>
      <c r="F169" s="18">
        <v>43453</v>
      </c>
      <c r="G169" s="24" t="s">
        <v>525</v>
      </c>
      <c r="H169" s="26" t="s">
        <v>315</v>
      </c>
      <c r="I169" s="49" t="str">
        <f>VLOOKUP(H169,VALIDACIONES!$A$2:$B$138,2,0)</f>
        <v>Realizarelcargueodescarguedeunvehículoensitiosyhorasprohibidasporlasautoridadescompetentes,deacuerdoconloestablecidoenlasnormascorrespondientes.</v>
      </c>
      <c r="J169" s="16">
        <v>208328</v>
      </c>
      <c r="K169" s="9" t="s">
        <v>86</v>
      </c>
      <c r="L169" s="55"/>
      <c r="M169" s="56"/>
      <c r="N169" s="16">
        <f t="shared" si="2"/>
        <v>12</v>
      </c>
      <c r="O169" s="16">
        <f t="shared" si="1"/>
        <v>2018</v>
      </c>
      <c r="P169" s="34"/>
      <c r="Q169" s="34"/>
      <c r="R169" s="34"/>
      <c r="S169" s="34"/>
      <c r="T169" s="34"/>
      <c r="U169" s="17"/>
      <c r="V169" s="23"/>
      <c r="W169" s="15"/>
      <c r="X169" s="15"/>
      <c r="Y169" s="15"/>
    </row>
    <row r="170" spans="1:25" ht="25.5" x14ac:dyDescent="0.2">
      <c r="A170" s="16">
        <v>98572624</v>
      </c>
      <c r="B170" s="9" t="s">
        <v>720</v>
      </c>
      <c r="C170" s="9" t="s">
        <v>522</v>
      </c>
      <c r="D170" s="9" t="s">
        <v>82</v>
      </c>
      <c r="E170" s="17" t="s">
        <v>83</v>
      </c>
      <c r="F170" s="18">
        <v>43457</v>
      </c>
      <c r="G170" s="24" t="s">
        <v>597</v>
      </c>
      <c r="H170" s="26" t="s">
        <v>10</v>
      </c>
      <c r="I170" s="49" t="str">
        <f>VLOOKUP(H170,VALIDACIONES!$A$2:$B$138,2,0)</f>
        <v>Conducir un vehículo a velocidad superior a la máxima permitida, la cual deberá estar señalizada en forma sectorizada, no obstante esta no podrá ser superior a (verlistado)</v>
      </c>
      <c r="J170" s="16">
        <v>390621</v>
      </c>
      <c r="K170" s="9" t="s">
        <v>86</v>
      </c>
      <c r="L170" s="55"/>
      <c r="M170" s="56"/>
      <c r="N170" s="16">
        <f t="shared" si="2"/>
        <v>12</v>
      </c>
      <c r="O170" s="16">
        <f t="shared" si="1"/>
        <v>2018</v>
      </c>
      <c r="P170" s="34"/>
      <c r="Q170" s="34"/>
      <c r="R170" s="34"/>
      <c r="S170" s="34"/>
      <c r="T170" s="34"/>
      <c r="U170" s="17"/>
      <c r="V170" s="23"/>
      <c r="W170" s="15"/>
      <c r="X170" s="15"/>
      <c r="Y170" s="15"/>
    </row>
    <row r="171" spans="1:25" ht="25.5" x14ac:dyDescent="0.2">
      <c r="A171" s="16">
        <v>98572624</v>
      </c>
      <c r="B171" s="9" t="s">
        <v>720</v>
      </c>
      <c r="C171" s="9" t="s">
        <v>522</v>
      </c>
      <c r="D171" s="9" t="s">
        <v>82</v>
      </c>
      <c r="E171" s="17" t="s">
        <v>83</v>
      </c>
      <c r="F171" s="18">
        <v>43457</v>
      </c>
      <c r="G171" s="24" t="s">
        <v>597</v>
      </c>
      <c r="H171" s="26" t="s">
        <v>10</v>
      </c>
      <c r="I171" s="49" t="str">
        <f>VLOOKUP(H171,VALIDACIONES!$A$2:$B$138,2,0)</f>
        <v>Conducir un vehículo a velocidad superior a la máxima permitida, la cual deberá estar señalizada en forma sectorizada, no obstante esta no podrá ser superior a (verlistado)</v>
      </c>
      <c r="J171" s="16">
        <v>390621</v>
      </c>
      <c r="K171" s="9" t="s">
        <v>86</v>
      </c>
      <c r="L171" s="55"/>
      <c r="M171" s="56"/>
      <c r="N171" s="16">
        <f t="shared" si="2"/>
        <v>12</v>
      </c>
      <c r="O171" s="16">
        <f t="shared" si="1"/>
        <v>2018</v>
      </c>
      <c r="P171" s="34"/>
      <c r="Q171" s="34"/>
      <c r="R171" s="34"/>
      <c r="S171" s="34"/>
      <c r="T171" s="34"/>
      <c r="U171" s="17"/>
      <c r="V171" s="23"/>
      <c r="W171" s="15"/>
      <c r="X171" s="15"/>
      <c r="Y171" s="15"/>
    </row>
    <row r="172" spans="1:25" ht="25.5" x14ac:dyDescent="0.2">
      <c r="A172" s="16">
        <v>1035871702</v>
      </c>
      <c r="B172" s="9" t="s">
        <v>721</v>
      </c>
      <c r="C172" s="17" t="s">
        <v>664</v>
      </c>
      <c r="D172" s="9" t="s">
        <v>82</v>
      </c>
      <c r="E172" s="17" t="s">
        <v>83</v>
      </c>
      <c r="F172" s="18">
        <v>43441</v>
      </c>
      <c r="G172" s="24" t="s">
        <v>517</v>
      </c>
      <c r="H172" s="26" t="s">
        <v>7</v>
      </c>
      <c r="I172" s="49" t="str">
        <f>VLOOKUP(H172,VALIDACIONES!$A$2:$B$138,2,0)</f>
        <v>Transitar por los siguientes sitios restringidos o en horas prohibidas por laautoridad competente. Además, el vehículo será inmovilizado.(verlistado)</v>
      </c>
      <c r="J172" s="16">
        <v>390615</v>
      </c>
      <c r="K172" s="9" t="s">
        <v>86</v>
      </c>
      <c r="L172" s="55"/>
      <c r="M172" s="56"/>
      <c r="N172" s="16">
        <f t="shared" si="2"/>
        <v>12</v>
      </c>
      <c r="O172" s="16">
        <f t="shared" si="1"/>
        <v>2018</v>
      </c>
      <c r="P172" s="34"/>
      <c r="Q172" s="34"/>
      <c r="R172" s="34"/>
      <c r="S172" s="34"/>
      <c r="T172" s="34"/>
      <c r="U172" s="17"/>
      <c r="V172" s="23"/>
      <c r="W172" s="15"/>
      <c r="X172" s="15"/>
      <c r="Y172" s="15"/>
    </row>
    <row r="173" spans="1:25" ht="25.5" x14ac:dyDescent="0.2">
      <c r="A173" s="16">
        <v>18509726</v>
      </c>
      <c r="B173" s="9" t="s">
        <v>642</v>
      </c>
      <c r="C173" s="9" t="s">
        <v>516</v>
      </c>
      <c r="D173" s="9" t="s">
        <v>82</v>
      </c>
      <c r="E173" s="17" t="s">
        <v>262</v>
      </c>
      <c r="F173" s="18">
        <v>43462</v>
      </c>
      <c r="G173" s="24" t="s">
        <v>654</v>
      </c>
      <c r="H173" s="26" t="s">
        <v>5</v>
      </c>
      <c r="I173" s="49" t="str">
        <f>VLOOKUP(H173,VALIDACIONES!$A$2:$B$138,2,0)</f>
        <v>Noutilizarelcinturóndeseguridadporpartedelosocupantesdelvehículoyloscinturonesdeseguridadenlosasientostraserosenlosvehículosfabricadosapartirdelaño2004.</v>
      </c>
      <c r="J173" s="16">
        <v>390615</v>
      </c>
      <c r="K173" s="9" t="s">
        <v>86</v>
      </c>
      <c r="L173" s="55"/>
      <c r="M173" s="56"/>
      <c r="N173" s="16">
        <f t="shared" si="2"/>
        <v>12</v>
      </c>
      <c r="O173" s="16">
        <f t="shared" si="1"/>
        <v>2018</v>
      </c>
      <c r="P173" s="34"/>
      <c r="Q173" s="34"/>
      <c r="R173" s="34"/>
      <c r="S173" s="34"/>
      <c r="T173" s="34"/>
      <c r="U173" s="17"/>
      <c r="V173" s="23"/>
      <c r="W173" s="15"/>
      <c r="X173" s="15"/>
      <c r="Y173" s="15"/>
    </row>
    <row r="174" spans="1:25" ht="12.75" x14ac:dyDescent="0.2">
      <c r="A174" s="16">
        <v>1040749737</v>
      </c>
      <c r="B174" s="9" t="s">
        <v>722</v>
      </c>
      <c r="C174" s="9" t="s">
        <v>522</v>
      </c>
      <c r="D174" s="9" t="s">
        <v>82</v>
      </c>
      <c r="E174" s="17" t="s">
        <v>83</v>
      </c>
      <c r="F174" s="18">
        <v>43495</v>
      </c>
      <c r="G174" s="24" t="s">
        <v>533</v>
      </c>
      <c r="H174" s="26" t="s">
        <v>286</v>
      </c>
      <c r="I174" s="49" t="str">
        <f>VLOOKUP(H174,VALIDACIONES!$A$2:$B$138,2,0)</f>
        <v>Conducir un vehículo con placas adulteradas, retocadas o alteradas.</v>
      </c>
      <c r="J174" s="16">
        <v>220832</v>
      </c>
      <c r="K174" s="9" t="s">
        <v>86</v>
      </c>
      <c r="L174" s="57">
        <v>43526</v>
      </c>
      <c r="M174" s="56" t="s">
        <v>117</v>
      </c>
      <c r="N174" s="16">
        <f t="shared" si="2"/>
        <v>1</v>
      </c>
      <c r="O174" s="16">
        <f t="shared" si="1"/>
        <v>2019</v>
      </c>
      <c r="P174" s="34"/>
      <c r="Q174" s="34"/>
      <c r="R174" s="34"/>
      <c r="S174" s="34"/>
      <c r="T174" s="34"/>
      <c r="U174" s="17"/>
      <c r="V174" s="23"/>
      <c r="W174" s="15"/>
      <c r="X174" s="15"/>
      <c r="Y174" s="15"/>
    </row>
    <row r="175" spans="1:25" ht="25.5" x14ac:dyDescent="0.2">
      <c r="A175" s="16">
        <v>98635094</v>
      </c>
      <c r="B175" s="9" t="s">
        <v>723</v>
      </c>
      <c r="C175" s="9" t="s">
        <v>522</v>
      </c>
      <c r="D175" s="9" t="s">
        <v>82</v>
      </c>
      <c r="E175" s="17" t="s">
        <v>83</v>
      </c>
      <c r="F175" s="18">
        <v>43485</v>
      </c>
      <c r="G175" s="24" t="s">
        <v>597</v>
      </c>
      <c r="H175" s="26" t="s">
        <v>10</v>
      </c>
      <c r="I175" s="49" t="str">
        <f>VLOOKUP(H175,VALIDACIONES!$A$2:$B$138,2,0)</f>
        <v>Conducir un vehículo a velocidad superior a la máxima permitida, la cual deberá estar señalizada en forma sectorizada, no obstante esta no podrá ser superior a (verlistado)</v>
      </c>
      <c r="J175" s="16">
        <v>414060</v>
      </c>
      <c r="K175" s="9" t="s">
        <v>86</v>
      </c>
      <c r="L175" s="55"/>
      <c r="M175" s="56"/>
      <c r="N175" s="16">
        <f t="shared" si="2"/>
        <v>1</v>
      </c>
      <c r="O175" s="16">
        <f t="shared" si="1"/>
        <v>2019</v>
      </c>
      <c r="P175" s="34"/>
      <c r="Q175" s="34"/>
      <c r="R175" s="34"/>
      <c r="S175" s="34"/>
      <c r="T175" s="34"/>
      <c r="U175" s="17"/>
      <c r="V175" s="23"/>
      <c r="W175" s="15"/>
      <c r="X175" s="15"/>
      <c r="Y175" s="15"/>
    </row>
    <row r="176" spans="1:25" ht="12.75" x14ac:dyDescent="0.2">
      <c r="A176" s="16">
        <v>98525603</v>
      </c>
      <c r="B176" s="9" t="s">
        <v>724</v>
      </c>
      <c r="C176" s="9" t="s">
        <v>522</v>
      </c>
      <c r="D176" s="9" t="s">
        <v>82</v>
      </c>
      <c r="E176" s="17" t="s">
        <v>83</v>
      </c>
      <c r="F176" s="18">
        <v>43467</v>
      </c>
      <c r="G176" s="24" t="s">
        <v>725</v>
      </c>
      <c r="H176" s="26" t="s">
        <v>489</v>
      </c>
      <c r="I176" s="49" t="str">
        <f>VLOOKUP(H176,VALIDACIONES!$A$2:$B$138,2,0)</f>
        <v>El conductor que sea sorprendido fumando mientras conduce (diez salarios mínimos legales diarios vigentes.</v>
      </c>
      <c r="J176" s="16">
        <v>276039</v>
      </c>
      <c r="K176" s="9" t="s">
        <v>86</v>
      </c>
      <c r="L176" s="57">
        <v>43526</v>
      </c>
      <c r="M176" s="56" t="s">
        <v>117</v>
      </c>
      <c r="N176" s="16">
        <f t="shared" si="2"/>
        <v>1</v>
      </c>
      <c r="O176" s="16">
        <f t="shared" si="1"/>
        <v>2019</v>
      </c>
      <c r="P176" s="34"/>
      <c r="Q176" s="34"/>
      <c r="R176" s="34"/>
      <c r="S176" s="34"/>
      <c r="T176" s="34"/>
      <c r="U176" s="17"/>
      <c r="V176" s="23"/>
      <c r="W176" s="15"/>
      <c r="X176" s="15"/>
      <c r="Y176" s="15"/>
    </row>
    <row r="177" spans="1:25" ht="38.25" x14ac:dyDescent="0.2">
      <c r="A177" s="16">
        <v>16077743</v>
      </c>
      <c r="B177" s="9" t="s">
        <v>655</v>
      </c>
      <c r="C177" s="9" t="s">
        <v>516</v>
      </c>
      <c r="D177" s="9" t="s">
        <v>82</v>
      </c>
      <c r="E177" s="17" t="s">
        <v>100</v>
      </c>
      <c r="F177" s="18">
        <v>43494</v>
      </c>
      <c r="G177" s="24" t="s">
        <v>569</v>
      </c>
      <c r="H177" s="26" t="s">
        <v>11</v>
      </c>
      <c r="I177" s="49" t="str">
        <f>VLOOKUP(H177,VALIDACIONES!$A$2:$B$138,2,0)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77" s="16">
        <v>414060</v>
      </c>
      <c r="K177" s="9" t="s">
        <v>86</v>
      </c>
      <c r="L177" s="57">
        <v>43526</v>
      </c>
      <c r="M177" s="56" t="s">
        <v>240</v>
      </c>
      <c r="N177" s="16">
        <f t="shared" si="2"/>
        <v>1</v>
      </c>
      <c r="O177" s="16">
        <f t="shared" si="1"/>
        <v>2019</v>
      </c>
      <c r="P177" s="34"/>
      <c r="Q177" s="34"/>
      <c r="R177" s="34"/>
      <c r="S177" s="34"/>
      <c r="T177" s="34"/>
      <c r="U177" s="17"/>
      <c r="V177" s="23"/>
      <c r="W177" s="15"/>
      <c r="X177" s="15"/>
      <c r="Y177" s="15"/>
    </row>
    <row r="178" spans="1:25" ht="38.25" x14ac:dyDescent="0.2">
      <c r="A178" s="16">
        <v>1093227516</v>
      </c>
      <c r="B178" s="9" t="s">
        <v>726</v>
      </c>
      <c r="C178" s="17" t="s">
        <v>519</v>
      </c>
      <c r="D178" s="9" t="s">
        <v>82</v>
      </c>
      <c r="E178" s="17" t="s">
        <v>262</v>
      </c>
      <c r="F178" s="18">
        <v>43511</v>
      </c>
      <c r="G178" s="24" t="s">
        <v>611</v>
      </c>
      <c r="H178" s="26" t="s">
        <v>14</v>
      </c>
      <c r="I178" s="49" t="str">
        <f>VLOOKUP(H178,VALIDACIONES!$A$2:$B$138,2,0)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178" s="16">
        <v>828116</v>
      </c>
      <c r="K178" s="9" t="s">
        <v>86</v>
      </c>
      <c r="L178" s="57">
        <v>43550</v>
      </c>
      <c r="M178" s="56" t="s">
        <v>117</v>
      </c>
      <c r="N178" s="16">
        <f t="shared" si="2"/>
        <v>2</v>
      </c>
      <c r="O178" s="16">
        <f t="shared" si="1"/>
        <v>2019</v>
      </c>
      <c r="P178" s="34"/>
      <c r="Q178" s="34"/>
      <c r="R178" s="34"/>
      <c r="S178" s="34"/>
      <c r="T178" s="34"/>
      <c r="U178" s="17"/>
      <c r="V178" s="23"/>
      <c r="W178" s="15"/>
      <c r="X178" s="15"/>
      <c r="Y178" s="15"/>
    </row>
    <row r="179" spans="1:25" ht="12.75" x14ac:dyDescent="0.2">
      <c r="A179" s="16">
        <v>15532121</v>
      </c>
      <c r="B179" s="9" t="s">
        <v>727</v>
      </c>
      <c r="C179" s="9" t="s">
        <v>522</v>
      </c>
      <c r="D179" s="9" t="s">
        <v>82</v>
      </c>
      <c r="E179" s="17" t="s">
        <v>83</v>
      </c>
      <c r="F179" s="18">
        <v>43522</v>
      </c>
      <c r="G179" s="24" t="s">
        <v>533</v>
      </c>
      <c r="H179" s="26" t="s">
        <v>4</v>
      </c>
      <c r="I179" s="49" t="str">
        <f>VLOOKUP(H179,VALIDACIONES!$A$2:$B$138,2,0)</f>
        <v>Estacionar un vehículo en los sitios prohibidos por el Código Nacional de Tránsito, reglamentado por la Res.3027.</v>
      </c>
      <c r="J179" s="16">
        <v>414060</v>
      </c>
      <c r="K179" s="9" t="s">
        <v>86</v>
      </c>
      <c r="L179" s="57">
        <v>43550</v>
      </c>
      <c r="M179" s="55" t="s">
        <v>117</v>
      </c>
      <c r="N179" s="16">
        <f t="shared" si="2"/>
        <v>2</v>
      </c>
      <c r="O179" s="16">
        <f t="shared" si="1"/>
        <v>2019</v>
      </c>
      <c r="P179" s="34"/>
      <c r="Q179" s="34"/>
      <c r="R179" s="34"/>
      <c r="S179" s="34"/>
      <c r="T179" s="34"/>
      <c r="U179" s="17"/>
      <c r="V179" s="23"/>
      <c r="W179" s="15"/>
      <c r="X179" s="15"/>
      <c r="Y179" s="15"/>
    </row>
    <row r="180" spans="1:25" ht="25.5" x14ac:dyDescent="0.2">
      <c r="A180" s="16">
        <v>15388288</v>
      </c>
      <c r="B180" s="9" t="s">
        <v>728</v>
      </c>
      <c r="C180" s="17" t="s">
        <v>698</v>
      </c>
      <c r="D180" s="9" t="s">
        <v>82</v>
      </c>
      <c r="E180" s="17" t="s">
        <v>83</v>
      </c>
      <c r="F180" s="18">
        <v>43513</v>
      </c>
      <c r="G180" s="24" t="s">
        <v>533</v>
      </c>
      <c r="H180" s="26" t="s">
        <v>10</v>
      </c>
      <c r="I180" s="49" t="str">
        <f>VLOOKUP(H180,VALIDACIONES!$A$2:$B$138,2,0)</f>
        <v>Conducir un vehículo a velocidad superior a la máxima permitida, la cual deberá estar señalizada en forma sectorizada, no obstante esta no podrá ser superior a (verlistado)</v>
      </c>
      <c r="J180" s="16">
        <v>414060</v>
      </c>
      <c r="K180" s="9" t="s">
        <v>86</v>
      </c>
      <c r="L180" s="55"/>
      <c r="M180" s="55"/>
      <c r="N180" s="16">
        <f t="shared" si="2"/>
        <v>2</v>
      </c>
      <c r="O180" s="16">
        <f t="shared" si="1"/>
        <v>2019</v>
      </c>
      <c r="P180" s="34"/>
      <c r="Q180" s="34"/>
      <c r="R180" s="34"/>
      <c r="S180" s="34"/>
      <c r="T180" s="34"/>
      <c r="U180" s="17"/>
      <c r="V180" s="23"/>
      <c r="W180" s="15"/>
      <c r="X180" s="15"/>
      <c r="Y180" s="15"/>
    </row>
    <row r="181" spans="1:25" ht="12.75" x14ac:dyDescent="0.2">
      <c r="A181" s="16">
        <v>1037391442</v>
      </c>
      <c r="B181" s="9" t="s">
        <v>729</v>
      </c>
      <c r="C181" s="9" t="s">
        <v>522</v>
      </c>
      <c r="D181" s="9" t="s">
        <v>82</v>
      </c>
      <c r="E181" s="17" t="s">
        <v>83</v>
      </c>
      <c r="F181" s="18">
        <v>43522</v>
      </c>
      <c r="G181" s="24" t="s">
        <v>730</v>
      </c>
      <c r="H181" s="26" t="s">
        <v>15</v>
      </c>
      <c r="I181" s="49" t="str">
        <f>VLOOKUP(H181,VALIDACIONES!$A$2:$B$138,2,0)</f>
        <v>Las demas conductas que constituyan infraccion a las normas de transito y que no se encuentren descritas en este acto administrativo.</v>
      </c>
      <c r="J181" s="16">
        <v>130942</v>
      </c>
      <c r="K181" s="9" t="s">
        <v>86</v>
      </c>
      <c r="L181" s="57">
        <v>43706</v>
      </c>
      <c r="M181" s="55" t="s">
        <v>240</v>
      </c>
      <c r="N181" s="16">
        <f t="shared" si="2"/>
        <v>2</v>
      </c>
      <c r="O181" s="16">
        <f t="shared" si="1"/>
        <v>2019</v>
      </c>
      <c r="P181" s="34"/>
      <c r="Q181" s="34"/>
      <c r="R181" s="34"/>
      <c r="S181" s="34"/>
      <c r="T181" s="34"/>
      <c r="U181" s="17"/>
      <c r="V181" s="23"/>
      <c r="W181" s="15"/>
      <c r="X181" s="15"/>
      <c r="Y181" s="15"/>
    </row>
    <row r="182" spans="1:25" ht="25.5" x14ac:dyDescent="0.2">
      <c r="A182" s="16">
        <v>71930991</v>
      </c>
      <c r="B182" s="9" t="s">
        <v>731</v>
      </c>
      <c r="C182" s="9" t="s">
        <v>516</v>
      </c>
      <c r="D182" s="9" t="s">
        <v>82</v>
      </c>
      <c r="E182" s="17" t="s">
        <v>83</v>
      </c>
      <c r="F182" s="18">
        <v>43507</v>
      </c>
      <c r="G182" s="24" t="s">
        <v>530</v>
      </c>
      <c r="H182" s="26" t="s">
        <v>385</v>
      </c>
      <c r="I182" s="49" t="str">
        <f>VLOOKUP(H182,VALIDACIONES!$A$2:$B$138,2,0)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82" s="16">
        <v>414060</v>
      </c>
      <c r="K182" s="9" t="s">
        <v>86</v>
      </c>
      <c r="L182" s="57">
        <v>43550</v>
      </c>
      <c r="M182" s="55" t="s">
        <v>132</v>
      </c>
      <c r="N182" s="16">
        <f t="shared" si="2"/>
        <v>2</v>
      </c>
      <c r="O182" s="16">
        <f t="shared" si="1"/>
        <v>2019</v>
      </c>
      <c r="P182" s="34"/>
      <c r="Q182" s="34"/>
      <c r="R182" s="34"/>
      <c r="S182" s="34"/>
      <c r="T182" s="34"/>
      <c r="U182" s="17"/>
      <c r="V182" s="23"/>
      <c r="W182" s="15"/>
      <c r="X182" s="15"/>
      <c r="Y182" s="15"/>
    </row>
    <row r="183" spans="1:25" ht="12.75" x14ac:dyDescent="0.2">
      <c r="A183" s="16">
        <v>71654936</v>
      </c>
      <c r="B183" s="9" t="s">
        <v>732</v>
      </c>
      <c r="C183" s="17" t="s">
        <v>664</v>
      </c>
      <c r="D183" s="9" t="s">
        <v>82</v>
      </c>
      <c r="E183" s="17" t="s">
        <v>83</v>
      </c>
      <c r="F183" s="18">
        <v>43503</v>
      </c>
      <c r="G183" s="24" t="s">
        <v>517</v>
      </c>
      <c r="H183" s="26" t="s">
        <v>4</v>
      </c>
      <c r="I183" s="49" t="str">
        <f>VLOOKUP(H183,VALIDACIONES!$A$2:$B$138,2,0)</f>
        <v>Estacionar un vehículo en los sitios prohibidos por el Código Nacional de Tránsito, reglamentado por la Res.3027.</v>
      </c>
      <c r="J183" s="16">
        <v>414060</v>
      </c>
      <c r="K183" s="9" t="s">
        <v>86</v>
      </c>
      <c r="L183" s="57">
        <v>43550</v>
      </c>
      <c r="M183" s="55" t="s">
        <v>117</v>
      </c>
      <c r="N183" s="16">
        <f t="shared" si="2"/>
        <v>2</v>
      </c>
      <c r="O183" s="16">
        <f t="shared" si="1"/>
        <v>2019</v>
      </c>
      <c r="P183" s="34"/>
      <c r="Q183" s="34"/>
      <c r="R183" s="34"/>
      <c r="S183" s="34"/>
      <c r="T183" s="34"/>
      <c r="U183" s="17"/>
      <c r="V183" s="23"/>
      <c r="W183" s="15"/>
      <c r="X183" s="15"/>
      <c r="Y183" s="15"/>
    </row>
    <row r="184" spans="1:25" ht="25.5" x14ac:dyDescent="0.2">
      <c r="A184" s="16">
        <v>1053832653</v>
      </c>
      <c r="B184" s="9" t="s">
        <v>733</v>
      </c>
      <c r="C184" s="17" t="s">
        <v>519</v>
      </c>
      <c r="D184" s="9" t="s">
        <v>82</v>
      </c>
      <c r="E184" s="17" t="s">
        <v>262</v>
      </c>
      <c r="F184" s="18">
        <v>43530</v>
      </c>
      <c r="G184" s="24" t="s">
        <v>527</v>
      </c>
      <c r="H184" s="26" t="s">
        <v>409</v>
      </c>
      <c r="I184" s="49" t="str">
        <f>VLOOKUP(H184,VALIDACIONES!$A$2:$B$138,2,0)</f>
        <v>Conducirunvehículoque,sinladebidaautorización,sedestineaunserviciodiferentedeaquelparaelcualtienelicenciadetránsito.Además,elvehículoseráinmovilizadoporprimeravez,poreltérminodecincodías,porsegundavezveintedíasyporterceravezcuarentadias.</v>
      </c>
      <c r="J184" s="16">
        <v>828116</v>
      </c>
      <c r="K184" s="9" t="s">
        <v>86</v>
      </c>
      <c r="L184" s="57">
        <v>43585</v>
      </c>
      <c r="M184" s="55" t="s">
        <v>117</v>
      </c>
      <c r="N184" s="16">
        <f t="shared" si="2"/>
        <v>3</v>
      </c>
      <c r="O184" s="16">
        <f t="shared" si="1"/>
        <v>2019</v>
      </c>
      <c r="P184" s="34"/>
      <c r="Q184" s="34"/>
      <c r="R184" s="34"/>
      <c r="S184" s="34"/>
      <c r="T184" s="34"/>
      <c r="U184" s="17"/>
      <c r="V184" s="23"/>
      <c r="W184" s="15"/>
      <c r="X184" s="15"/>
      <c r="Y184" s="15"/>
    </row>
    <row r="185" spans="1:25" ht="25.5" x14ac:dyDescent="0.2">
      <c r="A185" s="16">
        <v>1036642527</v>
      </c>
      <c r="B185" s="9" t="s">
        <v>734</v>
      </c>
      <c r="C185" s="9" t="s">
        <v>21</v>
      </c>
      <c r="D185" s="9" t="s">
        <v>135</v>
      </c>
      <c r="E185" s="17" t="s">
        <v>83</v>
      </c>
      <c r="F185" s="18">
        <v>43547</v>
      </c>
      <c r="G185" s="24" t="s">
        <v>525</v>
      </c>
      <c r="H185" s="26" t="s">
        <v>7</v>
      </c>
      <c r="I185" s="49" t="str">
        <f>VLOOKUP(H185,VALIDACIONES!$A$2:$B$138,2,0)</f>
        <v>Transitar por los siguientes sitios restringidos o en horas prohibidas por laautoridad competente. Además, el vehículo será inmovilizado.(verlistado)</v>
      </c>
      <c r="J185" s="16">
        <v>414060</v>
      </c>
      <c r="K185" s="9" t="s">
        <v>86</v>
      </c>
      <c r="L185" s="55"/>
      <c r="M185" s="55"/>
      <c r="N185" s="16">
        <f t="shared" si="2"/>
        <v>3</v>
      </c>
      <c r="O185" s="16">
        <f t="shared" si="1"/>
        <v>2019</v>
      </c>
      <c r="P185" s="34"/>
      <c r="Q185" s="34"/>
      <c r="R185" s="34"/>
      <c r="S185" s="34"/>
      <c r="T185" s="34"/>
      <c r="U185" s="17"/>
      <c r="V185" s="23"/>
      <c r="W185" s="15"/>
      <c r="X185" s="15"/>
      <c r="Y185" s="15"/>
    </row>
    <row r="186" spans="1:25" ht="25.5" x14ac:dyDescent="0.2">
      <c r="A186" s="16">
        <v>1234988383</v>
      </c>
      <c r="B186" s="9" t="s">
        <v>735</v>
      </c>
      <c r="C186" s="9" t="s">
        <v>516</v>
      </c>
      <c r="D186" s="9" t="s">
        <v>82</v>
      </c>
      <c r="E186" s="17" t="s">
        <v>83</v>
      </c>
      <c r="F186" s="18">
        <v>43543</v>
      </c>
      <c r="G186" s="24" t="s">
        <v>525</v>
      </c>
      <c r="H186" s="26" t="s">
        <v>5</v>
      </c>
      <c r="I186" s="49" t="str">
        <f>VLOOKUP(H186,VALIDACIONES!$A$2:$B$138,2,0)</f>
        <v>Noutilizarelcinturóndeseguridadporpartedelosocupantesdelvehículoyloscinturonesdeseguridadenlosasientostraserosenlosvehículosfabricadosapartirdelaño2004.</v>
      </c>
      <c r="J186" s="16">
        <v>258760</v>
      </c>
      <c r="K186" s="9" t="s">
        <v>86</v>
      </c>
      <c r="L186" s="57">
        <v>43585</v>
      </c>
      <c r="M186" s="55" t="s">
        <v>117</v>
      </c>
      <c r="N186" s="16">
        <f t="shared" si="2"/>
        <v>3</v>
      </c>
      <c r="O186" s="16">
        <f t="shared" si="1"/>
        <v>2019</v>
      </c>
      <c r="P186" s="34"/>
      <c r="Q186" s="34"/>
      <c r="R186" s="34"/>
      <c r="S186" s="34"/>
      <c r="T186" s="34"/>
      <c r="U186" s="17"/>
      <c r="V186" s="23"/>
      <c r="W186" s="15"/>
      <c r="X186" s="15"/>
      <c r="Y186" s="15"/>
    </row>
    <row r="187" spans="1:25" ht="25.5" x14ac:dyDescent="0.2">
      <c r="A187" s="16">
        <v>3400128</v>
      </c>
      <c r="B187" s="9" t="s">
        <v>736</v>
      </c>
      <c r="C187" s="9" t="s">
        <v>21</v>
      </c>
      <c r="D187" s="9" t="s">
        <v>135</v>
      </c>
      <c r="E187" s="17" t="s">
        <v>83</v>
      </c>
      <c r="F187" s="18">
        <v>43581</v>
      </c>
      <c r="G187" s="24" t="s">
        <v>533</v>
      </c>
      <c r="H187" s="26" t="s">
        <v>7</v>
      </c>
      <c r="I187" s="49" t="str">
        <f>VLOOKUP(H187,VALIDACIONES!$A$2:$B$138,2,0)</f>
        <v>Transitar por los siguientes sitios restringidos o en horas prohibidas por laautoridad competente. Además, el vehículo será inmovilizado.(verlistado)</v>
      </c>
      <c r="J187" s="16">
        <v>414060</v>
      </c>
      <c r="K187" s="9" t="s">
        <v>86</v>
      </c>
      <c r="L187" s="55"/>
      <c r="M187" s="55"/>
      <c r="N187" s="16">
        <f t="shared" si="2"/>
        <v>4</v>
      </c>
      <c r="O187" s="16">
        <f t="shared" si="1"/>
        <v>2019</v>
      </c>
      <c r="P187" s="34"/>
      <c r="Q187" s="34"/>
      <c r="R187" s="34"/>
      <c r="S187" s="34"/>
      <c r="T187" s="34"/>
      <c r="U187" s="17"/>
      <c r="V187" s="23"/>
      <c r="W187" s="15"/>
      <c r="X187" s="15"/>
      <c r="Y187" s="15"/>
    </row>
    <row r="188" spans="1:25" ht="12.75" x14ac:dyDescent="0.2">
      <c r="A188" s="16">
        <v>71753721</v>
      </c>
      <c r="B188" s="9" t="s">
        <v>737</v>
      </c>
      <c r="C188" s="9" t="s">
        <v>522</v>
      </c>
      <c r="D188" s="9" t="s">
        <v>82</v>
      </c>
      <c r="E188" s="17" t="s">
        <v>83</v>
      </c>
      <c r="F188" s="18">
        <v>43582</v>
      </c>
      <c r="G188" s="24" t="s">
        <v>533</v>
      </c>
      <c r="H188" s="26" t="s">
        <v>4</v>
      </c>
      <c r="I188" s="49" t="str">
        <f>VLOOKUP(H188,VALIDACIONES!$A$2:$B$138,2,0)</f>
        <v>Estacionar un vehículo en los sitios prohibidos por el Código Nacional de Tránsito, reglamentado por la Res.3027.</v>
      </c>
      <c r="J188" s="16">
        <v>414060</v>
      </c>
      <c r="K188" s="9" t="s">
        <v>86</v>
      </c>
      <c r="L188" s="55"/>
      <c r="M188" s="55"/>
      <c r="N188" s="16">
        <f t="shared" si="2"/>
        <v>4</v>
      </c>
      <c r="O188" s="16">
        <f t="shared" si="1"/>
        <v>2019</v>
      </c>
      <c r="P188" s="34"/>
      <c r="Q188" s="34"/>
      <c r="R188" s="34"/>
      <c r="S188" s="34"/>
      <c r="T188" s="34"/>
      <c r="U188" s="17"/>
      <c r="V188" s="23"/>
      <c r="W188" s="15"/>
      <c r="X188" s="15"/>
      <c r="Y188" s="15"/>
    </row>
    <row r="189" spans="1:25" ht="12.75" x14ac:dyDescent="0.2">
      <c r="A189" s="16">
        <v>1040734245</v>
      </c>
      <c r="B189" s="9" t="s">
        <v>697</v>
      </c>
      <c r="C189" s="17" t="s">
        <v>698</v>
      </c>
      <c r="D189" s="9" t="s">
        <v>82</v>
      </c>
      <c r="E189" s="17" t="s">
        <v>83</v>
      </c>
      <c r="F189" s="18">
        <v>43557</v>
      </c>
      <c r="G189" s="24" t="s">
        <v>533</v>
      </c>
      <c r="H189" s="26" t="s">
        <v>4</v>
      </c>
      <c r="I189" s="49" t="str">
        <f>VLOOKUP(H189,VALIDACIONES!$A$2:$B$138,2,0)</f>
        <v>Estacionar un vehículo en los sitios prohibidos por el Código Nacional de Tránsito, reglamentado por la Res.3027.</v>
      </c>
      <c r="J189" s="16">
        <v>414060</v>
      </c>
      <c r="K189" s="9" t="s">
        <v>86</v>
      </c>
      <c r="L189" s="57">
        <v>43602</v>
      </c>
      <c r="M189" s="55" t="s">
        <v>117</v>
      </c>
      <c r="N189" s="16">
        <f t="shared" si="2"/>
        <v>4</v>
      </c>
      <c r="O189" s="16">
        <f t="shared" si="1"/>
        <v>2019</v>
      </c>
      <c r="P189" s="34"/>
      <c r="Q189" s="34"/>
      <c r="R189" s="34"/>
      <c r="S189" s="34"/>
      <c r="T189" s="34"/>
      <c r="U189" s="17"/>
      <c r="V189" s="23"/>
      <c r="W189" s="15"/>
      <c r="X189" s="15"/>
      <c r="Y189" s="15"/>
    </row>
    <row r="190" spans="1:25" ht="38.25" x14ac:dyDescent="0.2">
      <c r="A190" s="16">
        <v>98587788</v>
      </c>
      <c r="B190" s="9" t="s">
        <v>738</v>
      </c>
      <c r="C190" s="17" t="s">
        <v>664</v>
      </c>
      <c r="D190" s="9" t="s">
        <v>82</v>
      </c>
      <c r="E190" s="17" t="s">
        <v>83</v>
      </c>
      <c r="F190" s="18">
        <v>43579</v>
      </c>
      <c r="G190" s="24" t="s">
        <v>517</v>
      </c>
      <c r="H190" s="26" t="s">
        <v>11</v>
      </c>
      <c r="I190" s="49" t="str">
        <f>VLOOKUP(H190,VALIDACIONES!$A$2:$B$138,2,0)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90" s="16">
        <v>414060</v>
      </c>
      <c r="K190" s="9" t="s">
        <v>86</v>
      </c>
      <c r="L190" s="55"/>
      <c r="M190" s="55"/>
      <c r="N190" s="16">
        <f t="shared" si="2"/>
        <v>4</v>
      </c>
      <c r="O190" s="16">
        <f t="shared" si="1"/>
        <v>2019</v>
      </c>
      <c r="P190" s="34"/>
      <c r="Q190" s="34"/>
      <c r="R190" s="34"/>
      <c r="S190" s="34"/>
      <c r="T190" s="34"/>
      <c r="U190" s="17"/>
      <c r="V190" s="23"/>
      <c r="W190" s="15"/>
      <c r="X190" s="15"/>
      <c r="Y190" s="15"/>
    </row>
    <row r="191" spans="1:25" ht="25.5" x14ac:dyDescent="0.2">
      <c r="A191" s="16">
        <v>71726770</v>
      </c>
      <c r="B191" s="9" t="s">
        <v>739</v>
      </c>
      <c r="C191" s="9" t="s">
        <v>522</v>
      </c>
      <c r="D191" s="9" t="s">
        <v>82</v>
      </c>
      <c r="E191" s="17" t="s">
        <v>83</v>
      </c>
      <c r="F191" s="18">
        <v>43609</v>
      </c>
      <c r="G191" s="24" t="s">
        <v>533</v>
      </c>
      <c r="H191" s="26" t="s">
        <v>385</v>
      </c>
      <c r="I191" s="49" t="str">
        <f>VLOOKUP(H191,VALIDACIONES!$A$2:$B$138,2,0)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91" s="16">
        <v>414060</v>
      </c>
      <c r="K191" s="9" t="s">
        <v>86</v>
      </c>
      <c r="L191" s="55"/>
      <c r="M191" s="55"/>
      <c r="N191" s="16">
        <f t="shared" si="2"/>
        <v>5</v>
      </c>
      <c r="O191" s="16">
        <f t="shared" si="1"/>
        <v>2019</v>
      </c>
      <c r="P191" s="34"/>
      <c r="Q191" s="34"/>
      <c r="R191" s="34"/>
      <c r="S191" s="34"/>
      <c r="T191" s="34"/>
      <c r="U191" s="17"/>
      <c r="V191" s="23"/>
      <c r="W191" s="15"/>
      <c r="X191" s="15"/>
      <c r="Y191" s="15"/>
    </row>
    <row r="192" spans="1:25" ht="38.25" x14ac:dyDescent="0.2">
      <c r="A192" s="16">
        <v>94449210</v>
      </c>
      <c r="B192" s="9" t="s">
        <v>740</v>
      </c>
      <c r="C192" s="9" t="s">
        <v>516</v>
      </c>
      <c r="D192" s="9" t="s">
        <v>82</v>
      </c>
      <c r="E192" s="17" t="s">
        <v>251</v>
      </c>
      <c r="F192" s="18">
        <v>43612</v>
      </c>
      <c r="G192" s="24" t="s">
        <v>535</v>
      </c>
      <c r="H192" s="26" t="s">
        <v>11</v>
      </c>
      <c r="I192" s="49" t="str">
        <f>VLOOKUP(H192,VALIDACIONES!$A$2:$B$138,2,0)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192" s="16">
        <v>414060</v>
      </c>
      <c r="K192" s="9" t="s">
        <v>86</v>
      </c>
      <c r="L192" s="57">
        <v>43658</v>
      </c>
      <c r="M192" s="55" t="s">
        <v>117</v>
      </c>
      <c r="N192" s="16">
        <f t="shared" si="2"/>
        <v>5</v>
      </c>
      <c r="O192" s="16">
        <f t="shared" si="1"/>
        <v>2019</v>
      </c>
      <c r="P192" s="34"/>
      <c r="Q192" s="34"/>
      <c r="R192" s="34"/>
      <c r="S192" s="34"/>
      <c r="T192" s="34"/>
      <c r="U192" s="17"/>
      <c r="V192" s="23"/>
      <c r="W192" s="15"/>
      <c r="X192" s="15"/>
      <c r="Y192" s="15"/>
    </row>
    <row r="193" spans="1:25" ht="25.5" x14ac:dyDescent="0.2">
      <c r="A193" s="16">
        <v>15256155</v>
      </c>
      <c r="B193" s="9" t="s">
        <v>741</v>
      </c>
      <c r="C193" s="9" t="s">
        <v>25</v>
      </c>
      <c r="D193" s="9" t="s">
        <v>25</v>
      </c>
      <c r="E193" s="17" t="s">
        <v>83</v>
      </c>
      <c r="F193" s="18">
        <v>43609</v>
      </c>
      <c r="G193" s="24" t="s">
        <v>525</v>
      </c>
      <c r="H193" s="26" t="s">
        <v>385</v>
      </c>
      <c r="I193" s="49" t="str">
        <f>VLOOKUP(H193,VALIDACIONES!$A$2:$B$138,2,0)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93" s="16">
        <v>414060</v>
      </c>
      <c r="K193" s="9" t="s">
        <v>86</v>
      </c>
      <c r="L193" s="55"/>
      <c r="M193" s="55"/>
      <c r="N193" s="16">
        <f t="shared" si="2"/>
        <v>5</v>
      </c>
      <c r="O193" s="16">
        <f t="shared" si="1"/>
        <v>2019</v>
      </c>
      <c r="P193" s="34"/>
      <c r="Q193" s="34"/>
      <c r="R193" s="34"/>
      <c r="S193" s="34"/>
      <c r="T193" s="34"/>
      <c r="U193" s="17"/>
      <c r="V193" s="23"/>
      <c r="W193" s="15"/>
      <c r="X193" s="15"/>
      <c r="Y193" s="15"/>
    </row>
    <row r="194" spans="1:25" ht="25.5" x14ac:dyDescent="0.2">
      <c r="A194" s="16">
        <v>1053585542</v>
      </c>
      <c r="B194" s="9" t="s">
        <v>742</v>
      </c>
      <c r="C194" s="9" t="s">
        <v>522</v>
      </c>
      <c r="D194" s="9" t="s">
        <v>82</v>
      </c>
      <c r="E194" s="17" t="s">
        <v>83</v>
      </c>
      <c r="F194" s="18">
        <v>43608</v>
      </c>
      <c r="G194" s="24" t="s">
        <v>533</v>
      </c>
      <c r="H194" s="26" t="s">
        <v>385</v>
      </c>
      <c r="I194" s="49" t="str">
        <f>VLOOKUP(H194,VALIDACIONES!$A$2:$B$138,2,0)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194" s="16">
        <v>414060</v>
      </c>
      <c r="K194" s="9" t="s">
        <v>86</v>
      </c>
      <c r="L194" s="57">
        <v>43658</v>
      </c>
      <c r="M194" s="55" t="s">
        <v>240</v>
      </c>
      <c r="N194" s="16">
        <f t="shared" si="2"/>
        <v>5</v>
      </c>
      <c r="O194" s="16">
        <f t="shared" si="1"/>
        <v>2019</v>
      </c>
      <c r="P194" s="34"/>
      <c r="Q194" s="34"/>
      <c r="R194" s="34"/>
      <c r="S194" s="34"/>
      <c r="T194" s="34"/>
      <c r="U194" s="17"/>
      <c r="V194" s="23"/>
      <c r="W194" s="15"/>
      <c r="X194" s="15"/>
      <c r="Y194" s="15"/>
    </row>
    <row r="195" spans="1:25" ht="25.5" x14ac:dyDescent="0.2">
      <c r="A195" s="16">
        <v>71711423</v>
      </c>
      <c r="B195" s="9" t="s">
        <v>743</v>
      </c>
      <c r="C195" s="9" t="s">
        <v>25</v>
      </c>
      <c r="D195" s="9" t="s">
        <v>25</v>
      </c>
      <c r="E195" s="17" t="s">
        <v>83</v>
      </c>
      <c r="F195" s="18">
        <v>43609</v>
      </c>
      <c r="G195" s="24" t="s">
        <v>533</v>
      </c>
      <c r="H195" s="26" t="s">
        <v>31</v>
      </c>
      <c r="I195" s="49" t="str">
        <f>VLOOKUP(H195,VALIDACIONES!$A$2:$B$138,2,0)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J195" s="16">
        <v>220832</v>
      </c>
      <c r="K195" s="9" t="s">
        <v>86</v>
      </c>
      <c r="L195" s="57">
        <v>43658</v>
      </c>
      <c r="M195" s="55" t="s">
        <v>117</v>
      </c>
      <c r="N195" s="16">
        <f t="shared" si="2"/>
        <v>5</v>
      </c>
      <c r="O195" s="16">
        <f t="shared" si="1"/>
        <v>2019</v>
      </c>
      <c r="P195" s="34"/>
      <c r="Q195" s="34"/>
      <c r="R195" s="34"/>
      <c r="S195" s="34"/>
      <c r="T195" s="34"/>
      <c r="U195" s="17"/>
      <c r="V195" s="23"/>
      <c r="W195" s="15"/>
      <c r="X195" s="15"/>
      <c r="Y195" s="15"/>
    </row>
    <row r="196" spans="1:25" ht="12.75" x14ac:dyDescent="0.2">
      <c r="A196" s="16">
        <v>71625807</v>
      </c>
      <c r="B196" s="9" t="s">
        <v>744</v>
      </c>
      <c r="C196" s="9" t="s">
        <v>522</v>
      </c>
      <c r="D196" s="9" t="s">
        <v>82</v>
      </c>
      <c r="E196" s="17" t="s">
        <v>83</v>
      </c>
      <c r="F196" s="18">
        <v>43608</v>
      </c>
      <c r="G196" s="24" t="s">
        <v>533</v>
      </c>
      <c r="H196" s="26" t="s">
        <v>4</v>
      </c>
      <c r="I196" s="49" t="str">
        <f>VLOOKUP(H196,VALIDACIONES!$A$2:$B$138,2,0)</f>
        <v>Estacionar un vehículo en los sitios prohibidos por el Código Nacional de Tránsito, reglamentado por la Res.3027.</v>
      </c>
      <c r="J196" s="16">
        <v>414060</v>
      </c>
      <c r="K196" s="9" t="s">
        <v>86</v>
      </c>
      <c r="L196" s="55"/>
      <c r="M196" s="55"/>
      <c r="N196" s="16">
        <f t="shared" si="2"/>
        <v>5</v>
      </c>
      <c r="O196" s="16">
        <f t="shared" si="1"/>
        <v>2019</v>
      </c>
      <c r="P196" s="34"/>
      <c r="Q196" s="34"/>
      <c r="R196" s="34"/>
      <c r="S196" s="34"/>
      <c r="T196" s="34"/>
      <c r="U196" s="17"/>
      <c r="V196" s="23"/>
      <c r="W196" s="15"/>
      <c r="X196" s="15"/>
      <c r="Y196" s="15"/>
    </row>
    <row r="197" spans="1:25" ht="25.5" x14ac:dyDescent="0.2">
      <c r="A197" s="16">
        <v>98716477</v>
      </c>
      <c r="B197" s="9" t="s">
        <v>745</v>
      </c>
      <c r="C197" s="9" t="s">
        <v>522</v>
      </c>
      <c r="D197" s="9" t="s">
        <v>82</v>
      </c>
      <c r="E197" s="17" t="s">
        <v>83</v>
      </c>
      <c r="F197" s="18">
        <v>43605</v>
      </c>
      <c r="G197" s="24" t="s">
        <v>533</v>
      </c>
      <c r="H197" s="26" t="s">
        <v>10</v>
      </c>
      <c r="I197" s="49" t="str">
        <f>VLOOKUP(H197,VALIDACIONES!$A$2:$B$138,2,0)</f>
        <v>Conducir un vehículo a velocidad superior a la máxima permitida, la cual deberá estar señalizada en forma sectorizada, no obstante esta no podrá ser superior a (verlistado)</v>
      </c>
      <c r="J197" s="16">
        <v>258787</v>
      </c>
      <c r="K197" s="9" t="s">
        <v>86</v>
      </c>
      <c r="L197" s="55"/>
      <c r="M197" s="55"/>
      <c r="N197" s="16">
        <f t="shared" si="2"/>
        <v>5</v>
      </c>
      <c r="O197" s="16">
        <f t="shared" si="1"/>
        <v>2019</v>
      </c>
      <c r="P197" s="34"/>
      <c r="Q197" s="34"/>
      <c r="R197" s="34"/>
      <c r="S197" s="34"/>
      <c r="T197" s="34"/>
      <c r="U197" s="17"/>
      <c r="V197" s="23"/>
      <c r="W197" s="15"/>
      <c r="X197" s="15"/>
      <c r="Y197" s="15"/>
    </row>
    <row r="198" spans="1:25" ht="38.25" x14ac:dyDescent="0.2">
      <c r="A198" s="16">
        <v>71762056</v>
      </c>
      <c r="B198" s="9" t="s">
        <v>746</v>
      </c>
      <c r="C198" s="9" t="s">
        <v>522</v>
      </c>
      <c r="D198" s="9" t="s">
        <v>82</v>
      </c>
      <c r="E198" s="17" t="s">
        <v>83</v>
      </c>
      <c r="F198" s="18">
        <v>43620</v>
      </c>
      <c r="G198" s="24" t="s">
        <v>747</v>
      </c>
      <c r="H198" s="26" t="s">
        <v>397</v>
      </c>
      <c r="I198" s="49" t="str">
        <f>VLOOKUP(H198,VALIDACIONES!$A$2:$B$138,2,0)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198" s="16">
        <v>828120</v>
      </c>
      <c r="K198" s="9" t="s">
        <v>86</v>
      </c>
      <c r="L198" s="57">
        <v>43661</v>
      </c>
      <c r="M198" s="55" t="s">
        <v>240</v>
      </c>
      <c r="N198" s="16">
        <f t="shared" si="2"/>
        <v>6</v>
      </c>
      <c r="O198" s="16">
        <f t="shared" si="1"/>
        <v>2019</v>
      </c>
      <c r="P198" s="34"/>
      <c r="Q198" s="34"/>
      <c r="R198" s="34"/>
      <c r="S198" s="34"/>
      <c r="T198" s="34"/>
      <c r="U198" s="17"/>
      <c r="V198" s="23"/>
      <c r="W198" s="15"/>
      <c r="X198" s="15"/>
      <c r="Y198" s="15"/>
    </row>
    <row r="199" spans="1:25" ht="12.75" x14ac:dyDescent="0.2">
      <c r="A199" s="16">
        <v>1128283475</v>
      </c>
      <c r="B199" s="9" t="s">
        <v>748</v>
      </c>
      <c r="C199" s="17" t="s">
        <v>664</v>
      </c>
      <c r="D199" s="9" t="s">
        <v>82</v>
      </c>
      <c r="E199" s="17" t="s">
        <v>83</v>
      </c>
      <c r="F199" s="18">
        <v>43637</v>
      </c>
      <c r="G199" s="24" t="s">
        <v>517</v>
      </c>
      <c r="H199" s="26" t="s">
        <v>8</v>
      </c>
      <c r="I199" s="49" t="str">
        <f>VLOOKUP(H199,VALIDACIONES!$A$2:$B$138,2,0)</f>
        <v>Conducir motocicleta sin observar las siguientes normas.(verlistadodesituaciones)</v>
      </c>
      <c r="J199" s="16">
        <v>414060</v>
      </c>
      <c r="K199" s="9" t="s">
        <v>86</v>
      </c>
      <c r="L199" s="55"/>
      <c r="M199" s="55"/>
      <c r="N199" s="16">
        <f t="shared" si="2"/>
        <v>6</v>
      </c>
      <c r="O199" s="16">
        <f t="shared" si="1"/>
        <v>2019</v>
      </c>
      <c r="P199" s="34"/>
      <c r="Q199" s="34"/>
      <c r="R199" s="34"/>
      <c r="S199" s="34"/>
      <c r="T199" s="34"/>
      <c r="U199" s="17"/>
      <c r="V199" s="23"/>
      <c r="W199" s="15"/>
      <c r="X199" s="15"/>
      <c r="Y199" s="15"/>
    </row>
    <row r="200" spans="1:25" ht="38.25" x14ac:dyDescent="0.2">
      <c r="A200" s="16">
        <v>10532357</v>
      </c>
      <c r="B200" s="9" t="s">
        <v>749</v>
      </c>
      <c r="C200" s="9" t="s">
        <v>516</v>
      </c>
      <c r="D200" s="9" t="s">
        <v>82</v>
      </c>
      <c r="E200" s="17" t="s">
        <v>83</v>
      </c>
      <c r="F200" s="18">
        <v>43642</v>
      </c>
      <c r="G200" s="24" t="s">
        <v>533</v>
      </c>
      <c r="H200" s="26" t="s">
        <v>11</v>
      </c>
      <c r="I200" s="49" t="str">
        <f>VLOOKUP(H200,VALIDACIONES!$A$2:$B$138,2,0)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00" s="16">
        <v>414060</v>
      </c>
      <c r="K200" s="9" t="s">
        <v>86</v>
      </c>
      <c r="L200" s="57">
        <v>43661</v>
      </c>
      <c r="M200" s="55" t="s">
        <v>117</v>
      </c>
      <c r="N200" s="16">
        <f t="shared" si="2"/>
        <v>6</v>
      </c>
      <c r="O200" s="16">
        <f t="shared" si="1"/>
        <v>2019</v>
      </c>
      <c r="P200" s="34"/>
      <c r="Q200" s="34"/>
      <c r="R200" s="34"/>
      <c r="S200" s="34"/>
      <c r="T200" s="34"/>
      <c r="U200" s="17"/>
      <c r="V200" s="23"/>
      <c r="W200" s="15"/>
      <c r="X200" s="15"/>
      <c r="Y200" s="15"/>
    </row>
    <row r="201" spans="1:25" ht="51" x14ac:dyDescent="0.2">
      <c r="A201" s="16">
        <v>4751836</v>
      </c>
      <c r="B201" s="9" t="s">
        <v>750</v>
      </c>
      <c r="C201" s="9" t="s">
        <v>516</v>
      </c>
      <c r="D201" s="9" t="s">
        <v>82</v>
      </c>
      <c r="E201" s="17" t="s">
        <v>262</v>
      </c>
      <c r="F201" s="18">
        <v>43636</v>
      </c>
      <c r="G201" s="24" t="s">
        <v>527</v>
      </c>
      <c r="H201" s="26" t="s">
        <v>283</v>
      </c>
      <c r="I201" s="49" t="str">
        <f>VLOOKUP(H201,VALIDACIONES!$A$2:$B$138,2,0)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201" s="16">
        <v>138020</v>
      </c>
      <c r="K201" s="9" t="s">
        <v>86</v>
      </c>
      <c r="L201" s="55"/>
      <c r="M201" s="55"/>
      <c r="N201" s="16">
        <f t="shared" si="2"/>
        <v>6</v>
      </c>
      <c r="O201" s="16">
        <f t="shared" si="1"/>
        <v>2019</v>
      </c>
      <c r="P201" s="34"/>
      <c r="Q201" s="34"/>
      <c r="R201" s="34"/>
      <c r="S201" s="34"/>
      <c r="T201" s="34"/>
      <c r="U201" s="17"/>
      <c r="V201" s="23"/>
      <c r="W201" s="15"/>
      <c r="X201" s="15"/>
      <c r="Y201" s="15"/>
    </row>
    <row r="202" spans="1:25" ht="25.5" x14ac:dyDescent="0.2">
      <c r="A202" s="16">
        <v>70506769</v>
      </c>
      <c r="B202" s="9" t="s">
        <v>751</v>
      </c>
      <c r="C202" s="9" t="s">
        <v>529</v>
      </c>
      <c r="D202" s="9" t="s">
        <v>82</v>
      </c>
      <c r="E202" s="17" t="s">
        <v>83</v>
      </c>
      <c r="F202" s="18">
        <v>43654</v>
      </c>
      <c r="G202" s="24" t="s">
        <v>525</v>
      </c>
      <c r="H202" s="26" t="s">
        <v>385</v>
      </c>
      <c r="I202" s="49" t="str">
        <f>VLOOKUP(H202,VALIDACIONES!$A$2:$B$138,2,0)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02" s="16">
        <v>258760</v>
      </c>
      <c r="K202" s="9" t="s">
        <v>86</v>
      </c>
      <c r="L202" s="57">
        <v>43713</v>
      </c>
      <c r="M202" s="55" t="s">
        <v>117</v>
      </c>
      <c r="N202" s="16">
        <f t="shared" si="2"/>
        <v>7</v>
      </c>
      <c r="O202" s="16">
        <f t="shared" si="1"/>
        <v>2019</v>
      </c>
      <c r="P202" s="34"/>
      <c r="Q202" s="34"/>
      <c r="R202" s="34"/>
      <c r="S202" s="34"/>
      <c r="T202" s="34"/>
      <c r="U202" s="17"/>
      <c r="V202" s="23"/>
      <c r="W202" s="15"/>
      <c r="X202" s="15"/>
      <c r="Y202" s="15"/>
    </row>
    <row r="203" spans="1:25" ht="51" x14ac:dyDescent="0.2">
      <c r="A203" s="16">
        <v>79432737</v>
      </c>
      <c r="B203" s="9" t="s">
        <v>752</v>
      </c>
      <c r="C203" s="9" t="s">
        <v>529</v>
      </c>
      <c r="D203" s="9" t="s">
        <v>82</v>
      </c>
      <c r="E203" s="17" t="s">
        <v>83</v>
      </c>
      <c r="F203" s="18">
        <v>43672</v>
      </c>
      <c r="G203" s="24" t="s">
        <v>533</v>
      </c>
      <c r="H203" s="26" t="s">
        <v>335</v>
      </c>
      <c r="I203" s="49" t="str">
        <f>VLOOKUP(H203,VALIDACIONES!$A$2:$B$138,2,0)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03" s="16">
        <v>414060</v>
      </c>
      <c r="K203" s="9" t="s">
        <v>86</v>
      </c>
      <c r="L203" s="57">
        <v>43713</v>
      </c>
      <c r="M203" s="55" t="s">
        <v>117</v>
      </c>
      <c r="N203" s="16">
        <f t="shared" si="2"/>
        <v>7</v>
      </c>
      <c r="O203" s="16">
        <f t="shared" si="1"/>
        <v>2019</v>
      </c>
      <c r="P203" s="34"/>
      <c r="Q203" s="34"/>
      <c r="R203" s="34"/>
      <c r="S203" s="34"/>
      <c r="T203" s="34"/>
      <c r="U203" s="17"/>
      <c r="V203" s="23"/>
      <c r="W203" s="15"/>
      <c r="X203" s="15"/>
      <c r="Y203" s="15"/>
    </row>
    <row r="204" spans="1:25" ht="51" x14ac:dyDescent="0.2">
      <c r="A204" s="16">
        <v>94449210</v>
      </c>
      <c r="B204" s="9" t="s">
        <v>740</v>
      </c>
      <c r="C204" s="17" t="s">
        <v>516</v>
      </c>
      <c r="D204" s="9" t="s">
        <v>82</v>
      </c>
      <c r="E204" s="17" t="s">
        <v>251</v>
      </c>
      <c r="F204" s="18">
        <v>43679</v>
      </c>
      <c r="G204" s="24" t="s">
        <v>535</v>
      </c>
      <c r="H204" s="26" t="s">
        <v>335</v>
      </c>
      <c r="I204" s="49" t="str">
        <f>VLOOKUP(H204,VALIDACIONES!$A$2:$B$138,2,0)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04" s="16">
        <v>414060</v>
      </c>
      <c r="K204" s="9" t="s">
        <v>86</v>
      </c>
      <c r="L204" s="57">
        <v>43713</v>
      </c>
      <c r="M204" s="55" t="s">
        <v>117</v>
      </c>
      <c r="N204" s="16">
        <f t="shared" si="2"/>
        <v>8</v>
      </c>
      <c r="O204" s="16">
        <f t="shared" si="1"/>
        <v>2019</v>
      </c>
      <c r="P204" s="34"/>
      <c r="Q204" s="34"/>
      <c r="R204" s="34"/>
      <c r="S204" s="34"/>
      <c r="T204" s="34"/>
      <c r="U204" s="17"/>
      <c r="V204" s="23"/>
      <c r="W204" s="15"/>
      <c r="X204" s="15"/>
      <c r="Y204" s="15"/>
    </row>
    <row r="205" spans="1:25" ht="38.25" x14ac:dyDescent="0.2">
      <c r="A205" s="16">
        <v>71387683</v>
      </c>
      <c r="B205" s="9" t="s">
        <v>753</v>
      </c>
      <c r="C205" s="17" t="s">
        <v>516</v>
      </c>
      <c r="D205" s="9" t="s">
        <v>82</v>
      </c>
      <c r="E205" s="17" t="s">
        <v>83</v>
      </c>
      <c r="F205" s="18">
        <v>43678</v>
      </c>
      <c r="G205" s="24" t="s">
        <v>533</v>
      </c>
      <c r="H205" s="26" t="s">
        <v>11</v>
      </c>
      <c r="I205" s="49" t="str">
        <f>VLOOKUP(H205,VALIDACIONES!$A$2:$B$138,2,0)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05" s="16">
        <v>414060</v>
      </c>
      <c r="K205" s="9" t="s">
        <v>86</v>
      </c>
      <c r="L205" s="57">
        <v>43713</v>
      </c>
      <c r="M205" s="55" t="s">
        <v>117</v>
      </c>
      <c r="N205" s="16">
        <f t="shared" si="2"/>
        <v>8</v>
      </c>
      <c r="O205" s="16">
        <f t="shared" si="1"/>
        <v>2019</v>
      </c>
      <c r="P205" s="34"/>
      <c r="Q205" s="34"/>
      <c r="R205" s="34"/>
      <c r="S205" s="34"/>
      <c r="T205" s="34"/>
      <c r="U205" s="17"/>
      <c r="V205" s="23"/>
      <c r="W205" s="15"/>
      <c r="X205" s="15"/>
      <c r="Y205" s="15"/>
    </row>
    <row r="206" spans="1:25" ht="38.25" x14ac:dyDescent="0.2">
      <c r="A206" s="16">
        <v>16077743</v>
      </c>
      <c r="B206" s="9" t="s">
        <v>655</v>
      </c>
      <c r="C206" s="17" t="s">
        <v>516</v>
      </c>
      <c r="D206" s="9" t="s">
        <v>82</v>
      </c>
      <c r="E206" s="17" t="s">
        <v>100</v>
      </c>
      <c r="F206" s="18">
        <v>43697</v>
      </c>
      <c r="G206" s="24" t="s">
        <v>754</v>
      </c>
      <c r="H206" s="26" t="s">
        <v>11</v>
      </c>
      <c r="I206" s="49" t="str">
        <f>VLOOKUP(H206,VALIDACIONES!$A$2:$B$138,2,0)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06" s="16">
        <v>258786</v>
      </c>
      <c r="K206" s="9" t="s">
        <v>86</v>
      </c>
      <c r="L206" s="57"/>
      <c r="M206" s="55"/>
      <c r="N206" s="16">
        <f t="shared" si="2"/>
        <v>8</v>
      </c>
      <c r="O206" s="16">
        <f t="shared" si="1"/>
        <v>2019</v>
      </c>
      <c r="P206" s="34"/>
      <c r="Q206" s="34"/>
      <c r="R206" s="34"/>
      <c r="S206" s="34"/>
      <c r="T206" s="34"/>
      <c r="U206" s="17"/>
      <c r="V206" s="23"/>
      <c r="W206" s="15"/>
      <c r="X206" s="15"/>
      <c r="Y206" s="15"/>
    </row>
    <row r="207" spans="1:25" ht="25.5" x14ac:dyDescent="0.2">
      <c r="A207" s="16">
        <v>98552463</v>
      </c>
      <c r="B207" s="9" t="s">
        <v>755</v>
      </c>
      <c r="C207" s="9" t="s">
        <v>522</v>
      </c>
      <c r="D207" s="9" t="s">
        <v>82</v>
      </c>
      <c r="E207" s="17" t="s">
        <v>83</v>
      </c>
      <c r="F207" s="18">
        <v>43717</v>
      </c>
      <c r="G207" s="24" t="s">
        <v>756</v>
      </c>
      <c r="H207" s="26" t="s">
        <v>10</v>
      </c>
      <c r="I207" s="49" t="str">
        <f>VLOOKUP(H207,VALIDACIONES!$A$2:$B$138,2,0)</f>
        <v>Conducir un vehículo a velocidad superior a la máxima permitida, la cual deberá estar señalizada en forma sectorizada, no obstante esta no podrá ser superior a (verlistado)</v>
      </c>
      <c r="J207" s="16">
        <v>414060</v>
      </c>
      <c r="K207" s="9" t="s">
        <v>86</v>
      </c>
      <c r="L207" s="57"/>
      <c r="M207" s="55"/>
      <c r="N207" s="16">
        <f t="shared" si="2"/>
        <v>9</v>
      </c>
      <c r="O207" s="16">
        <f t="shared" si="1"/>
        <v>2019</v>
      </c>
      <c r="P207" s="34"/>
      <c r="Q207" s="34"/>
      <c r="R207" s="34"/>
      <c r="S207" s="34"/>
      <c r="T207" s="34"/>
      <c r="U207" s="17"/>
      <c r="V207" s="23"/>
      <c r="W207" s="15"/>
      <c r="X207" s="15"/>
      <c r="Y207" s="15"/>
    </row>
    <row r="208" spans="1:25" ht="51" x14ac:dyDescent="0.2">
      <c r="A208" s="16">
        <v>79439075</v>
      </c>
      <c r="B208" s="9" t="s">
        <v>757</v>
      </c>
      <c r="C208" s="17" t="s">
        <v>516</v>
      </c>
      <c r="D208" s="9" t="s">
        <v>82</v>
      </c>
      <c r="E208" s="17" t="s">
        <v>251</v>
      </c>
      <c r="F208" s="18">
        <v>43725</v>
      </c>
      <c r="G208" s="24" t="s">
        <v>535</v>
      </c>
      <c r="H208" s="26" t="s">
        <v>283</v>
      </c>
      <c r="I208" s="49" t="str">
        <f>VLOOKUP(H208,VALIDACIONES!$A$2:$B$138,2,0)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208" s="16">
        <v>220832</v>
      </c>
      <c r="K208" s="9" t="s">
        <v>86</v>
      </c>
      <c r="L208" s="57"/>
      <c r="M208" s="55"/>
      <c r="N208" s="16">
        <f t="shared" si="2"/>
        <v>9</v>
      </c>
      <c r="O208" s="16">
        <f t="shared" si="1"/>
        <v>2019</v>
      </c>
      <c r="P208" s="34"/>
      <c r="Q208" s="34"/>
      <c r="R208" s="34"/>
      <c r="S208" s="34"/>
      <c r="T208" s="34"/>
      <c r="U208" s="17"/>
      <c r="V208" s="23"/>
      <c r="W208" s="15"/>
      <c r="X208" s="15"/>
      <c r="Y208" s="15"/>
    </row>
    <row r="209" spans="1:25" ht="38.25" x14ac:dyDescent="0.2">
      <c r="A209" s="16">
        <v>1007011720</v>
      </c>
      <c r="B209" s="9" t="s">
        <v>758</v>
      </c>
      <c r="C209" s="9" t="s">
        <v>522</v>
      </c>
      <c r="D209" s="9" t="s">
        <v>82</v>
      </c>
      <c r="E209" s="17" t="s">
        <v>83</v>
      </c>
      <c r="F209" s="18">
        <v>43731</v>
      </c>
      <c r="G209" s="24" t="s">
        <v>759</v>
      </c>
      <c r="H209" s="26" t="s">
        <v>397</v>
      </c>
      <c r="I209" s="49" t="str">
        <f>VLOOKUP(H209,VALIDACIONES!$A$2:$B$138,2,0)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209" s="16">
        <v>828120</v>
      </c>
      <c r="K209" s="9" t="s">
        <v>86</v>
      </c>
      <c r="L209" s="57"/>
      <c r="M209" s="55"/>
      <c r="N209" s="16">
        <f t="shared" si="2"/>
        <v>9</v>
      </c>
      <c r="O209" s="16">
        <f t="shared" si="1"/>
        <v>2019</v>
      </c>
      <c r="P209" s="34"/>
      <c r="Q209" s="34"/>
      <c r="R209" s="34"/>
      <c r="S209" s="34"/>
      <c r="T209" s="34"/>
      <c r="U209" s="17"/>
      <c r="V209" s="23"/>
      <c r="W209" s="15"/>
      <c r="X209" s="15"/>
      <c r="Y209" s="15"/>
    </row>
    <row r="210" spans="1:25" ht="12.75" x14ac:dyDescent="0.2">
      <c r="A210" s="16">
        <v>98533536</v>
      </c>
      <c r="B210" s="9" t="s">
        <v>760</v>
      </c>
      <c r="C210" s="9" t="s">
        <v>522</v>
      </c>
      <c r="D210" s="9" t="s">
        <v>82</v>
      </c>
      <c r="E210" s="17" t="s">
        <v>83</v>
      </c>
      <c r="F210" s="18">
        <v>43710</v>
      </c>
      <c r="G210" s="24" t="s">
        <v>533</v>
      </c>
      <c r="H210" s="26" t="s">
        <v>4</v>
      </c>
      <c r="I210" s="49" t="str">
        <f>VLOOKUP(H210,VALIDACIONES!$A$2:$B$138,2,0)</f>
        <v>Estacionar un vehículo en los sitios prohibidos por el Código Nacional de Tránsito, reglamentado por la Res.3027.</v>
      </c>
      <c r="J210" s="16">
        <v>414060</v>
      </c>
      <c r="K210" s="9" t="s">
        <v>86</v>
      </c>
      <c r="L210" s="57"/>
      <c r="M210" s="55"/>
      <c r="N210" s="16">
        <f t="shared" si="2"/>
        <v>9</v>
      </c>
      <c r="O210" s="16">
        <f t="shared" si="1"/>
        <v>2019</v>
      </c>
      <c r="P210" s="34"/>
      <c r="Q210" s="34"/>
      <c r="R210" s="34"/>
      <c r="S210" s="34"/>
      <c r="T210" s="34"/>
      <c r="U210" s="17"/>
      <c r="V210" s="23"/>
      <c r="W210" s="15"/>
      <c r="X210" s="15"/>
      <c r="Y210" s="15"/>
    </row>
    <row r="211" spans="1:25" ht="38.25" x14ac:dyDescent="0.2">
      <c r="A211" s="16">
        <v>1036946073</v>
      </c>
      <c r="B211" s="9" t="s">
        <v>628</v>
      </c>
      <c r="C211" s="17" t="s">
        <v>21</v>
      </c>
      <c r="D211" s="9" t="s">
        <v>135</v>
      </c>
      <c r="E211" s="17" t="s">
        <v>83</v>
      </c>
      <c r="F211" s="18">
        <v>43715</v>
      </c>
      <c r="G211" s="24" t="s">
        <v>761</v>
      </c>
      <c r="H211" s="26" t="s">
        <v>11</v>
      </c>
      <c r="I211" s="49" t="str">
        <f>VLOOKUP(H211,VALIDACIONES!$A$2:$B$138,2,0)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11" s="16">
        <v>414058</v>
      </c>
      <c r="K211" s="9" t="s">
        <v>86</v>
      </c>
      <c r="L211" s="57"/>
      <c r="M211" s="55"/>
      <c r="N211" s="16">
        <f t="shared" si="2"/>
        <v>9</v>
      </c>
      <c r="O211" s="16">
        <f t="shared" si="1"/>
        <v>2019</v>
      </c>
      <c r="P211" s="34"/>
      <c r="Q211" s="34"/>
      <c r="R211" s="34"/>
      <c r="S211" s="34"/>
      <c r="T211" s="34"/>
      <c r="U211" s="17"/>
      <c r="V211" s="23"/>
      <c r="W211" s="15"/>
      <c r="X211" s="15"/>
      <c r="Y211" s="15"/>
    </row>
    <row r="212" spans="1:25" ht="25.5" x14ac:dyDescent="0.2">
      <c r="A212" s="16">
        <v>70753633</v>
      </c>
      <c r="B212" s="9" t="s">
        <v>762</v>
      </c>
      <c r="C212" s="17" t="s">
        <v>516</v>
      </c>
      <c r="D212" s="9" t="s">
        <v>82</v>
      </c>
      <c r="E212" s="17" t="s">
        <v>268</v>
      </c>
      <c r="F212" s="18">
        <v>43733</v>
      </c>
      <c r="G212" s="24" t="s">
        <v>761</v>
      </c>
      <c r="H212" s="26" t="s">
        <v>409</v>
      </c>
      <c r="I212" s="49" t="str">
        <f>VLOOKUP(H212,VALIDACIONES!$A$2:$B$138,2,0)</f>
        <v>Conducirunvehículoque,sinladebidaautorización,sedestineaunserviciodiferentedeaquelparaelcualtienelicenciadetránsito.Además,elvehículoseráinmovilizadoporprimeravez,poreltérminodecincodías,porsegundavezveintedíasyporterceravezcuarentadias.</v>
      </c>
      <c r="J212" s="16">
        <v>828116</v>
      </c>
      <c r="K212" s="9" t="s">
        <v>86</v>
      </c>
      <c r="L212" s="57"/>
      <c r="M212" s="55"/>
      <c r="N212" s="16">
        <f t="shared" si="2"/>
        <v>9</v>
      </c>
      <c r="O212" s="16">
        <f t="shared" si="1"/>
        <v>2019</v>
      </c>
      <c r="P212" s="34"/>
      <c r="Q212" s="34"/>
      <c r="R212" s="34"/>
      <c r="S212" s="34"/>
      <c r="T212" s="34"/>
      <c r="U212" s="17"/>
      <c r="V212" s="23"/>
      <c r="W212" s="15"/>
      <c r="X212" s="15"/>
      <c r="Y212" s="15"/>
    </row>
    <row r="213" spans="1:25" ht="51" x14ac:dyDescent="0.2">
      <c r="A213" s="16">
        <v>94449210</v>
      </c>
      <c r="B213" s="9" t="s">
        <v>740</v>
      </c>
      <c r="C213" s="17" t="s">
        <v>516</v>
      </c>
      <c r="D213" s="9" t="s">
        <v>82</v>
      </c>
      <c r="E213" s="17" t="s">
        <v>251</v>
      </c>
      <c r="F213" s="18">
        <v>43784</v>
      </c>
      <c r="G213" s="24" t="s">
        <v>535</v>
      </c>
      <c r="H213" s="26" t="s">
        <v>335</v>
      </c>
      <c r="I213" s="49" t="str">
        <f>VLOOKUP(H213,VALIDACIONES!$A$2:$B$138,2,0)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13" s="16">
        <v>414060</v>
      </c>
      <c r="K213" s="9" t="s">
        <v>86</v>
      </c>
      <c r="L213" s="57"/>
      <c r="M213" s="55"/>
      <c r="N213" s="16">
        <f t="shared" si="2"/>
        <v>11</v>
      </c>
      <c r="O213" s="16">
        <f t="shared" si="1"/>
        <v>2019</v>
      </c>
      <c r="P213" s="34"/>
      <c r="Q213" s="34"/>
      <c r="R213" s="34"/>
      <c r="S213" s="34"/>
      <c r="T213" s="34"/>
      <c r="U213" s="17"/>
      <c r="V213" s="23"/>
      <c r="W213" s="15"/>
      <c r="X213" s="15"/>
      <c r="Y213" s="15"/>
    </row>
    <row r="214" spans="1:25" ht="25.5" x14ac:dyDescent="0.2">
      <c r="A214" s="16">
        <v>71274383</v>
      </c>
      <c r="B214" s="9" t="s">
        <v>763</v>
      </c>
      <c r="C214" s="17" t="s">
        <v>664</v>
      </c>
      <c r="D214" s="9" t="s">
        <v>82</v>
      </c>
      <c r="E214" s="17" t="s">
        <v>83</v>
      </c>
      <c r="F214" s="18">
        <v>43775</v>
      </c>
      <c r="G214" s="24" t="s">
        <v>533</v>
      </c>
      <c r="H214" s="26" t="s">
        <v>7</v>
      </c>
      <c r="I214" s="49" t="str">
        <f>VLOOKUP(H214,VALIDACIONES!$A$2:$B$138,2,0)</f>
        <v>Transitar por los siguientes sitios restringidos o en horas prohibidas por laautoridad competente. Además, el vehículo será inmovilizado.(verlistado)</v>
      </c>
      <c r="J214" s="16">
        <v>414060</v>
      </c>
      <c r="K214" s="9" t="s">
        <v>86</v>
      </c>
      <c r="L214" s="57"/>
      <c r="M214" s="55"/>
      <c r="N214" s="16">
        <f t="shared" si="2"/>
        <v>11</v>
      </c>
      <c r="O214" s="16">
        <f t="shared" si="1"/>
        <v>2019</v>
      </c>
      <c r="P214" s="34"/>
      <c r="Q214" s="34"/>
      <c r="R214" s="34"/>
      <c r="S214" s="34"/>
      <c r="T214" s="34"/>
      <c r="U214" s="17"/>
      <c r="V214" s="23"/>
      <c r="W214" s="15"/>
      <c r="X214" s="15"/>
      <c r="Y214" s="15"/>
    </row>
    <row r="215" spans="1:25" ht="25.5" x14ac:dyDescent="0.2">
      <c r="A215" s="16">
        <v>15388288</v>
      </c>
      <c r="B215" s="9" t="s">
        <v>728</v>
      </c>
      <c r="C215" s="17" t="s">
        <v>26</v>
      </c>
      <c r="D215" s="9" t="s">
        <v>82</v>
      </c>
      <c r="E215" s="17" t="s">
        <v>83</v>
      </c>
      <c r="F215" s="18">
        <v>43796</v>
      </c>
      <c r="G215" s="24" t="s">
        <v>764</v>
      </c>
      <c r="H215" s="26" t="s">
        <v>355</v>
      </c>
      <c r="I215" s="49" t="str">
        <f>VLOOKUP(H215,VALIDACIONES!$A$2:$B$138,2,0)</f>
        <v>Dejar o recoger pasajeros en sitios distintos de los demarcados porlasautoridades, al costado derecho de la vía, salvo en paraderos especiales de vías troncales que sean diseñadas y operadas con destinación exclusiva al transporte público masivo.</v>
      </c>
      <c r="J215" s="16">
        <v>414060</v>
      </c>
      <c r="K215" s="9" t="s">
        <v>86</v>
      </c>
      <c r="L215" s="57"/>
      <c r="M215" s="55"/>
      <c r="N215" s="16">
        <f t="shared" si="2"/>
        <v>11</v>
      </c>
      <c r="O215" s="16">
        <f t="shared" si="1"/>
        <v>2019</v>
      </c>
      <c r="P215" s="34"/>
      <c r="Q215" s="34"/>
      <c r="R215" s="34"/>
      <c r="S215" s="34"/>
      <c r="T215" s="34"/>
      <c r="U215" s="17"/>
      <c r="V215" s="23"/>
      <c r="W215" s="15"/>
      <c r="X215" s="15"/>
      <c r="Y215" s="15"/>
    </row>
    <row r="216" spans="1:25" ht="12.75" x14ac:dyDescent="0.2">
      <c r="A216" s="16">
        <v>43382074</v>
      </c>
      <c r="B216" s="9" t="s">
        <v>765</v>
      </c>
      <c r="C216" s="17" t="s">
        <v>21</v>
      </c>
      <c r="D216" s="9" t="s">
        <v>135</v>
      </c>
      <c r="E216" s="17" t="s">
        <v>83</v>
      </c>
      <c r="F216" s="18">
        <v>43770</v>
      </c>
      <c r="G216" s="24" t="s">
        <v>766</v>
      </c>
      <c r="H216" s="26" t="s">
        <v>8</v>
      </c>
      <c r="I216" s="49" t="str">
        <f>VLOOKUP(H216,VALIDACIONES!$A$2:$B$138,2,0)</f>
        <v>Conducir motocicleta sin observar las siguientes normas.(verlistadodesituaciones)</v>
      </c>
      <c r="J216" s="16">
        <v>828120</v>
      </c>
      <c r="K216" s="9" t="s">
        <v>86</v>
      </c>
      <c r="L216" s="57"/>
      <c r="M216" s="55"/>
      <c r="N216" s="16">
        <f t="shared" si="2"/>
        <v>11</v>
      </c>
      <c r="O216" s="16">
        <f t="shared" si="1"/>
        <v>2019</v>
      </c>
      <c r="P216" s="34"/>
      <c r="Q216" s="34"/>
      <c r="R216" s="34"/>
      <c r="S216" s="34"/>
      <c r="T216" s="34"/>
      <c r="U216" s="17"/>
      <c r="V216" s="23"/>
      <c r="W216" s="15"/>
      <c r="X216" s="15"/>
      <c r="Y216" s="15"/>
    </row>
    <row r="217" spans="1:25" ht="51" x14ac:dyDescent="0.2">
      <c r="A217" s="16">
        <v>98709353</v>
      </c>
      <c r="B217" s="9" t="s">
        <v>767</v>
      </c>
      <c r="C217" s="17" t="s">
        <v>516</v>
      </c>
      <c r="D217" s="9" t="s">
        <v>82</v>
      </c>
      <c r="E217" s="17" t="s">
        <v>268</v>
      </c>
      <c r="F217" s="18">
        <v>43775</v>
      </c>
      <c r="G217" s="24" t="s">
        <v>768</v>
      </c>
      <c r="H217" s="26" t="s">
        <v>335</v>
      </c>
      <c r="I217" s="49" t="str">
        <f>VLOOKUP(H217,VALIDACIONES!$A$2:$B$138,2,0)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17" s="16">
        <v>414058</v>
      </c>
      <c r="K217" s="9" t="s">
        <v>86</v>
      </c>
      <c r="L217" s="57"/>
      <c r="M217" s="55"/>
      <c r="N217" s="16">
        <f t="shared" si="2"/>
        <v>11</v>
      </c>
      <c r="O217" s="16">
        <f t="shared" si="1"/>
        <v>2019</v>
      </c>
      <c r="P217" s="34"/>
      <c r="Q217" s="34"/>
      <c r="R217" s="34"/>
      <c r="S217" s="34"/>
      <c r="T217" s="34"/>
      <c r="U217" s="17"/>
      <c r="V217" s="23"/>
      <c r="W217" s="15"/>
      <c r="X217" s="15"/>
      <c r="Y217" s="15"/>
    </row>
    <row r="218" spans="1:25" ht="25.5" x14ac:dyDescent="0.2">
      <c r="A218" s="16">
        <v>1053860208</v>
      </c>
      <c r="B218" s="9" t="s">
        <v>769</v>
      </c>
      <c r="C218" s="17" t="s">
        <v>516</v>
      </c>
      <c r="D218" s="9" t="s">
        <v>82</v>
      </c>
      <c r="E218" s="17" t="s">
        <v>100</v>
      </c>
      <c r="F218" s="18">
        <v>43836</v>
      </c>
      <c r="G218" s="24" t="s">
        <v>569</v>
      </c>
      <c r="H218" s="26" t="s">
        <v>5</v>
      </c>
      <c r="I218" s="49" t="str">
        <f>VLOOKUP(H218,VALIDACIONES!$A$2:$B$138,2,0)</f>
        <v>Noutilizarelcinturóndeseguridadporpartedelosocupantesdelvehículoyloscinturonesdeseguridadenlosasientostraserosenlosvehículosfabricadosapartirdelaño2004.</v>
      </c>
      <c r="J218" s="16">
        <v>274312</v>
      </c>
      <c r="K218" s="9" t="s">
        <v>86</v>
      </c>
      <c r="L218" s="57"/>
      <c r="M218" s="55"/>
      <c r="N218" s="16">
        <f t="shared" si="2"/>
        <v>1</v>
      </c>
      <c r="O218" s="16">
        <f t="shared" si="1"/>
        <v>2020</v>
      </c>
      <c r="P218" s="34"/>
      <c r="Q218" s="34"/>
      <c r="R218" s="34"/>
      <c r="S218" s="34"/>
      <c r="T218" s="34"/>
      <c r="U218" s="17"/>
      <c r="V218" s="23"/>
      <c r="W218" s="15"/>
      <c r="X218" s="15"/>
      <c r="Y218" s="15"/>
    </row>
    <row r="219" spans="1:25" ht="25.5" x14ac:dyDescent="0.2">
      <c r="A219" s="16">
        <v>6459970</v>
      </c>
      <c r="B219" s="9" t="s">
        <v>770</v>
      </c>
      <c r="C219" s="17" t="s">
        <v>516</v>
      </c>
      <c r="D219" s="9" t="s">
        <v>82</v>
      </c>
      <c r="E219" s="17" t="s">
        <v>251</v>
      </c>
      <c r="F219" s="18">
        <v>43851</v>
      </c>
      <c r="G219" s="24" t="s">
        <v>771</v>
      </c>
      <c r="H219" s="26" t="s">
        <v>5</v>
      </c>
      <c r="I219" s="49" t="str">
        <f>VLOOKUP(H219,VALIDACIONES!$A$2:$B$138,2,0)</f>
        <v>Noutilizarelcinturóndeseguridadporpartedelosocupantesdelvehículoyloscinturonesdeseguridadenlosasientostraserosenlosvehículosfabricadosapartirdelaño2004.</v>
      </c>
      <c r="J219" s="16">
        <v>438900</v>
      </c>
      <c r="K219" s="9" t="s">
        <v>86</v>
      </c>
      <c r="L219" s="57"/>
      <c r="M219" s="55"/>
      <c r="N219" s="16">
        <f t="shared" si="2"/>
        <v>1</v>
      </c>
      <c r="O219" s="16">
        <f t="shared" si="1"/>
        <v>2020</v>
      </c>
      <c r="P219" s="34"/>
      <c r="Q219" s="34"/>
      <c r="R219" s="34"/>
      <c r="S219" s="34"/>
      <c r="T219" s="34"/>
      <c r="U219" s="17"/>
      <c r="V219" s="23"/>
      <c r="W219" s="15"/>
      <c r="X219" s="15"/>
      <c r="Y219" s="15"/>
    </row>
    <row r="220" spans="1:25" ht="12.75" x14ac:dyDescent="0.2">
      <c r="A220" s="16">
        <v>42677326</v>
      </c>
      <c r="B220" s="9" t="s">
        <v>772</v>
      </c>
      <c r="C220" s="17" t="s">
        <v>26</v>
      </c>
      <c r="D220" s="9" t="s">
        <v>82</v>
      </c>
      <c r="E220" s="17" t="s">
        <v>83</v>
      </c>
      <c r="F220" s="18">
        <v>43839</v>
      </c>
      <c r="G220" s="24" t="s">
        <v>533</v>
      </c>
      <c r="H220" s="26" t="s">
        <v>4</v>
      </c>
      <c r="I220" s="49" t="str">
        <f>VLOOKUP(H220,VALIDACIONES!$A$2:$B$138,2,0)</f>
        <v>Estacionar un vehículo en los sitios prohibidos por el Código Nacional de Tránsito, reglamentado por la Res.3027.</v>
      </c>
      <c r="J220" s="16">
        <v>438900</v>
      </c>
      <c r="K220" s="9" t="s">
        <v>86</v>
      </c>
      <c r="L220" s="57"/>
      <c r="M220" s="55"/>
      <c r="N220" s="16">
        <f t="shared" si="2"/>
        <v>1</v>
      </c>
      <c r="O220" s="16">
        <f t="shared" si="1"/>
        <v>2020</v>
      </c>
      <c r="P220" s="34"/>
      <c r="Q220" s="34"/>
      <c r="R220" s="34"/>
      <c r="S220" s="34"/>
      <c r="T220" s="34"/>
      <c r="U220" s="17"/>
      <c r="V220" s="23"/>
      <c r="W220" s="15"/>
      <c r="X220" s="15"/>
      <c r="Y220" s="15"/>
    </row>
    <row r="221" spans="1:25" ht="25.5" x14ac:dyDescent="0.2">
      <c r="A221" s="16">
        <v>71678065</v>
      </c>
      <c r="B221" s="9" t="s">
        <v>773</v>
      </c>
      <c r="C221" s="17" t="s">
        <v>26</v>
      </c>
      <c r="D221" s="9" t="s">
        <v>82</v>
      </c>
      <c r="E221" s="17" t="s">
        <v>83</v>
      </c>
      <c r="F221" s="18">
        <v>43850</v>
      </c>
      <c r="G221" s="24" t="s">
        <v>557</v>
      </c>
      <c r="H221" s="26" t="s">
        <v>7</v>
      </c>
      <c r="I221" s="49" t="str">
        <f>VLOOKUP(H221,VALIDACIONES!$A$2:$B$138,2,0)</f>
        <v>Transitar por los siguientes sitios restringidos o en horas prohibidas por laautoridad competente. Además, el vehículo será inmovilizado.(verlistado)</v>
      </c>
      <c r="J221" s="16">
        <v>438900</v>
      </c>
      <c r="K221" s="9" t="s">
        <v>86</v>
      </c>
      <c r="L221" s="57"/>
      <c r="M221" s="55"/>
      <c r="N221" s="16">
        <f t="shared" si="2"/>
        <v>1</v>
      </c>
      <c r="O221" s="16">
        <f t="shared" si="1"/>
        <v>2020</v>
      </c>
      <c r="P221" s="34"/>
      <c r="Q221" s="34"/>
      <c r="R221" s="34"/>
      <c r="S221" s="34"/>
      <c r="T221" s="34"/>
      <c r="U221" s="17"/>
      <c r="V221" s="23"/>
      <c r="W221" s="15"/>
      <c r="X221" s="15"/>
      <c r="Y221" s="15"/>
    </row>
    <row r="222" spans="1:25" ht="12.75" x14ac:dyDescent="0.2">
      <c r="A222" s="16">
        <v>8433981</v>
      </c>
      <c r="B222" s="9" t="s">
        <v>774</v>
      </c>
      <c r="C222" s="17" t="s">
        <v>516</v>
      </c>
      <c r="D222" s="9" t="s">
        <v>82</v>
      </c>
      <c r="E222" s="17" t="s">
        <v>83</v>
      </c>
      <c r="F222" s="18">
        <v>43889</v>
      </c>
      <c r="G222" s="24" t="s">
        <v>530</v>
      </c>
      <c r="H222" s="26" t="s">
        <v>165</v>
      </c>
      <c r="I222" s="49" t="str">
        <f>VLOOKUP(H222,VALIDACIONES!$A$2:$B$138,2,0)</f>
        <v>Cuandosedetecteoadviertaunainfracciónalasnormasdeemisióncontaminantesodegeneraciónderuidoporvehículosautomotores</v>
      </c>
      <c r="J222" s="16">
        <v>877800</v>
      </c>
      <c r="K222" s="9" t="s">
        <v>86</v>
      </c>
      <c r="L222" s="57"/>
      <c r="M222" s="55"/>
      <c r="N222" s="16">
        <f t="shared" si="2"/>
        <v>2</v>
      </c>
      <c r="O222" s="16">
        <f t="shared" si="1"/>
        <v>2020</v>
      </c>
      <c r="P222" s="34"/>
      <c r="Q222" s="34"/>
      <c r="R222" s="34"/>
      <c r="S222" s="34"/>
      <c r="T222" s="34"/>
      <c r="U222" s="17"/>
      <c r="V222" s="23"/>
      <c r="W222" s="15"/>
      <c r="X222" s="15"/>
      <c r="Y222" s="15"/>
    </row>
    <row r="223" spans="1:25" ht="25.5" x14ac:dyDescent="0.2">
      <c r="A223" s="16">
        <v>1040034682</v>
      </c>
      <c r="B223" s="9" t="s">
        <v>775</v>
      </c>
      <c r="C223" s="17" t="s">
        <v>516</v>
      </c>
      <c r="D223" s="9" t="s">
        <v>82</v>
      </c>
      <c r="E223" s="17" t="s">
        <v>83</v>
      </c>
      <c r="F223" s="18">
        <v>43880</v>
      </c>
      <c r="G223" s="24" t="s">
        <v>533</v>
      </c>
      <c r="H223" s="26" t="s">
        <v>7</v>
      </c>
      <c r="I223" s="49" t="str">
        <f>VLOOKUP(H223,VALIDACIONES!$A$2:$B$138,2,0)</f>
        <v>Transitar por los siguientes sitios restringidos o en horas prohibidas por laautoridad competente. Además, el vehículo será inmovilizado.(verlistado)</v>
      </c>
      <c r="J223" s="16">
        <v>438900</v>
      </c>
      <c r="K223" s="9" t="s">
        <v>86</v>
      </c>
      <c r="L223" s="57"/>
      <c r="M223" s="55"/>
      <c r="N223" s="16">
        <f t="shared" si="2"/>
        <v>2</v>
      </c>
      <c r="O223" s="16">
        <f t="shared" si="1"/>
        <v>2020</v>
      </c>
      <c r="P223" s="34"/>
      <c r="Q223" s="34"/>
      <c r="R223" s="34"/>
      <c r="S223" s="34"/>
      <c r="T223" s="34"/>
      <c r="U223" s="17"/>
      <c r="V223" s="23"/>
      <c r="W223" s="15"/>
      <c r="X223" s="15"/>
      <c r="Y223" s="15"/>
    </row>
    <row r="224" spans="1:25" ht="25.5" x14ac:dyDescent="0.2">
      <c r="A224" s="16">
        <v>16673502</v>
      </c>
      <c r="B224" s="9" t="s">
        <v>776</v>
      </c>
      <c r="C224" s="17" t="s">
        <v>516</v>
      </c>
      <c r="D224" s="9" t="s">
        <v>82</v>
      </c>
      <c r="E224" s="17" t="s">
        <v>251</v>
      </c>
      <c r="F224" s="18">
        <v>43871</v>
      </c>
      <c r="G224" s="24" t="s">
        <v>535</v>
      </c>
      <c r="H224" s="26" t="s">
        <v>10</v>
      </c>
      <c r="I224" s="49" t="str">
        <f>VLOOKUP(H224,VALIDACIONES!$A$2:$B$138,2,0)</f>
        <v>Conducir un vehículo a velocidad superior a la máxima permitida, la cual deberá estar señalizada en forma sectorizada, no obstante esta no podrá ser superior a (verlistado)</v>
      </c>
      <c r="J224" s="16">
        <v>274312</v>
      </c>
      <c r="K224" s="9" t="s">
        <v>86</v>
      </c>
      <c r="L224" s="57"/>
      <c r="M224" s="55"/>
      <c r="N224" s="16">
        <f t="shared" si="2"/>
        <v>2</v>
      </c>
      <c r="O224" s="16">
        <f t="shared" si="1"/>
        <v>2020</v>
      </c>
      <c r="P224" s="34"/>
      <c r="Q224" s="34"/>
      <c r="R224" s="34"/>
      <c r="S224" s="34"/>
      <c r="T224" s="34"/>
      <c r="U224" s="17"/>
      <c r="V224" s="23"/>
      <c r="W224" s="15"/>
      <c r="X224" s="15"/>
      <c r="Y224" s="15"/>
    </row>
    <row r="225" spans="1:25" ht="25.5" x14ac:dyDescent="0.2">
      <c r="A225" s="16">
        <v>43548143</v>
      </c>
      <c r="B225" s="9" t="s">
        <v>777</v>
      </c>
      <c r="C225" s="17" t="s">
        <v>21</v>
      </c>
      <c r="D225" s="9" t="s">
        <v>135</v>
      </c>
      <c r="E225" s="17" t="s">
        <v>83</v>
      </c>
      <c r="F225" s="18">
        <v>43895</v>
      </c>
      <c r="G225" s="24" t="s">
        <v>517</v>
      </c>
      <c r="H225" s="26" t="s">
        <v>7</v>
      </c>
      <c r="I225" s="49" t="str">
        <f>VLOOKUP(H225,VALIDACIONES!$A$2:$B$138,2,0)</f>
        <v>Transitar por los siguientes sitios restringidos o en horas prohibidas por laautoridad competente. Además, el vehículo será inmovilizado.(verlistado)</v>
      </c>
      <c r="J225" s="16">
        <v>438900</v>
      </c>
      <c r="K225" s="9" t="s">
        <v>86</v>
      </c>
      <c r="L225" s="57"/>
      <c r="M225" s="55"/>
      <c r="N225" s="16">
        <f t="shared" si="2"/>
        <v>3</v>
      </c>
      <c r="O225" s="16">
        <f t="shared" si="1"/>
        <v>2020</v>
      </c>
      <c r="P225" s="34"/>
      <c r="Q225" s="34"/>
      <c r="R225" s="34"/>
      <c r="S225" s="34"/>
      <c r="T225" s="34"/>
      <c r="U225" s="17"/>
      <c r="V225" s="23"/>
      <c r="W225" s="15"/>
      <c r="X225" s="15"/>
      <c r="Y225" s="15"/>
    </row>
    <row r="226" spans="1:25" ht="12.75" x14ac:dyDescent="0.2">
      <c r="A226" s="16">
        <v>71589628</v>
      </c>
      <c r="B226" s="9" t="s">
        <v>778</v>
      </c>
      <c r="C226" s="17" t="s">
        <v>681</v>
      </c>
      <c r="D226" s="9" t="s">
        <v>82</v>
      </c>
      <c r="E226" s="17" t="s">
        <v>83</v>
      </c>
      <c r="F226" s="18">
        <v>43891</v>
      </c>
      <c r="G226" s="24" t="s">
        <v>779</v>
      </c>
      <c r="H226" s="26" t="s">
        <v>411</v>
      </c>
      <c r="I226" s="49" t="str">
        <f>VLOOKUP(H226,VALIDACIONES!$A$2:$B$138,2,0)</f>
        <v>Encasodetransportarcargaconpesosuperioralautorizadoelvehículoseráinmovilizadoyelexcesodeberásertransbordado.</v>
      </c>
      <c r="J226" s="16">
        <v>877803</v>
      </c>
      <c r="K226" s="9" t="s">
        <v>86</v>
      </c>
      <c r="L226" s="57"/>
      <c r="M226" s="55"/>
      <c r="N226" s="16">
        <f t="shared" si="2"/>
        <v>3</v>
      </c>
      <c r="O226" s="16">
        <f t="shared" si="1"/>
        <v>2020</v>
      </c>
      <c r="P226" s="34"/>
      <c r="Q226" s="34"/>
      <c r="R226" s="34"/>
      <c r="S226" s="34"/>
      <c r="T226" s="34"/>
      <c r="U226" s="17"/>
      <c r="V226" s="23"/>
      <c r="W226" s="15"/>
      <c r="X226" s="15"/>
      <c r="Y226" s="15"/>
    </row>
    <row r="227" spans="1:25" ht="25.5" x14ac:dyDescent="0.2">
      <c r="A227" s="16">
        <v>8398250</v>
      </c>
      <c r="B227" s="9" t="s">
        <v>780</v>
      </c>
      <c r="C227" s="17" t="s">
        <v>516</v>
      </c>
      <c r="D227" s="9" t="s">
        <v>82</v>
      </c>
      <c r="E227" s="17" t="s">
        <v>83</v>
      </c>
      <c r="F227" s="18">
        <v>43901</v>
      </c>
      <c r="G227" s="24" t="s">
        <v>517</v>
      </c>
      <c r="H227" s="26" t="s">
        <v>7</v>
      </c>
      <c r="I227" s="49" t="str">
        <f>VLOOKUP(H227,VALIDACIONES!$A$2:$B$138,2,0)</f>
        <v>Transitar por los siguientes sitios restringidos o en horas prohibidas por laautoridad competente. Además, el vehículo será inmovilizado.(verlistado)</v>
      </c>
      <c r="J227" s="16">
        <v>438900</v>
      </c>
      <c r="K227" s="9" t="s">
        <v>86</v>
      </c>
      <c r="L227" s="57"/>
      <c r="M227" s="55"/>
      <c r="N227" s="16">
        <f t="shared" si="2"/>
        <v>3</v>
      </c>
      <c r="O227" s="16">
        <f t="shared" si="1"/>
        <v>2020</v>
      </c>
      <c r="P227" s="34"/>
      <c r="Q227" s="34"/>
      <c r="R227" s="34"/>
      <c r="S227" s="34"/>
      <c r="T227" s="34"/>
      <c r="U227" s="17"/>
      <c r="V227" s="23"/>
      <c r="W227" s="15"/>
      <c r="X227" s="15"/>
      <c r="Y227" s="15"/>
    </row>
    <row r="228" spans="1:25" ht="25.5" x14ac:dyDescent="0.2">
      <c r="A228" s="16">
        <v>79439075</v>
      </c>
      <c r="B228" s="9" t="s">
        <v>757</v>
      </c>
      <c r="C228" s="17" t="s">
        <v>516</v>
      </c>
      <c r="D228" s="9" t="s">
        <v>82</v>
      </c>
      <c r="E228" s="17" t="s">
        <v>251</v>
      </c>
      <c r="F228" s="18">
        <v>43922</v>
      </c>
      <c r="G228" s="24" t="s">
        <v>535</v>
      </c>
      <c r="H228" s="26" t="s">
        <v>5</v>
      </c>
      <c r="I228" s="49" t="str">
        <f>VLOOKUP(H228,VALIDACIONES!$A$2:$B$138,2,0)</f>
        <v>Noutilizarelcinturóndeseguridadporpartedelosocupantesdelvehículoyloscinturonesdeseguridadenlosasientostraserosenlosvehículosfabricadosapartirdelaño2004.</v>
      </c>
      <c r="J228" s="16">
        <v>438900</v>
      </c>
      <c r="K228" s="9" t="s">
        <v>781</v>
      </c>
      <c r="L228" s="57"/>
      <c r="M228" s="55"/>
      <c r="N228" s="16">
        <f t="shared" si="2"/>
        <v>4</v>
      </c>
      <c r="O228" s="16">
        <f t="shared" si="1"/>
        <v>2020</v>
      </c>
      <c r="P228" s="34"/>
      <c r="Q228" s="34"/>
      <c r="R228" s="34"/>
      <c r="S228" s="34"/>
      <c r="T228" s="34"/>
      <c r="U228" s="17"/>
      <c r="V228" s="23"/>
      <c r="W228" s="15"/>
      <c r="X228" s="15"/>
      <c r="Y228" s="15"/>
    </row>
    <row r="229" spans="1:25" ht="25.5" x14ac:dyDescent="0.2">
      <c r="A229" s="16">
        <v>10097380</v>
      </c>
      <c r="B229" s="9" t="s">
        <v>782</v>
      </c>
      <c r="C229" s="17" t="s">
        <v>516</v>
      </c>
      <c r="D229" s="9" t="s">
        <v>82</v>
      </c>
      <c r="E229" s="17" t="s">
        <v>262</v>
      </c>
      <c r="F229" s="18">
        <v>43928</v>
      </c>
      <c r="G229" s="24" t="s">
        <v>527</v>
      </c>
      <c r="H229" s="26" t="s">
        <v>5</v>
      </c>
      <c r="I229" s="49" t="str">
        <f>VLOOKUP(H229,VALIDACIONES!$A$2:$B$138,2,0)</f>
        <v>Noutilizarelcinturóndeseguridadporpartedelosocupantesdelvehículoyloscinturonesdeseguridadenlosasientostraserosenlosvehículosfabricadosapartirdelaño2004.</v>
      </c>
      <c r="J229" s="16">
        <v>438900</v>
      </c>
      <c r="K229" s="9" t="s">
        <v>86</v>
      </c>
      <c r="L229" s="57"/>
      <c r="M229" s="55"/>
      <c r="N229" s="16">
        <f t="shared" si="2"/>
        <v>4</v>
      </c>
      <c r="O229" s="16">
        <f t="shared" si="1"/>
        <v>2020</v>
      </c>
      <c r="P229" s="34"/>
      <c r="Q229" s="34"/>
      <c r="R229" s="34"/>
      <c r="S229" s="34"/>
      <c r="T229" s="34"/>
      <c r="U229" s="17"/>
      <c r="V229" s="23"/>
      <c r="W229" s="15"/>
      <c r="X229" s="15"/>
      <c r="Y229" s="15"/>
    </row>
    <row r="230" spans="1:25" ht="25.5" x14ac:dyDescent="0.2">
      <c r="A230" s="16">
        <v>78589791</v>
      </c>
      <c r="B230" s="9" t="s">
        <v>783</v>
      </c>
      <c r="C230" s="17" t="s">
        <v>516</v>
      </c>
      <c r="D230" s="9" t="s">
        <v>82</v>
      </c>
      <c r="E230" s="17" t="s">
        <v>251</v>
      </c>
      <c r="F230" s="18">
        <v>43967</v>
      </c>
      <c r="G230" s="24" t="s">
        <v>535</v>
      </c>
      <c r="H230" s="26" t="s">
        <v>361</v>
      </c>
      <c r="I230" s="49" t="str">
        <f>VLOOKUP(H230,VALIDACIONES!$A$2:$B$138,2,0)</f>
        <v>Transportarcargadedimensionessuperioresalasautorizadassincumplirconlosrequisitosexigidos.Además,elvehículoseráinmovilizadohastaqueseremediedichasituación.</v>
      </c>
      <c r="J230" s="16">
        <v>438900</v>
      </c>
      <c r="K230" s="9" t="s">
        <v>86</v>
      </c>
      <c r="L230" s="57"/>
      <c r="M230" s="55"/>
      <c r="N230" s="16">
        <f t="shared" si="2"/>
        <v>5</v>
      </c>
      <c r="O230" s="16">
        <f t="shared" si="1"/>
        <v>2020</v>
      </c>
      <c r="P230" s="34"/>
      <c r="Q230" s="34"/>
      <c r="R230" s="34"/>
      <c r="S230" s="34"/>
      <c r="T230" s="34"/>
      <c r="U230" s="17"/>
      <c r="V230" s="23"/>
      <c r="W230" s="15"/>
      <c r="X230" s="15"/>
      <c r="Y230" s="15"/>
    </row>
    <row r="231" spans="1:25" ht="12.75" x14ac:dyDescent="0.2">
      <c r="A231" s="16">
        <v>1093227516</v>
      </c>
      <c r="B231" s="9" t="s">
        <v>726</v>
      </c>
      <c r="C231" s="17" t="s">
        <v>516</v>
      </c>
      <c r="D231" s="9" t="s">
        <v>82</v>
      </c>
      <c r="E231" s="17" t="s">
        <v>262</v>
      </c>
      <c r="F231" s="18">
        <v>43977</v>
      </c>
      <c r="G231" s="24" t="s">
        <v>611</v>
      </c>
      <c r="H231" s="26" t="s">
        <v>32</v>
      </c>
      <c r="I231" s="49" t="str">
        <f>VLOOKUP(H231,VALIDACIONES!$A$2:$B$138,2,0)</f>
        <v>No acatar las señales o requerimientos impartidos por los agentes de Tránsito.</v>
      </c>
      <c r="J231" s="16">
        <v>438902</v>
      </c>
      <c r="K231" s="9" t="s">
        <v>86</v>
      </c>
      <c r="L231" s="57"/>
      <c r="M231" s="55"/>
      <c r="N231" s="16">
        <f t="shared" si="2"/>
        <v>5</v>
      </c>
      <c r="O231" s="16">
        <f t="shared" si="1"/>
        <v>2020</v>
      </c>
      <c r="P231" s="34"/>
      <c r="Q231" s="34"/>
      <c r="R231" s="34"/>
      <c r="S231" s="34"/>
      <c r="T231" s="34"/>
      <c r="U231" s="17"/>
      <c r="V231" s="23"/>
      <c r="W231" s="15"/>
      <c r="X231" s="15"/>
      <c r="Y231" s="15"/>
    </row>
    <row r="232" spans="1:25" ht="12.75" x14ac:dyDescent="0.2">
      <c r="A232" s="16">
        <v>16687993</v>
      </c>
      <c r="B232" s="9" t="s">
        <v>784</v>
      </c>
      <c r="C232" s="17" t="s">
        <v>516</v>
      </c>
      <c r="D232" s="9" t="s">
        <v>82</v>
      </c>
      <c r="E232" s="17" t="s">
        <v>251</v>
      </c>
      <c r="F232" s="18">
        <v>43980</v>
      </c>
      <c r="G232" s="24" t="s">
        <v>535</v>
      </c>
      <c r="H232" s="26" t="s">
        <v>6</v>
      </c>
      <c r="I232" s="49" t="str">
        <f>VLOOKUP(H232,VALIDACIONES!$A$2:$B$138,2,0)</f>
        <v>Noportarcomomínimoelsiguienteequipodeprevenciónyseguridad.(verlistado)</v>
      </c>
      <c r="J232" s="16">
        <v>438900</v>
      </c>
      <c r="K232" s="9" t="s">
        <v>86</v>
      </c>
      <c r="L232" s="57"/>
      <c r="M232" s="55"/>
      <c r="N232" s="16">
        <f t="shared" si="2"/>
        <v>5</v>
      </c>
      <c r="O232" s="16">
        <f t="shared" si="1"/>
        <v>2020</v>
      </c>
      <c r="P232" s="34"/>
      <c r="Q232" s="34"/>
      <c r="R232" s="34"/>
      <c r="S232" s="34"/>
      <c r="T232" s="34"/>
      <c r="U232" s="17"/>
      <c r="V232" s="23"/>
      <c r="W232" s="15"/>
      <c r="X232" s="15"/>
      <c r="Y232" s="15"/>
    </row>
    <row r="233" spans="1:25" ht="12.75" x14ac:dyDescent="0.2">
      <c r="A233" s="16">
        <v>71614529</v>
      </c>
      <c r="B233" s="9" t="s">
        <v>785</v>
      </c>
      <c r="C233" s="17" t="s">
        <v>25</v>
      </c>
      <c r="D233" s="9" t="s">
        <v>25</v>
      </c>
      <c r="E233" s="17" t="s">
        <v>83</v>
      </c>
      <c r="F233" s="18">
        <v>43965</v>
      </c>
      <c r="G233" s="24" t="s">
        <v>557</v>
      </c>
      <c r="H233" s="26" t="s">
        <v>32</v>
      </c>
      <c r="I233" s="49" t="str">
        <f>VLOOKUP(H233,VALIDACIONES!$A$2:$B$138,2,0)</f>
        <v>No acatar las señales o requerimientos impartidos por los agentes de Tránsito.</v>
      </c>
      <c r="J233" s="16">
        <v>438900</v>
      </c>
      <c r="K233" s="9" t="s">
        <v>86</v>
      </c>
      <c r="L233" s="57"/>
      <c r="M233" s="55"/>
      <c r="N233" s="16">
        <f t="shared" si="2"/>
        <v>5</v>
      </c>
      <c r="O233" s="16">
        <f t="shared" si="1"/>
        <v>2020</v>
      </c>
      <c r="P233" s="34"/>
      <c r="Q233" s="34"/>
      <c r="R233" s="34"/>
      <c r="S233" s="34"/>
      <c r="T233" s="34"/>
      <c r="U233" s="17"/>
      <c r="V233" s="23"/>
      <c r="W233" s="15"/>
      <c r="X233" s="15"/>
      <c r="Y233" s="15"/>
    </row>
    <row r="234" spans="1:25" ht="25.5" x14ac:dyDescent="0.2">
      <c r="A234" s="16">
        <v>71653205</v>
      </c>
      <c r="B234" s="9" t="s">
        <v>786</v>
      </c>
      <c r="C234" s="17" t="s">
        <v>516</v>
      </c>
      <c r="D234" s="9" t="s">
        <v>82</v>
      </c>
      <c r="E234" s="17" t="s">
        <v>83</v>
      </c>
      <c r="F234" s="18">
        <v>43959</v>
      </c>
      <c r="G234" s="24" t="s">
        <v>525</v>
      </c>
      <c r="H234" s="26" t="s">
        <v>385</v>
      </c>
      <c r="I234" s="49" t="str">
        <f>VLOOKUP(H234,VALIDACIONES!$A$2:$B$138,2,0)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34" s="16">
        <v>438900</v>
      </c>
      <c r="K234" s="9" t="s">
        <v>86</v>
      </c>
      <c r="L234" s="57"/>
      <c r="M234" s="55"/>
      <c r="N234" s="16">
        <f t="shared" si="2"/>
        <v>5</v>
      </c>
      <c r="O234" s="16">
        <f t="shared" si="1"/>
        <v>2020</v>
      </c>
      <c r="P234" s="34"/>
      <c r="Q234" s="34"/>
      <c r="R234" s="34"/>
      <c r="S234" s="34"/>
      <c r="T234" s="34"/>
      <c r="U234" s="17"/>
      <c r="V234" s="23"/>
      <c r="W234" s="15"/>
      <c r="X234" s="15"/>
      <c r="Y234" s="15"/>
    </row>
    <row r="235" spans="1:25" ht="12.75" x14ac:dyDescent="0.2">
      <c r="A235" s="16">
        <v>98643482</v>
      </c>
      <c r="B235" s="9" t="s">
        <v>787</v>
      </c>
      <c r="C235" s="17" t="s">
        <v>25</v>
      </c>
      <c r="D235" s="9" t="s">
        <v>25</v>
      </c>
      <c r="E235" s="17" t="s">
        <v>83</v>
      </c>
      <c r="F235" s="18">
        <v>43972</v>
      </c>
      <c r="G235" s="24" t="s">
        <v>788</v>
      </c>
      <c r="H235" s="26" t="s">
        <v>15</v>
      </c>
      <c r="I235" s="49" t="str">
        <f>VLOOKUP(H235,VALIDACIONES!$A$2:$B$138,2,0)</f>
        <v>Las demas conductas que constituyan infraccion a las normas de transito y que no se encuentren descritas en este acto administrativo.</v>
      </c>
      <c r="J235" s="16"/>
      <c r="K235" s="9" t="s">
        <v>86</v>
      </c>
      <c r="L235" s="57"/>
      <c r="M235" s="55"/>
      <c r="N235" s="16">
        <f t="shared" si="2"/>
        <v>5</v>
      </c>
      <c r="O235" s="16">
        <f t="shared" si="1"/>
        <v>2020</v>
      </c>
      <c r="P235" s="34"/>
      <c r="Q235" s="34"/>
      <c r="R235" s="34"/>
      <c r="S235" s="34"/>
      <c r="T235" s="34"/>
      <c r="U235" s="17"/>
      <c r="V235" s="23"/>
      <c r="W235" s="15"/>
      <c r="X235" s="15"/>
      <c r="Y235" s="15"/>
    </row>
    <row r="236" spans="1:25" ht="12.75" x14ac:dyDescent="0.2">
      <c r="A236" s="16">
        <v>1018345038</v>
      </c>
      <c r="B236" s="9" t="s">
        <v>789</v>
      </c>
      <c r="C236" s="17" t="s">
        <v>664</v>
      </c>
      <c r="D236" s="9" t="s">
        <v>82</v>
      </c>
      <c r="E236" s="17" t="s">
        <v>83</v>
      </c>
      <c r="F236" s="18">
        <v>44008</v>
      </c>
      <c r="G236" s="24" t="s">
        <v>790</v>
      </c>
      <c r="H236" s="26" t="s">
        <v>411</v>
      </c>
      <c r="I236" s="49" t="str">
        <f>VLOOKUP(H236,VALIDACIONES!$A$2:$B$138,2,0)</f>
        <v>Encasodetransportarcargaconpesosuperioralautorizadoelvehículoseráinmovilizadoyelexcesodeberásertransbordado.</v>
      </c>
      <c r="J236" s="16">
        <v>877803</v>
      </c>
      <c r="K236" s="9" t="s">
        <v>86</v>
      </c>
      <c r="L236" s="57"/>
      <c r="M236" s="55"/>
      <c r="N236" s="16">
        <f t="shared" si="2"/>
        <v>6</v>
      </c>
      <c r="O236" s="16">
        <f t="shared" si="1"/>
        <v>2020</v>
      </c>
      <c r="P236" s="34"/>
      <c r="Q236" s="34"/>
      <c r="R236" s="34"/>
      <c r="S236" s="34"/>
      <c r="T236" s="34"/>
      <c r="U236" s="17"/>
      <c r="V236" s="23"/>
      <c r="W236" s="15"/>
      <c r="X236" s="15"/>
      <c r="Y236" s="15"/>
    </row>
    <row r="237" spans="1:25" ht="38.25" x14ac:dyDescent="0.2">
      <c r="A237" s="16">
        <v>4385199</v>
      </c>
      <c r="B237" s="9" t="s">
        <v>791</v>
      </c>
      <c r="C237" s="17" t="s">
        <v>792</v>
      </c>
      <c r="D237" s="9" t="s">
        <v>82</v>
      </c>
      <c r="E237" s="17" t="s">
        <v>262</v>
      </c>
      <c r="F237" s="18">
        <v>43983</v>
      </c>
      <c r="G237" s="24" t="s">
        <v>527</v>
      </c>
      <c r="H237" s="26" t="s">
        <v>11</v>
      </c>
      <c r="I237" s="49" t="str">
        <f>VLOOKUP(H237,VALIDACIONES!$A$2:$B$138,2,0)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37" s="16">
        <v>438900</v>
      </c>
      <c r="K237" s="9" t="s">
        <v>86</v>
      </c>
      <c r="L237" s="57"/>
      <c r="M237" s="55"/>
      <c r="N237" s="16">
        <f t="shared" si="2"/>
        <v>6</v>
      </c>
      <c r="O237" s="16">
        <f t="shared" si="1"/>
        <v>2020</v>
      </c>
      <c r="P237" s="34"/>
      <c r="Q237" s="34"/>
      <c r="R237" s="34"/>
      <c r="S237" s="34"/>
      <c r="T237" s="34"/>
      <c r="U237" s="17"/>
      <c r="V237" s="23"/>
      <c r="W237" s="15"/>
      <c r="X237" s="15"/>
      <c r="Y237" s="15"/>
    </row>
    <row r="238" spans="1:25" ht="12.75" x14ac:dyDescent="0.2">
      <c r="A238" s="16">
        <v>16687993</v>
      </c>
      <c r="B238" s="9" t="s">
        <v>784</v>
      </c>
      <c r="C238" s="17" t="s">
        <v>516</v>
      </c>
      <c r="D238" s="9" t="s">
        <v>82</v>
      </c>
      <c r="E238" s="17" t="s">
        <v>251</v>
      </c>
      <c r="F238" s="18">
        <v>43987</v>
      </c>
      <c r="G238" s="24" t="s">
        <v>535</v>
      </c>
      <c r="H238" s="26" t="s">
        <v>276</v>
      </c>
      <c r="I238" s="49" t="str">
        <f>VLOOKUP(H238,VALIDACIONES!$A$2:$B$138,2,0)</f>
        <v>Conducir un vehículo sin llevar consigo la licencia de conducción.</v>
      </c>
      <c r="J238" s="16">
        <v>234080</v>
      </c>
      <c r="K238" s="9" t="s">
        <v>86</v>
      </c>
      <c r="L238" s="57"/>
      <c r="M238" s="55"/>
      <c r="N238" s="16">
        <f t="shared" si="2"/>
        <v>6</v>
      </c>
      <c r="O238" s="16">
        <f t="shared" si="1"/>
        <v>2020</v>
      </c>
      <c r="P238" s="34"/>
      <c r="Q238" s="34"/>
      <c r="R238" s="34"/>
      <c r="S238" s="34"/>
      <c r="T238" s="34"/>
      <c r="U238" s="17"/>
      <c r="V238" s="23"/>
      <c r="W238" s="15"/>
      <c r="X238" s="15"/>
      <c r="Y238" s="15"/>
    </row>
    <row r="239" spans="1:25" ht="38.25" x14ac:dyDescent="0.2">
      <c r="A239" s="16">
        <v>15928517</v>
      </c>
      <c r="B239" s="9" t="s">
        <v>679</v>
      </c>
      <c r="C239" s="17" t="s">
        <v>664</v>
      </c>
      <c r="D239" s="9" t="s">
        <v>82</v>
      </c>
      <c r="E239" s="17" t="s">
        <v>83</v>
      </c>
      <c r="F239" s="18">
        <v>44026</v>
      </c>
      <c r="G239" s="24" t="s">
        <v>533</v>
      </c>
      <c r="H239" s="26" t="s">
        <v>11</v>
      </c>
      <c r="I239" s="49" t="str">
        <f>VLOOKUP(H239,VALIDACIONES!$A$2:$B$138,2,0)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39" s="16">
        <v>438900</v>
      </c>
      <c r="K239" s="9" t="s">
        <v>86</v>
      </c>
      <c r="L239" s="57"/>
      <c r="M239" s="55"/>
      <c r="N239" s="16">
        <f t="shared" si="2"/>
        <v>7</v>
      </c>
      <c r="O239" s="16">
        <f t="shared" si="1"/>
        <v>2020</v>
      </c>
      <c r="P239" s="34"/>
      <c r="Q239" s="34"/>
      <c r="R239" s="34"/>
      <c r="S239" s="34"/>
      <c r="T239" s="34"/>
      <c r="U239" s="17"/>
      <c r="V239" s="23"/>
      <c r="W239" s="15"/>
      <c r="X239" s="15"/>
      <c r="Y239" s="15"/>
    </row>
    <row r="240" spans="1:25" ht="38.25" x14ac:dyDescent="0.2">
      <c r="A240" s="16">
        <v>71274383</v>
      </c>
      <c r="B240" s="9" t="s">
        <v>763</v>
      </c>
      <c r="C240" s="17" t="s">
        <v>664</v>
      </c>
      <c r="D240" s="9" t="s">
        <v>82</v>
      </c>
      <c r="E240" s="17" t="s">
        <v>83</v>
      </c>
      <c r="F240" s="18">
        <v>44040</v>
      </c>
      <c r="G240" s="24" t="s">
        <v>533</v>
      </c>
      <c r="H240" s="26" t="s">
        <v>11</v>
      </c>
      <c r="I240" s="49" t="str">
        <f>VLOOKUP(H240,VALIDACIONES!$A$2:$B$138,2,0)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40" s="16">
        <v>438900</v>
      </c>
      <c r="K240" s="9" t="s">
        <v>86</v>
      </c>
      <c r="L240" s="57"/>
      <c r="M240" s="55"/>
      <c r="N240" s="16">
        <f t="shared" si="2"/>
        <v>7</v>
      </c>
      <c r="O240" s="16">
        <f t="shared" si="1"/>
        <v>2020</v>
      </c>
      <c r="P240" s="34"/>
      <c r="Q240" s="34"/>
      <c r="R240" s="34"/>
      <c r="S240" s="34"/>
      <c r="T240" s="34"/>
      <c r="U240" s="17"/>
      <c r="V240" s="23"/>
      <c r="W240" s="15"/>
      <c r="X240" s="15"/>
      <c r="Y240" s="15"/>
    </row>
    <row r="241" spans="1:25" ht="12.75" x14ac:dyDescent="0.2">
      <c r="A241" s="16">
        <v>1128283475</v>
      </c>
      <c r="B241" s="9" t="s">
        <v>748</v>
      </c>
      <c r="C241" s="17" t="s">
        <v>664</v>
      </c>
      <c r="D241" s="9" t="s">
        <v>82</v>
      </c>
      <c r="E241" s="17" t="s">
        <v>83</v>
      </c>
      <c r="F241" s="18">
        <v>44024</v>
      </c>
      <c r="G241" s="24" t="s">
        <v>517</v>
      </c>
      <c r="H241" s="26" t="s">
        <v>97</v>
      </c>
      <c r="I241" s="49" t="e">
        <f>VLOOKUP(H241,VALIDACIONES!$A$2:$B$138,2,0)</f>
        <v>#N/A</v>
      </c>
      <c r="J241" s="16"/>
      <c r="K241" s="9" t="s">
        <v>86</v>
      </c>
      <c r="L241" s="57"/>
      <c r="M241" s="55"/>
      <c r="N241" s="16">
        <f t="shared" si="2"/>
        <v>7</v>
      </c>
      <c r="O241" s="16">
        <f t="shared" si="1"/>
        <v>2020</v>
      </c>
      <c r="P241" s="34"/>
      <c r="Q241" s="34"/>
      <c r="R241" s="34"/>
      <c r="S241" s="34"/>
      <c r="T241" s="34"/>
      <c r="U241" s="17"/>
      <c r="V241" s="23"/>
      <c r="W241" s="15"/>
      <c r="X241" s="15"/>
      <c r="Y241" s="15"/>
    </row>
    <row r="242" spans="1:25" ht="25.5" x14ac:dyDescent="0.2">
      <c r="A242" s="16">
        <v>71729982</v>
      </c>
      <c r="B242" s="9" t="s">
        <v>793</v>
      </c>
      <c r="C242" s="17" t="s">
        <v>794</v>
      </c>
      <c r="D242" s="9" t="s">
        <v>82</v>
      </c>
      <c r="E242" s="17" t="s">
        <v>83</v>
      </c>
      <c r="F242" s="18">
        <v>44029</v>
      </c>
      <c r="G242" s="24" t="s">
        <v>530</v>
      </c>
      <c r="H242" s="26" t="s">
        <v>385</v>
      </c>
      <c r="I242" s="49" t="str">
        <f>VLOOKUP(H242,VALIDACIONES!$A$2:$B$138,2,0)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42" s="16">
        <v>274312</v>
      </c>
      <c r="K242" s="9" t="s">
        <v>781</v>
      </c>
      <c r="L242" s="57"/>
      <c r="M242" s="55"/>
      <c r="N242" s="16">
        <f t="shared" si="2"/>
        <v>7</v>
      </c>
      <c r="O242" s="16">
        <f t="shared" si="1"/>
        <v>2020</v>
      </c>
      <c r="P242" s="34"/>
      <c r="Q242" s="34"/>
      <c r="R242" s="34"/>
      <c r="S242" s="34"/>
      <c r="T242" s="34"/>
      <c r="U242" s="17"/>
      <c r="V242" s="23"/>
      <c r="W242" s="15"/>
      <c r="X242" s="15"/>
      <c r="Y242" s="15"/>
    </row>
    <row r="243" spans="1:25" ht="25.5" x14ac:dyDescent="0.2">
      <c r="A243" s="16">
        <v>1040730986</v>
      </c>
      <c r="B243" s="9" t="s">
        <v>795</v>
      </c>
      <c r="C243" s="17" t="s">
        <v>25</v>
      </c>
      <c r="D243" s="9" t="s">
        <v>25</v>
      </c>
      <c r="E243" s="17" t="s">
        <v>83</v>
      </c>
      <c r="F243" s="18">
        <v>44025</v>
      </c>
      <c r="G243" s="24" t="s">
        <v>533</v>
      </c>
      <c r="H243" s="26" t="s">
        <v>10</v>
      </c>
      <c r="I243" s="49" t="str">
        <f>VLOOKUP(H243,VALIDACIONES!$A$2:$B$138,2,0)</f>
        <v>Conducir un vehículo a velocidad superior a la máxima permitida, la cual deberá estar señalizada en forma sectorizada, no obstante esta no podrá ser superior a (verlistado)</v>
      </c>
      <c r="J243" s="16">
        <v>438900</v>
      </c>
      <c r="K243" s="9" t="s">
        <v>86</v>
      </c>
      <c r="L243" s="57"/>
      <c r="M243" s="55"/>
      <c r="N243" s="16">
        <f t="shared" si="2"/>
        <v>7</v>
      </c>
      <c r="O243" s="16">
        <f t="shared" si="1"/>
        <v>2020</v>
      </c>
      <c r="P243" s="34"/>
      <c r="Q243" s="34"/>
      <c r="R243" s="34"/>
      <c r="S243" s="34"/>
      <c r="T243" s="34"/>
      <c r="U243" s="17"/>
      <c r="V243" s="23"/>
      <c r="W243" s="15"/>
      <c r="X243" s="15"/>
      <c r="Y243" s="15"/>
    </row>
    <row r="244" spans="1:25" ht="12.75" x14ac:dyDescent="0.2">
      <c r="A244" s="16">
        <v>70562816</v>
      </c>
      <c r="B244" s="9" t="s">
        <v>796</v>
      </c>
      <c r="C244" s="17" t="s">
        <v>516</v>
      </c>
      <c r="D244" s="9" t="s">
        <v>82</v>
      </c>
      <c r="E244" s="17" t="s">
        <v>83</v>
      </c>
      <c r="F244" s="18">
        <v>44051</v>
      </c>
      <c r="G244" s="24" t="s">
        <v>797</v>
      </c>
      <c r="H244" s="26" t="s">
        <v>319</v>
      </c>
      <c r="I244" s="49" t="str">
        <f>VLOOKUP(H244,VALIDACIONES!$A$2:$B$138,2,0)</f>
        <v>Lavarvehículosenvíapública,enríos,encanales,enquebradas,etc.</v>
      </c>
      <c r="J244" s="16">
        <v>234080</v>
      </c>
      <c r="K244" s="9" t="s">
        <v>86</v>
      </c>
      <c r="L244" s="57"/>
      <c r="M244" s="55"/>
      <c r="N244" s="16">
        <f t="shared" si="2"/>
        <v>8</v>
      </c>
      <c r="O244" s="16">
        <f t="shared" si="1"/>
        <v>2020</v>
      </c>
      <c r="P244" s="34"/>
      <c r="Q244" s="34"/>
      <c r="R244" s="34"/>
      <c r="S244" s="34"/>
      <c r="T244" s="34"/>
      <c r="U244" s="17"/>
      <c r="V244" s="23"/>
      <c r="W244" s="15"/>
      <c r="X244" s="15"/>
      <c r="Y244" s="15"/>
    </row>
    <row r="245" spans="1:25" ht="51" x14ac:dyDescent="0.2">
      <c r="A245" s="16">
        <v>1128269859</v>
      </c>
      <c r="B245" s="9" t="s">
        <v>798</v>
      </c>
      <c r="C245" s="17" t="s">
        <v>794</v>
      </c>
      <c r="D245" s="9" t="s">
        <v>82</v>
      </c>
      <c r="E245" s="17" t="s">
        <v>83</v>
      </c>
      <c r="F245" s="18">
        <v>44056</v>
      </c>
      <c r="G245" s="24" t="s">
        <v>761</v>
      </c>
      <c r="H245" s="26" t="s">
        <v>335</v>
      </c>
      <c r="I245" s="49" t="str">
        <f>VLOOKUP(H245,VALIDACIONES!$A$2:$B$138,2,0)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45" s="16">
        <v>438902</v>
      </c>
      <c r="K245" s="9" t="s">
        <v>86</v>
      </c>
      <c r="L245" s="57"/>
      <c r="M245" s="55"/>
      <c r="N245" s="16">
        <f t="shared" si="2"/>
        <v>8</v>
      </c>
      <c r="O245" s="16">
        <f t="shared" si="1"/>
        <v>2020</v>
      </c>
      <c r="P245" s="34"/>
      <c r="Q245" s="34"/>
      <c r="R245" s="34"/>
      <c r="S245" s="34"/>
      <c r="T245" s="34"/>
      <c r="U245" s="17"/>
      <c r="V245" s="23"/>
      <c r="W245" s="15"/>
      <c r="X245" s="15"/>
      <c r="Y245" s="15"/>
    </row>
    <row r="246" spans="1:25" ht="38.25" x14ac:dyDescent="0.2">
      <c r="A246" s="16">
        <v>70126634</v>
      </c>
      <c r="B246" s="9" t="s">
        <v>799</v>
      </c>
      <c r="C246" s="17" t="s">
        <v>516</v>
      </c>
      <c r="D246" s="9" t="s">
        <v>82</v>
      </c>
      <c r="E246" s="17" t="s">
        <v>83</v>
      </c>
      <c r="F246" s="18">
        <v>44132</v>
      </c>
      <c r="G246" s="24" t="s">
        <v>517</v>
      </c>
      <c r="H246" s="26" t="s">
        <v>11</v>
      </c>
      <c r="I246" s="49" t="str">
        <f>VLOOKUP(H246,VALIDACIONES!$A$2:$B$138,2,0)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46" s="16">
        <v>438900</v>
      </c>
      <c r="K246" s="9" t="s">
        <v>86</v>
      </c>
      <c r="L246" s="57"/>
      <c r="M246" s="55"/>
      <c r="N246" s="16">
        <f t="shared" si="2"/>
        <v>10</v>
      </c>
      <c r="O246" s="16">
        <f t="shared" si="1"/>
        <v>2020</v>
      </c>
      <c r="P246" s="34"/>
      <c r="Q246" s="34"/>
      <c r="R246" s="34"/>
      <c r="S246" s="34"/>
      <c r="T246" s="34"/>
      <c r="U246" s="17"/>
      <c r="V246" s="23"/>
      <c r="W246" s="15"/>
      <c r="X246" s="15"/>
      <c r="Y246" s="15"/>
    </row>
    <row r="247" spans="1:25" ht="12.75" x14ac:dyDescent="0.2">
      <c r="A247" s="16">
        <v>94413755</v>
      </c>
      <c r="B247" s="9" t="s">
        <v>800</v>
      </c>
      <c r="C247" s="17" t="s">
        <v>516</v>
      </c>
      <c r="D247" s="9" t="s">
        <v>82</v>
      </c>
      <c r="E247" s="17" t="s">
        <v>251</v>
      </c>
      <c r="F247" s="18">
        <v>44119</v>
      </c>
      <c r="G247" s="24" t="s">
        <v>535</v>
      </c>
      <c r="H247" s="26" t="s">
        <v>32</v>
      </c>
      <c r="I247" s="49" t="str">
        <f>VLOOKUP(H247,VALIDACIONES!$A$2:$B$138,2,0)</f>
        <v>No acatar las señales o requerimientos impartidos por los agentes de Tránsito.</v>
      </c>
      <c r="J247" s="16">
        <v>438900</v>
      </c>
      <c r="K247" s="9" t="s">
        <v>86</v>
      </c>
      <c r="L247" s="57"/>
      <c r="M247" s="55"/>
      <c r="N247" s="16">
        <f t="shared" si="2"/>
        <v>10</v>
      </c>
      <c r="O247" s="16">
        <f t="shared" si="1"/>
        <v>2020</v>
      </c>
      <c r="P247" s="34"/>
      <c r="Q247" s="34"/>
      <c r="R247" s="34"/>
      <c r="S247" s="34"/>
      <c r="T247" s="34"/>
      <c r="U247" s="17"/>
      <c r="V247" s="23"/>
      <c r="W247" s="15"/>
      <c r="X247" s="15"/>
      <c r="Y247" s="15"/>
    </row>
    <row r="248" spans="1:25" ht="12.75" x14ac:dyDescent="0.2">
      <c r="A248" s="16">
        <v>71227537</v>
      </c>
      <c r="B248" s="9" t="s">
        <v>801</v>
      </c>
      <c r="C248" s="17" t="s">
        <v>794</v>
      </c>
      <c r="D248" s="9" t="s">
        <v>82</v>
      </c>
      <c r="E248" s="76" t="s">
        <v>83</v>
      </c>
      <c r="F248" s="18">
        <v>44161</v>
      </c>
      <c r="G248" s="24" t="s">
        <v>764</v>
      </c>
      <c r="H248" s="26" t="s">
        <v>4</v>
      </c>
      <c r="I248" s="49" t="str">
        <f>VLOOKUP(H248,VALIDACIONES!$A$2:$B$138,2,0)</f>
        <v>Estacionar un vehículo en los sitios prohibidos por el Código Nacional de Tránsito, reglamentado por la Res.3027.</v>
      </c>
      <c r="J248" s="16"/>
      <c r="K248" s="9" t="s">
        <v>86</v>
      </c>
      <c r="L248" s="57"/>
      <c r="M248" s="55"/>
      <c r="N248" s="16">
        <f t="shared" si="2"/>
        <v>11</v>
      </c>
      <c r="O248" s="16">
        <f t="shared" si="1"/>
        <v>2020</v>
      </c>
      <c r="P248" s="34"/>
      <c r="Q248" s="34"/>
      <c r="R248" s="34"/>
      <c r="S248" s="34"/>
      <c r="T248" s="34"/>
      <c r="U248" s="17"/>
      <c r="V248" s="23"/>
      <c r="W248" s="15"/>
      <c r="X248" s="15"/>
      <c r="Y248" s="15"/>
    </row>
    <row r="249" spans="1:25" ht="12.75" x14ac:dyDescent="0.2">
      <c r="A249" s="16">
        <v>70099852</v>
      </c>
      <c r="B249" s="9" t="s">
        <v>802</v>
      </c>
      <c r="C249" s="17" t="s">
        <v>516</v>
      </c>
      <c r="D249" s="9" t="s">
        <v>82</v>
      </c>
      <c r="E249" s="17" t="s">
        <v>83</v>
      </c>
      <c r="F249" s="18">
        <v>44163</v>
      </c>
      <c r="G249" s="24" t="s">
        <v>517</v>
      </c>
      <c r="H249" s="26" t="s">
        <v>15</v>
      </c>
      <c r="I249" s="49" t="str">
        <f>VLOOKUP(H249,VALIDACIONES!$A$2:$B$138,2,0)</f>
        <v>Las demas conductas que constituyan infraccion a las normas de transito y que no se encuentren descritas en este acto administrativo.</v>
      </c>
      <c r="J249" s="16"/>
      <c r="K249" s="9" t="s">
        <v>86</v>
      </c>
      <c r="L249" s="57"/>
      <c r="M249" s="55"/>
      <c r="N249" s="16">
        <f t="shared" si="2"/>
        <v>11</v>
      </c>
      <c r="O249" s="16">
        <f t="shared" si="1"/>
        <v>2020</v>
      </c>
      <c r="P249" s="34"/>
      <c r="Q249" s="34"/>
      <c r="R249" s="34"/>
      <c r="S249" s="34"/>
      <c r="T249" s="34"/>
      <c r="U249" s="17"/>
      <c r="V249" s="23"/>
      <c r="W249" s="15"/>
      <c r="X249" s="15"/>
      <c r="Y249" s="15"/>
    </row>
    <row r="250" spans="1:25" ht="38.25" x14ac:dyDescent="0.2">
      <c r="A250" s="16">
        <v>1017211053</v>
      </c>
      <c r="B250" s="9" t="s">
        <v>803</v>
      </c>
      <c r="C250" s="9" t="s">
        <v>522</v>
      </c>
      <c r="D250" s="9" t="s">
        <v>82</v>
      </c>
      <c r="E250" s="17" t="s">
        <v>83</v>
      </c>
      <c r="F250" s="18">
        <v>44140</v>
      </c>
      <c r="G250" s="24" t="s">
        <v>686</v>
      </c>
      <c r="H250" s="26" t="s">
        <v>397</v>
      </c>
      <c r="I250" s="49" t="str">
        <f>VLOOKUP(H250,VALIDACIONES!$A$2:$B$138,2,0)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250" s="16"/>
      <c r="K250" s="9" t="s">
        <v>86</v>
      </c>
      <c r="L250" s="57"/>
      <c r="M250" s="55"/>
      <c r="N250" s="16">
        <f t="shared" si="2"/>
        <v>11</v>
      </c>
      <c r="O250" s="16">
        <f t="shared" si="1"/>
        <v>2020</v>
      </c>
      <c r="P250" s="34"/>
      <c r="Q250" s="34"/>
      <c r="R250" s="34"/>
      <c r="S250" s="34"/>
      <c r="T250" s="34"/>
      <c r="U250" s="17"/>
      <c r="V250" s="23"/>
      <c r="W250" s="15"/>
      <c r="X250" s="15"/>
      <c r="Y250" s="15"/>
    </row>
    <row r="251" spans="1:25" ht="38.25" x14ac:dyDescent="0.2">
      <c r="A251" s="16">
        <v>1152466310</v>
      </c>
      <c r="B251" s="9" t="s">
        <v>804</v>
      </c>
      <c r="C251" s="17" t="s">
        <v>664</v>
      </c>
      <c r="D251" s="9" t="s">
        <v>82</v>
      </c>
      <c r="E251" s="17" t="s">
        <v>83</v>
      </c>
      <c r="F251" s="18">
        <v>44147</v>
      </c>
      <c r="G251" s="24" t="s">
        <v>517</v>
      </c>
      <c r="H251" s="26" t="s">
        <v>11</v>
      </c>
      <c r="I251" s="49" t="str">
        <f>VLOOKUP(H251,VALIDACIONES!$A$2:$B$138,2,0)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51" s="16"/>
      <c r="K251" s="9" t="s">
        <v>86</v>
      </c>
      <c r="L251" s="57"/>
      <c r="M251" s="55"/>
      <c r="N251" s="16">
        <f t="shared" si="2"/>
        <v>11</v>
      </c>
      <c r="O251" s="16">
        <f t="shared" si="1"/>
        <v>2020</v>
      </c>
      <c r="P251" s="34"/>
      <c r="Q251" s="34"/>
      <c r="R251" s="34"/>
      <c r="S251" s="34"/>
      <c r="T251" s="34"/>
      <c r="U251" s="17"/>
      <c r="V251" s="23"/>
      <c r="W251" s="15"/>
      <c r="X251" s="15"/>
      <c r="Y251" s="15"/>
    </row>
    <row r="252" spans="1:25" ht="51" x14ac:dyDescent="0.2">
      <c r="A252" s="16">
        <v>78589791</v>
      </c>
      <c r="B252" s="9" t="s">
        <v>783</v>
      </c>
      <c r="C252" s="17" t="s">
        <v>516</v>
      </c>
      <c r="D252" s="9" t="s">
        <v>82</v>
      </c>
      <c r="E252" s="17" t="s">
        <v>251</v>
      </c>
      <c r="F252" s="18">
        <v>44182</v>
      </c>
      <c r="G252" s="24" t="s">
        <v>535</v>
      </c>
      <c r="H252" s="26" t="s">
        <v>335</v>
      </c>
      <c r="I252" s="49" t="str">
        <f>VLOOKUP(H252,VALIDACIONES!$A$2:$B$138,2,0)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52" s="16">
        <v>303512</v>
      </c>
      <c r="K252" s="9" t="s">
        <v>86</v>
      </c>
      <c r="L252" s="57"/>
      <c r="M252" s="55"/>
      <c r="N252" s="16">
        <f t="shared" si="2"/>
        <v>12</v>
      </c>
      <c r="O252" s="16">
        <f t="shared" si="1"/>
        <v>2020</v>
      </c>
      <c r="P252" s="34"/>
      <c r="Q252" s="34"/>
      <c r="R252" s="34"/>
      <c r="S252" s="34"/>
      <c r="T252" s="34"/>
      <c r="U252" s="17"/>
      <c r="V252" s="23"/>
      <c r="W252" s="15"/>
      <c r="X252" s="15"/>
      <c r="Y252" s="15"/>
    </row>
    <row r="253" spans="1:25" ht="25.5" x14ac:dyDescent="0.2">
      <c r="A253" s="16">
        <v>71789160</v>
      </c>
      <c r="B253" s="9" t="s">
        <v>805</v>
      </c>
      <c r="C253" s="17" t="s">
        <v>25</v>
      </c>
      <c r="D253" s="9" t="s">
        <v>25</v>
      </c>
      <c r="E253" s="17" t="s">
        <v>83</v>
      </c>
      <c r="F253" s="18">
        <v>44167</v>
      </c>
      <c r="G253" s="24" t="s">
        <v>533</v>
      </c>
      <c r="H253" s="26" t="s">
        <v>10</v>
      </c>
      <c r="I253" s="49" t="str">
        <f>VLOOKUP(H253,VALIDACIONES!$A$2:$B$138,2,0)</f>
        <v>Conducir un vehículo a velocidad superior a la máxima permitida, la cual deberá estar señalizada en forma sectorizada, no obstante esta no podrá ser superior a (verlistado)</v>
      </c>
      <c r="J253" s="16">
        <v>438900</v>
      </c>
      <c r="K253" s="9" t="s">
        <v>86</v>
      </c>
      <c r="L253" s="57"/>
      <c r="M253" s="55"/>
      <c r="N253" s="16">
        <f t="shared" si="2"/>
        <v>12</v>
      </c>
      <c r="O253" s="16">
        <f t="shared" si="1"/>
        <v>2020</v>
      </c>
      <c r="P253" s="34"/>
      <c r="Q253" s="34"/>
      <c r="R253" s="34"/>
      <c r="S253" s="34"/>
      <c r="T253" s="34"/>
      <c r="U253" s="17"/>
      <c r="V253" s="23"/>
      <c r="W253" s="15"/>
      <c r="X253" s="15"/>
      <c r="Y253" s="15"/>
    </row>
    <row r="254" spans="1:25" ht="25.5" x14ac:dyDescent="0.2">
      <c r="A254" s="16">
        <v>98607503</v>
      </c>
      <c r="B254" s="9" t="s">
        <v>806</v>
      </c>
      <c r="C254" s="17" t="s">
        <v>516</v>
      </c>
      <c r="D254" s="9" t="s">
        <v>82</v>
      </c>
      <c r="E254" s="17" t="s">
        <v>83</v>
      </c>
      <c r="F254" s="18">
        <v>44194</v>
      </c>
      <c r="G254" s="24" t="s">
        <v>764</v>
      </c>
      <c r="H254" s="26" t="s">
        <v>468</v>
      </c>
      <c r="I254" s="49" t="str">
        <f>VLOOKUP(H254,VALIDACIONES!$A$2:$B$138,2,0)</f>
        <v>El conductor, pasajero o peaton, que obstaculice, perjudique o ponga en riesgo a las demas personas o que no cumpla las normas y señales de transito que le sean aplicables o no obedezca las indicaciones que les den las autoridades de tránsito.</v>
      </c>
      <c r="J254" s="16">
        <v>146300</v>
      </c>
      <c r="K254" s="9" t="s">
        <v>86</v>
      </c>
      <c r="L254" s="57"/>
      <c r="M254" s="55"/>
      <c r="N254" s="16">
        <f t="shared" si="2"/>
        <v>12</v>
      </c>
      <c r="O254" s="16">
        <f t="shared" si="1"/>
        <v>2020</v>
      </c>
      <c r="P254" s="34"/>
      <c r="Q254" s="34"/>
      <c r="R254" s="34"/>
      <c r="S254" s="34"/>
      <c r="T254" s="34"/>
      <c r="U254" s="17"/>
      <c r="V254" s="23"/>
      <c r="W254" s="15"/>
      <c r="X254" s="15"/>
      <c r="Y254" s="15"/>
    </row>
    <row r="255" spans="1:25" ht="12.75" x14ac:dyDescent="0.2">
      <c r="A255" s="16">
        <v>71622453</v>
      </c>
      <c r="B255" s="9" t="s">
        <v>807</v>
      </c>
      <c r="C255" s="17" t="s">
        <v>664</v>
      </c>
      <c r="D255" s="9" t="s">
        <v>82</v>
      </c>
      <c r="E255" s="17" t="s">
        <v>83</v>
      </c>
      <c r="F255" s="18">
        <v>44183</v>
      </c>
      <c r="G255" s="24" t="s">
        <v>517</v>
      </c>
      <c r="H255" s="26">
        <v>300</v>
      </c>
      <c r="I255" s="49" t="str">
        <f>VLOOKUP(H255,VALIDACIONES!$A$2:$B$138,2,0)</f>
        <v>Acuerdo de pago incumplido</v>
      </c>
      <c r="J255" s="16">
        <v>1788885</v>
      </c>
      <c r="K255" s="9" t="s">
        <v>86</v>
      </c>
      <c r="L255" s="57"/>
      <c r="M255" s="55"/>
      <c r="N255" s="16">
        <f t="shared" si="2"/>
        <v>12</v>
      </c>
      <c r="O255" s="16">
        <f t="shared" si="1"/>
        <v>2020</v>
      </c>
      <c r="P255" s="34"/>
      <c r="Q255" s="34"/>
      <c r="R255" s="34"/>
      <c r="S255" s="34"/>
      <c r="T255" s="34"/>
      <c r="U255" s="17"/>
      <c r="V255" s="23"/>
      <c r="W255" s="15"/>
      <c r="X255" s="15"/>
      <c r="Y255" s="15"/>
    </row>
    <row r="256" spans="1:25" ht="12.75" x14ac:dyDescent="0.2">
      <c r="A256" s="16">
        <v>71316283</v>
      </c>
      <c r="B256" s="9" t="s">
        <v>808</v>
      </c>
      <c r="C256" s="17" t="s">
        <v>516</v>
      </c>
      <c r="D256" s="9" t="s">
        <v>82</v>
      </c>
      <c r="E256" s="17" t="s">
        <v>83</v>
      </c>
      <c r="F256" s="18">
        <v>44247</v>
      </c>
      <c r="G256" s="24" t="s">
        <v>601</v>
      </c>
      <c r="H256" s="26" t="s">
        <v>466</v>
      </c>
      <c r="I256" s="49" t="str">
        <f>VLOOKUP(H256,VALIDACIONES!$A$2:$B$138,2,0)</f>
        <v>El conductor que no porte la licencia de tránsito, además el vehículo será inmovilizado.</v>
      </c>
      <c r="J256" s="16">
        <v>149185</v>
      </c>
      <c r="K256" s="9" t="s">
        <v>809</v>
      </c>
      <c r="L256" s="57"/>
      <c r="M256" s="55"/>
      <c r="N256" s="16">
        <f t="shared" si="2"/>
        <v>2</v>
      </c>
      <c r="O256" s="16">
        <f t="shared" si="1"/>
        <v>2021</v>
      </c>
      <c r="P256" s="34"/>
      <c r="Q256" s="34"/>
      <c r="R256" s="34"/>
      <c r="S256" s="34"/>
      <c r="T256" s="34"/>
      <c r="U256" s="17"/>
      <c r="V256" s="23"/>
      <c r="W256" s="15"/>
      <c r="X256" s="15"/>
      <c r="Y256" s="15"/>
    </row>
    <row r="257" spans="1:25" ht="38.25" x14ac:dyDescent="0.2">
      <c r="A257" s="16">
        <v>70120807</v>
      </c>
      <c r="B257" s="9" t="s">
        <v>810</v>
      </c>
      <c r="C257" s="17" t="s">
        <v>516</v>
      </c>
      <c r="D257" s="9" t="s">
        <v>82</v>
      </c>
      <c r="E257" s="17" t="s">
        <v>83</v>
      </c>
      <c r="F257" s="18">
        <v>44231</v>
      </c>
      <c r="G257" s="24" t="s">
        <v>533</v>
      </c>
      <c r="H257" s="26" t="s">
        <v>11</v>
      </c>
      <c r="I257" s="49" t="str">
        <f>VLOOKUP(H257,VALIDACIONES!$A$2:$B$138,2,0)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57" s="16">
        <v>447555</v>
      </c>
      <c r="K257" s="9" t="s">
        <v>809</v>
      </c>
      <c r="L257" s="57"/>
      <c r="M257" s="55"/>
      <c r="N257" s="16">
        <f t="shared" si="2"/>
        <v>2</v>
      </c>
      <c r="O257" s="16">
        <f t="shared" ref="O257:O302" si="3">YEAR(F257)</f>
        <v>2021</v>
      </c>
      <c r="P257" s="34"/>
      <c r="Q257" s="34"/>
      <c r="R257" s="34"/>
      <c r="S257" s="34"/>
      <c r="T257" s="34"/>
      <c r="U257" s="17"/>
      <c r="V257" s="23"/>
      <c r="W257" s="15"/>
      <c r="X257" s="15"/>
      <c r="Y257" s="15"/>
    </row>
    <row r="258" spans="1:25" ht="25.5" x14ac:dyDescent="0.2">
      <c r="A258" s="16">
        <v>15355297</v>
      </c>
      <c r="B258" s="9" t="s">
        <v>811</v>
      </c>
      <c r="C258" s="17" t="s">
        <v>516</v>
      </c>
      <c r="D258" s="9" t="s">
        <v>82</v>
      </c>
      <c r="E258" s="17" t="s">
        <v>268</v>
      </c>
      <c r="F258" s="18">
        <v>44246</v>
      </c>
      <c r="G258" s="24" t="s">
        <v>766</v>
      </c>
      <c r="H258" s="26" t="s">
        <v>385</v>
      </c>
      <c r="I258" s="49" t="str">
        <f>VLOOKUP(H258,VALIDACIONES!$A$2:$B$138,2,0)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58" s="16">
        <v>447555</v>
      </c>
      <c r="K258" s="9" t="s">
        <v>809</v>
      </c>
      <c r="L258" s="57"/>
      <c r="M258" s="55"/>
      <c r="N258" s="16">
        <f t="shared" si="2"/>
        <v>2</v>
      </c>
      <c r="O258" s="16">
        <f t="shared" si="3"/>
        <v>2021</v>
      </c>
      <c r="P258" s="34"/>
      <c r="Q258" s="34"/>
      <c r="R258" s="34"/>
      <c r="S258" s="34"/>
      <c r="T258" s="34"/>
      <c r="U258" s="17"/>
      <c r="V258" s="23"/>
      <c r="W258" s="15"/>
      <c r="X258" s="15"/>
      <c r="Y258" s="15"/>
    </row>
    <row r="259" spans="1:25" ht="12.75" x14ac:dyDescent="0.2">
      <c r="A259" s="16">
        <v>71590420</v>
      </c>
      <c r="B259" s="9" t="s">
        <v>812</v>
      </c>
      <c r="C259" s="17" t="s">
        <v>516</v>
      </c>
      <c r="D259" s="9" t="s">
        <v>82</v>
      </c>
      <c r="E259" s="17" t="s">
        <v>83</v>
      </c>
      <c r="F259" s="18">
        <v>44245</v>
      </c>
      <c r="G259" s="24" t="s">
        <v>530</v>
      </c>
      <c r="H259" s="26" t="s">
        <v>180</v>
      </c>
      <c r="I259" s="49" t="str">
        <f>VLOOKUP(H259,VALIDACIONES!$A$2:$B$138,2,0)</f>
        <v>Bloquearunacalzadaointersecciónconunvehículo,salvocuandoelbloqueoobedezcaalaocurrenciadeunaccidente.</v>
      </c>
      <c r="J259" s="16">
        <v>447555</v>
      </c>
      <c r="K259" s="9" t="s">
        <v>809</v>
      </c>
      <c r="L259" s="57"/>
      <c r="M259" s="55"/>
      <c r="N259" s="16">
        <f t="shared" si="2"/>
        <v>2</v>
      </c>
      <c r="O259" s="16">
        <f t="shared" si="3"/>
        <v>2021</v>
      </c>
      <c r="P259" s="34"/>
      <c r="Q259" s="34"/>
      <c r="R259" s="34"/>
      <c r="S259" s="34"/>
      <c r="T259" s="34"/>
      <c r="U259" s="17"/>
      <c r="V259" s="23"/>
      <c r="W259" s="15"/>
      <c r="X259" s="15"/>
      <c r="Y259" s="15"/>
    </row>
    <row r="260" spans="1:25" ht="38.25" x14ac:dyDescent="0.2">
      <c r="A260" s="16">
        <v>71703107</v>
      </c>
      <c r="B260" s="9" t="s">
        <v>813</v>
      </c>
      <c r="C260" s="17" t="s">
        <v>516</v>
      </c>
      <c r="D260" s="9" t="s">
        <v>82</v>
      </c>
      <c r="E260" s="17" t="s">
        <v>83</v>
      </c>
      <c r="F260" s="18">
        <v>44230</v>
      </c>
      <c r="G260" s="24" t="s">
        <v>535</v>
      </c>
      <c r="H260" s="26" t="s">
        <v>11</v>
      </c>
      <c r="I260" s="49" t="str">
        <f>VLOOKUP(H260,VALIDACIONES!$A$2:$B$138,2,0)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60" s="16">
        <v>447555</v>
      </c>
      <c r="K260" s="9" t="s">
        <v>809</v>
      </c>
      <c r="L260" s="57"/>
      <c r="M260" s="55"/>
      <c r="N260" s="16">
        <f t="shared" si="2"/>
        <v>2</v>
      </c>
      <c r="O260" s="16">
        <f t="shared" si="3"/>
        <v>2021</v>
      </c>
      <c r="P260" s="34"/>
      <c r="Q260" s="34"/>
      <c r="R260" s="34"/>
      <c r="S260" s="34"/>
      <c r="T260" s="34"/>
      <c r="U260" s="17"/>
      <c r="V260" s="23"/>
      <c r="W260" s="15"/>
      <c r="X260" s="15"/>
      <c r="Y260" s="15"/>
    </row>
    <row r="261" spans="1:25" ht="38.25" x14ac:dyDescent="0.2">
      <c r="A261" s="16">
        <v>1037644213</v>
      </c>
      <c r="B261" s="9" t="s">
        <v>814</v>
      </c>
      <c r="C261" s="17" t="s">
        <v>21</v>
      </c>
      <c r="D261" s="9" t="s">
        <v>135</v>
      </c>
      <c r="E261" s="17" t="s">
        <v>83</v>
      </c>
      <c r="F261" s="18">
        <v>44269</v>
      </c>
      <c r="G261" s="24" t="s">
        <v>788</v>
      </c>
      <c r="H261" s="26" t="s">
        <v>11</v>
      </c>
      <c r="I261" s="49" t="str">
        <f>VLOOKUP(H261,VALIDACIONES!$A$2:$B$138,2,0)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61" s="16">
        <v>447548</v>
      </c>
      <c r="K261" s="9" t="s">
        <v>809</v>
      </c>
      <c r="L261" s="57"/>
      <c r="M261" s="55"/>
      <c r="N261" s="16">
        <f t="shared" si="2"/>
        <v>3</v>
      </c>
      <c r="O261" s="16">
        <f t="shared" si="3"/>
        <v>2021</v>
      </c>
      <c r="P261" s="34"/>
      <c r="Q261" s="34"/>
      <c r="R261" s="34"/>
      <c r="S261" s="34"/>
      <c r="T261" s="34"/>
      <c r="U261" s="17"/>
      <c r="V261" s="23"/>
      <c r="W261" s="15"/>
      <c r="X261" s="15"/>
      <c r="Y261" s="15"/>
    </row>
    <row r="262" spans="1:25" ht="25.5" x14ac:dyDescent="0.2">
      <c r="A262" s="16">
        <v>6334283</v>
      </c>
      <c r="B262" s="9" t="s">
        <v>815</v>
      </c>
      <c r="C262" s="17" t="s">
        <v>516</v>
      </c>
      <c r="D262" s="9" t="s">
        <v>82</v>
      </c>
      <c r="E262" s="17" t="s">
        <v>262</v>
      </c>
      <c r="F262" s="18">
        <v>44260</v>
      </c>
      <c r="G262" s="24" t="s">
        <v>816</v>
      </c>
      <c r="H262" s="26" t="s">
        <v>10</v>
      </c>
      <c r="I262" s="49" t="str">
        <f>VLOOKUP(H262,VALIDACIONES!$A$2:$B$138,2,0)</f>
        <v>Conducir un vehículo a velocidad superior a la máxima permitida, la cual deberá estar señalizada en forma sectorizada, no obstante esta no podrá ser superior a (verlistado)</v>
      </c>
      <c r="J262" s="16">
        <v>279722</v>
      </c>
      <c r="K262" s="9" t="s">
        <v>809</v>
      </c>
      <c r="L262" s="57"/>
      <c r="M262" s="55"/>
      <c r="N262" s="16">
        <f t="shared" si="2"/>
        <v>3</v>
      </c>
      <c r="O262" s="16">
        <f t="shared" si="3"/>
        <v>2021</v>
      </c>
      <c r="P262" s="34"/>
      <c r="Q262" s="34"/>
      <c r="R262" s="34"/>
      <c r="S262" s="34"/>
      <c r="T262" s="34"/>
      <c r="U262" s="17"/>
      <c r="V262" s="23"/>
      <c r="W262" s="15"/>
      <c r="X262" s="15"/>
      <c r="Y262" s="15"/>
    </row>
    <row r="263" spans="1:25" ht="25.5" x14ac:dyDescent="0.2">
      <c r="A263" s="16">
        <v>93453690</v>
      </c>
      <c r="B263" s="9" t="s">
        <v>817</v>
      </c>
      <c r="C263" s="17" t="s">
        <v>818</v>
      </c>
      <c r="D263" s="9" t="s">
        <v>25</v>
      </c>
      <c r="E263" s="17" t="s">
        <v>83</v>
      </c>
      <c r="F263" s="18">
        <v>44259</v>
      </c>
      <c r="G263" s="24" t="s">
        <v>819</v>
      </c>
      <c r="H263" s="26" t="s">
        <v>10</v>
      </c>
      <c r="I263" s="49" t="str">
        <f>VLOOKUP(H263,VALIDACIONES!$A$2:$B$138,2,0)</f>
        <v>Conducir un vehículo a velocidad superior a la máxima permitida, la cual deberá estar señalizada en forma sectorizada, no obstante esta no podrá ser superior a (verlistado)</v>
      </c>
      <c r="J263" s="16">
        <v>447548</v>
      </c>
      <c r="K263" s="9" t="s">
        <v>809</v>
      </c>
      <c r="L263" s="57"/>
      <c r="M263" s="55"/>
      <c r="N263" s="16">
        <f t="shared" si="2"/>
        <v>3</v>
      </c>
      <c r="O263" s="16">
        <f t="shared" si="3"/>
        <v>2021</v>
      </c>
      <c r="P263" s="34"/>
      <c r="Q263" s="34"/>
      <c r="R263" s="34"/>
      <c r="S263" s="34"/>
      <c r="T263" s="34"/>
      <c r="U263" s="17"/>
      <c r="V263" s="23"/>
      <c r="W263" s="15"/>
      <c r="X263" s="15"/>
      <c r="Y263" s="15"/>
    </row>
    <row r="264" spans="1:25" ht="25.5" x14ac:dyDescent="0.2">
      <c r="A264" s="16">
        <v>1001132524</v>
      </c>
      <c r="B264" s="9" t="s">
        <v>820</v>
      </c>
      <c r="C264" s="17" t="s">
        <v>664</v>
      </c>
      <c r="D264" s="9" t="s">
        <v>82</v>
      </c>
      <c r="E264" s="17" t="s">
        <v>83</v>
      </c>
      <c r="F264" s="18">
        <v>44259</v>
      </c>
      <c r="G264" s="24" t="s">
        <v>517</v>
      </c>
      <c r="H264" s="26" t="s">
        <v>385</v>
      </c>
      <c r="I264" s="49" t="str">
        <f>VLOOKUP(H264,VALIDACIONES!$A$2:$B$138,2,0)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64" s="16">
        <v>447540</v>
      </c>
      <c r="K264" s="9" t="s">
        <v>809</v>
      </c>
      <c r="L264" s="57"/>
      <c r="M264" s="55"/>
      <c r="N264" s="16">
        <f t="shared" si="2"/>
        <v>3</v>
      </c>
      <c r="O264" s="16">
        <f t="shared" si="3"/>
        <v>2021</v>
      </c>
      <c r="P264" s="34"/>
      <c r="Q264" s="34"/>
      <c r="R264" s="34"/>
      <c r="S264" s="34"/>
      <c r="T264" s="34"/>
      <c r="U264" s="17"/>
      <c r="V264" s="23"/>
      <c r="W264" s="15"/>
      <c r="X264" s="15"/>
      <c r="Y264" s="15"/>
    </row>
    <row r="265" spans="1:25" ht="25.5" x14ac:dyDescent="0.2">
      <c r="A265" s="16">
        <v>71762161</v>
      </c>
      <c r="B265" s="9" t="s">
        <v>821</v>
      </c>
      <c r="C265" s="9" t="s">
        <v>522</v>
      </c>
      <c r="D265" s="9" t="s">
        <v>82</v>
      </c>
      <c r="E265" s="17" t="s">
        <v>83</v>
      </c>
      <c r="F265" s="18">
        <v>44307</v>
      </c>
      <c r="G265" s="24" t="s">
        <v>756</v>
      </c>
      <c r="H265" s="26" t="s">
        <v>10</v>
      </c>
      <c r="I265" s="49" t="str">
        <f>VLOOKUP(H265,VALIDACIONES!$A$2:$B$138,2,0)</f>
        <v>Conducir un vehículo a velocidad superior a la máxima permitida, la cual deberá estar señalizada en forma sectorizada, no obstante esta no podrá ser superior a (verlistado)</v>
      </c>
      <c r="J265" s="16">
        <v>447555</v>
      </c>
      <c r="K265" s="9" t="s">
        <v>809</v>
      </c>
      <c r="L265" s="57"/>
      <c r="M265" s="55"/>
      <c r="N265" s="16">
        <f t="shared" si="2"/>
        <v>4</v>
      </c>
      <c r="O265" s="16">
        <f t="shared" si="3"/>
        <v>2021</v>
      </c>
      <c r="P265" s="34"/>
      <c r="Q265" s="34"/>
      <c r="R265" s="34"/>
      <c r="S265" s="34"/>
      <c r="T265" s="34"/>
      <c r="U265" s="17"/>
      <c r="V265" s="23"/>
      <c r="W265" s="15"/>
      <c r="X265" s="15"/>
      <c r="Y265" s="15"/>
    </row>
    <row r="266" spans="1:25" ht="12.75" x14ac:dyDescent="0.2">
      <c r="A266" s="16">
        <v>1044504823</v>
      </c>
      <c r="B266" s="9" t="s">
        <v>822</v>
      </c>
      <c r="C266" s="17" t="s">
        <v>794</v>
      </c>
      <c r="D266" s="9" t="s">
        <v>82</v>
      </c>
      <c r="E266" s="17" t="s">
        <v>83</v>
      </c>
      <c r="F266" s="18">
        <v>44301</v>
      </c>
      <c r="G266" s="24" t="s">
        <v>525</v>
      </c>
      <c r="H266" s="26" t="s">
        <v>32</v>
      </c>
      <c r="I266" s="49" t="str">
        <f>VLOOKUP(H266,VALIDACIONES!$A$2:$B$138,2,0)</f>
        <v>No acatar las señales o requerimientos impartidos por los agentes de Tránsito.</v>
      </c>
      <c r="J266" s="16">
        <v>447555</v>
      </c>
      <c r="K266" s="9" t="s">
        <v>809</v>
      </c>
      <c r="L266" s="57"/>
      <c r="M266" s="55"/>
      <c r="N266" s="16">
        <f t="shared" si="2"/>
        <v>4</v>
      </c>
      <c r="O266" s="16">
        <f t="shared" si="3"/>
        <v>2021</v>
      </c>
      <c r="P266" s="34"/>
      <c r="Q266" s="34"/>
      <c r="R266" s="34"/>
      <c r="S266" s="34"/>
      <c r="T266" s="34"/>
      <c r="U266" s="17"/>
      <c r="V266" s="23"/>
      <c r="W266" s="15"/>
      <c r="X266" s="15"/>
      <c r="Y266" s="15"/>
    </row>
    <row r="267" spans="1:25" ht="12.75" x14ac:dyDescent="0.2">
      <c r="A267" s="16">
        <v>1036679166</v>
      </c>
      <c r="B267" s="9" t="s">
        <v>823</v>
      </c>
      <c r="C267" s="17" t="s">
        <v>516</v>
      </c>
      <c r="D267" s="9" t="s">
        <v>82</v>
      </c>
      <c r="E267" s="17" t="s">
        <v>83</v>
      </c>
      <c r="F267" s="18">
        <v>44306</v>
      </c>
      <c r="G267" s="24" t="s">
        <v>557</v>
      </c>
      <c r="H267" s="26" t="s">
        <v>165</v>
      </c>
      <c r="I267" s="49" t="str">
        <f>VLOOKUP(H267,VALIDACIONES!$A$2:$B$138,2,0)</f>
        <v>Cuandosedetecteoadviertaunainfracciónalasnormasdeemisióncontaminantesodegeneraciónderuidoporvehículosautomotores</v>
      </c>
      <c r="J267" s="16">
        <v>895110</v>
      </c>
      <c r="K267" s="9" t="s">
        <v>809</v>
      </c>
      <c r="L267" s="57"/>
      <c r="M267" s="55"/>
      <c r="N267" s="16">
        <f t="shared" si="2"/>
        <v>4</v>
      </c>
      <c r="O267" s="16">
        <f t="shared" si="3"/>
        <v>2021</v>
      </c>
      <c r="P267" s="34"/>
      <c r="Q267" s="34"/>
      <c r="R267" s="34"/>
      <c r="S267" s="34"/>
      <c r="T267" s="34"/>
      <c r="U267" s="17"/>
      <c r="V267" s="23"/>
      <c r="W267" s="15"/>
      <c r="X267" s="15"/>
      <c r="Y267" s="15"/>
    </row>
    <row r="268" spans="1:25" ht="12.75" x14ac:dyDescent="0.2">
      <c r="A268" s="16">
        <v>1035433179</v>
      </c>
      <c r="B268" s="9" t="s">
        <v>824</v>
      </c>
      <c r="C268" s="17" t="s">
        <v>516</v>
      </c>
      <c r="D268" s="9" t="s">
        <v>82</v>
      </c>
      <c r="E268" s="17" t="s">
        <v>83</v>
      </c>
      <c r="F268" s="18">
        <v>44292</v>
      </c>
      <c r="G268" s="24" t="s">
        <v>825</v>
      </c>
      <c r="H268" s="26" t="s">
        <v>32</v>
      </c>
      <c r="I268" s="49" t="str">
        <f>VLOOKUP(H268,VALIDACIONES!$A$2:$B$138,2,0)</f>
        <v>No acatar las señales o requerimientos impartidos por los agentes de Tránsito.</v>
      </c>
      <c r="J268" s="16">
        <v>447555</v>
      </c>
      <c r="K268" s="9" t="s">
        <v>809</v>
      </c>
      <c r="L268" s="57"/>
      <c r="M268" s="55"/>
      <c r="N268" s="16">
        <f t="shared" si="2"/>
        <v>4</v>
      </c>
      <c r="O268" s="16">
        <f t="shared" si="3"/>
        <v>2021</v>
      </c>
      <c r="P268" s="34"/>
      <c r="Q268" s="34"/>
      <c r="R268" s="34"/>
      <c r="S268" s="34"/>
      <c r="T268" s="34"/>
      <c r="U268" s="17"/>
      <c r="V268" s="23"/>
      <c r="W268" s="15"/>
      <c r="X268" s="15"/>
      <c r="Y268" s="15"/>
    </row>
    <row r="269" spans="1:25" ht="12.75" x14ac:dyDescent="0.2">
      <c r="A269" s="16">
        <v>71599110</v>
      </c>
      <c r="B269" s="9" t="s">
        <v>705</v>
      </c>
      <c r="C269" s="17" t="s">
        <v>516</v>
      </c>
      <c r="D269" s="9" t="s">
        <v>82</v>
      </c>
      <c r="E269" s="17" t="s">
        <v>83</v>
      </c>
      <c r="F269" s="18">
        <v>44309</v>
      </c>
      <c r="G269" s="24" t="s">
        <v>557</v>
      </c>
      <c r="H269" s="26" t="s">
        <v>165</v>
      </c>
      <c r="I269" s="49" t="str">
        <f>VLOOKUP(H269,VALIDACIONES!$A$2:$B$138,2,0)</f>
        <v>Cuandosedetecteoadviertaunainfracciónalasnormasdeemisióncontaminantesodegeneraciónderuidoporvehículosautomotores</v>
      </c>
      <c r="J269" s="16">
        <v>895110</v>
      </c>
      <c r="K269" s="9" t="s">
        <v>809</v>
      </c>
      <c r="L269" s="57"/>
      <c r="M269" s="55"/>
      <c r="N269" s="16">
        <f t="shared" si="2"/>
        <v>4</v>
      </c>
      <c r="O269" s="16">
        <f t="shared" si="3"/>
        <v>2021</v>
      </c>
      <c r="P269" s="34"/>
      <c r="Q269" s="34"/>
      <c r="R269" s="34"/>
      <c r="S269" s="34"/>
      <c r="T269" s="34"/>
      <c r="U269" s="17"/>
      <c r="V269" s="23"/>
      <c r="W269" s="15"/>
      <c r="X269" s="15"/>
      <c r="Y269" s="15"/>
    </row>
    <row r="270" spans="1:25" ht="12.75" x14ac:dyDescent="0.2">
      <c r="A270" s="16">
        <v>15326627</v>
      </c>
      <c r="B270" s="9" t="s">
        <v>826</v>
      </c>
      <c r="C270" s="17" t="s">
        <v>664</v>
      </c>
      <c r="D270" s="9" t="s">
        <v>82</v>
      </c>
      <c r="E270" s="17" t="s">
        <v>83</v>
      </c>
      <c r="F270" s="18">
        <v>44300</v>
      </c>
      <c r="G270" s="24" t="s">
        <v>517</v>
      </c>
      <c r="H270" s="26" t="s">
        <v>180</v>
      </c>
      <c r="I270" s="49" t="str">
        <f>VLOOKUP(H270,VALIDACIONES!$A$2:$B$138,2,0)</f>
        <v>Bloquearunacalzadaointersecciónconunvehículo,salvocuandoelbloqueoobedezcaalaocurrenciadeunaccidente.</v>
      </c>
      <c r="J270" s="16">
        <v>447540</v>
      </c>
      <c r="K270" s="9" t="s">
        <v>809</v>
      </c>
      <c r="L270" s="57"/>
      <c r="M270" s="55"/>
      <c r="N270" s="16">
        <f t="shared" si="2"/>
        <v>4</v>
      </c>
      <c r="O270" s="16">
        <f t="shared" si="3"/>
        <v>2021</v>
      </c>
      <c r="P270" s="34"/>
      <c r="Q270" s="34"/>
      <c r="R270" s="34"/>
      <c r="S270" s="34"/>
      <c r="T270" s="34"/>
      <c r="U270" s="17"/>
      <c r="V270" s="23"/>
      <c r="W270" s="15"/>
      <c r="X270" s="15"/>
      <c r="Y270" s="15"/>
    </row>
    <row r="271" spans="1:25" ht="38.25" x14ac:dyDescent="0.2">
      <c r="A271" s="16">
        <v>98552463</v>
      </c>
      <c r="B271" s="9" t="s">
        <v>755</v>
      </c>
      <c r="C271" s="9" t="s">
        <v>522</v>
      </c>
      <c r="D271" s="9" t="s">
        <v>82</v>
      </c>
      <c r="E271" s="17" t="s">
        <v>83</v>
      </c>
      <c r="F271" s="18">
        <v>44341</v>
      </c>
      <c r="G271" s="24" t="s">
        <v>686</v>
      </c>
      <c r="H271" s="26" t="s">
        <v>397</v>
      </c>
      <c r="I271" s="49" t="str">
        <f>VLOOKUP(H271,VALIDACIONES!$A$2:$B$138,2,0)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271" s="16">
        <v>895096</v>
      </c>
      <c r="K271" s="9" t="s">
        <v>809</v>
      </c>
      <c r="L271" s="57"/>
      <c r="M271" s="55"/>
      <c r="N271" s="16">
        <f t="shared" si="2"/>
        <v>5</v>
      </c>
      <c r="O271" s="16">
        <f t="shared" si="3"/>
        <v>2021</v>
      </c>
      <c r="P271" s="34"/>
      <c r="Q271" s="34"/>
      <c r="R271" s="34"/>
      <c r="S271" s="34"/>
      <c r="T271" s="34"/>
      <c r="U271" s="17"/>
      <c r="V271" s="23"/>
      <c r="W271" s="15"/>
      <c r="X271" s="15"/>
      <c r="Y271" s="15"/>
    </row>
    <row r="272" spans="1:25" ht="12.75" x14ac:dyDescent="0.2">
      <c r="A272" s="16">
        <v>71367907</v>
      </c>
      <c r="B272" s="9" t="s">
        <v>827</v>
      </c>
      <c r="C272" s="9" t="s">
        <v>522</v>
      </c>
      <c r="D272" s="9" t="s">
        <v>82</v>
      </c>
      <c r="E272" s="17" t="s">
        <v>83</v>
      </c>
      <c r="F272" s="18">
        <v>44336</v>
      </c>
      <c r="G272" s="24" t="s">
        <v>828</v>
      </c>
      <c r="H272" s="26" t="s">
        <v>180</v>
      </c>
      <c r="I272" s="49" t="str">
        <f>VLOOKUP(H272,VALIDACIONES!$A$2:$B$138,2,0)</f>
        <v>Bloquearunacalzadaointersecciónconunvehículo,salvocuandoelbloqueoobedezcaalaocurrenciadeunaccidente.</v>
      </c>
      <c r="J272" s="16">
        <v>447555</v>
      </c>
      <c r="K272" s="9" t="s">
        <v>809</v>
      </c>
      <c r="L272" s="57"/>
      <c r="M272" s="55"/>
      <c r="N272" s="16">
        <f t="shared" si="2"/>
        <v>5</v>
      </c>
      <c r="O272" s="16">
        <f t="shared" si="3"/>
        <v>2021</v>
      </c>
      <c r="P272" s="34"/>
      <c r="Q272" s="34"/>
      <c r="R272" s="34"/>
      <c r="S272" s="34"/>
      <c r="T272" s="34"/>
      <c r="U272" s="17"/>
      <c r="V272" s="23"/>
      <c r="W272" s="15"/>
      <c r="X272" s="15"/>
      <c r="Y272" s="15"/>
    </row>
    <row r="273" spans="1:25" ht="12.75" x14ac:dyDescent="0.2">
      <c r="A273" s="16">
        <v>15257369</v>
      </c>
      <c r="B273" s="9" t="s">
        <v>829</v>
      </c>
      <c r="C273" s="9" t="s">
        <v>529</v>
      </c>
      <c r="D273" s="9" t="s">
        <v>82</v>
      </c>
      <c r="E273" s="17" t="s">
        <v>83</v>
      </c>
      <c r="F273" s="18">
        <v>44339</v>
      </c>
      <c r="G273" s="24" t="s">
        <v>779</v>
      </c>
      <c r="H273" s="26" t="s">
        <v>411</v>
      </c>
      <c r="I273" s="49" t="str">
        <f>VLOOKUP(H273,VALIDACIONES!$A$2:$B$138,2,0)</f>
        <v>Encasodetransportarcargaconpesosuperioralautorizadoelvehículoseráinmovilizadoyelexcesodeberásertransbordado.</v>
      </c>
      <c r="J273" s="16">
        <v>895096</v>
      </c>
      <c r="K273" s="9" t="s">
        <v>809</v>
      </c>
      <c r="L273" s="57"/>
      <c r="M273" s="55"/>
      <c r="N273" s="16">
        <f t="shared" si="2"/>
        <v>5</v>
      </c>
      <c r="O273" s="16">
        <f t="shared" si="3"/>
        <v>2021</v>
      </c>
      <c r="P273" s="34"/>
      <c r="Q273" s="34"/>
      <c r="R273" s="34"/>
      <c r="S273" s="34"/>
      <c r="T273" s="34"/>
      <c r="U273" s="17"/>
      <c r="V273" s="23"/>
      <c r="W273" s="15"/>
      <c r="X273" s="15"/>
      <c r="Y273" s="15"/>
    </row>
    <row r="274" spans="1:25" ht="12.75" x14ac:dyDescent="0.2">
      <c r="A274" s="16">
        <v>75107726</v>
      </c>
      <c r="B274" s="9" t="s">
        <v>830</v>
      </c>
      <c r="C274" s="17" t="s">
        <v>831</v>
      </c>
      <c r="D274" s="9" t="s">
        <v>82</v>
      </c>
      <c r="E274" s="17" t="s">
        <v>100</v>
      </c>
      <c r="F274" s="18">
        <v>44341</v>
      </c>
      <c r="G274" s="24" t="s">
        <v>569</v>
      </c>
      <c r="H274" s="26" t="s">
        <v>4</v>
      </c>
      <c r="I274" s="49" t="str">
        <f>VLOOKUP(H274,VALIDACIONES!$A$2:$B$138,2,0)</f>
        <v>Estacionar un vehículo en los sitios prohibidos por el Código Nacional de Tránsito, reglamentado por la Res.3027.</v>
      </c>
      <c r="J274" s="16">
        <v>279721</v>
      </c>
      <c r="K274" s="9" t="s">
        <v>809</v>
      </c>
      <c r="L274" s="57"/>
      <c r="M274" s="55"/>
      <c r="N274" s="16">
        <f t="shared" si="2"/>
        <v>5</v>
      </c>
      <c r="O274" s="16">
        <f t="shared" si="3"/>
        <v>2021</v>
      </c>
      <c r="P274" s="34"/>
      <c r="Q274" s="34"/>
      <c r="R274" s="34"/>
      <c r="S274" s="34"/>
      <c r="T274" s="34"/>
      <c r="U274" s="17"/>
      <c r="V274" s="23"/>
      <c r="W274" s="15"/>
      <c r="X274" s="15"/>
      <c r="Y274" s="15"/>
    </row>
    <row r="275" spans="1:25" ht="38.25" x14ac:dyDescent="0.2">
      <c r="A275" s="16">
        <v>1042768364</v>
      </c>
      <c r="B275" s="9" t="s">
        <v>832</v>
      </c>
      <c r="C275" s="17" t="s">
        <v>664</v>
      </c>
      <c r="D275" s="9" t="s">
        <v>82</v>
      </c>
      <c r="E275" s="17" t="s">
        <v>83</v>
      </c>
      <c r="F275" s="18">
        <v>44385</v>
      </c>
      <c r="G275" s="24" t="s">
        <v>118</v>
      </c>
      <c r="H275" s="26" t="s">
        <v>833</v>
      </c>
      <c r="I275" s="49" t="str">
        <f>VLOOKUP(H275,VALIDACIONES!$A$2:$B$138,2,0)</f>
        <v>Conducirunvehículosobreaceras,plazas,víaspeatonales,separadores,bermas,demarcacionesdecanalización,zonasverdesovíasespecialesparavehículosnomotorizados.Enelcasodemotocicletaseprocederaasuinmovilizaciónhastatantonosepagueelvalordelamultaolaautoridadcompetentedecidasobresuimposicionenlosterminosdelosarticulos135y136delcódigonacionaldetránsito.</v>
      </c>
      <c r="J275" s="16">
        <v>895110</v>
      </c>
      <c r="K275" s="9" t="s">
        <v>809</v>
      </c>
      <c r="L275" s="57"/>
      <c r="M275" s="55"/>
      <c r="N275" s="16">
        <f t="shared" si="2"/>
        <v>7</v>
      </c>
      <c r="O275" s="16">
        <f t="shared" si="3"/>
        <v>2021</v>
      </c>
      <c r="P275" s="34"/>
      <c r="Q275" s="34"/>
      <c r="R275" s="34"/>
      <c r="S275" s="34"/>
      <c r="T275" s="34"/>
      <c r="U275" s="17"/>
      <c r="V275" s="23"/>
      <c r="W275" s="15"/>
      <c r="X275" s="15"/>
      <c r="Y275" s="15"/>
    </row>
    <row r="276" spans="1:25" ht="12.75" x14ac:dyDescent="0.2">
      <c r="A276" s="16">
        <v>71614756</v>
      </c>
      <c r="B276" s="9" t="s">
        <v>834</v>
      </c>
      <c r="C276" s="17" t="s">
        <v>516</v>
      </c>
      <c r="D276" s="9" t="s">
        <v>82</v>
      </c>
      <c r="E276" s="17" t="s">
        <v>268</v>
      </c>
      <c r="F276" s="18">
        <v>44397</v>
      </c>
      <c r="G276" s="24" t="s">
        <v>835</v>
      </c>
      <c r="H276" s="26" t="s">
        <v>4</v>
      </c>
      <c r="I276" s="49" t="str">
        <f>VLOOKUP(H276,VALIDACIONES!$A$2:$B$138,2,0)</f>
        <v>Estacionar un vehículo en los sitios prohibidos por el Código Nacional de Tránsito, reglamentado por la Res.3027.</v>
      </c>
      <c r="J276" s="16">
        <v>447555</v>
      </c>
      <c r="K276" s="9" t="s">
        <v>809</v>
      </c>
      <c r="L276" s="57"/>
      <c r="M276" s="55"/>
      <c r="N276" s="16">
        <f t="shared" si="2"/>
        <v>7</v>
      </c>
      <c r="O276" s="16">
        <f t="shared" si="3"/>
        <v>2021</v>
      </c>
      <c r="P276" s="34"/>
      <c r="Q276" s="34"/>
      <c r="R276" s="34"/>
      <c r="S276" s="34"/>
      <c r="T276" s="34"/>
      <c r="U276" s="17"/>
      <c r="V276" s="23"/>
      <c r="W276" s="15"/>
      <c r="X276" s="15"/>
      <c r="Y276" s="15"/>
    </row>
    <row r="277" spans="1:25" ht="25.5" x14ac:dyDescent="0.2">
      <c r="A277" s="16">
        <v>71703107</v>
      </c>
      <c r="B277" s="9" t="s">
        <v>813</v>
      </c>
      <c r="C277" s="17" t="s">
        <v>516</v>
      </c>
      <c r="D277" s="9" t="s">
        <v>82</v>
      </c>
      <c r="E277" s="17" t="s">
        <v>83</v>
      </c>
      <c r="F277" s="18">
        <v>44389</v>
      </c>
      <c r="G277" s="24" t="s">
        <v>836</v>
      </c>
      <c r="H277" s="26" t="s">
        <v>385</v>
      </c>
      <c r="I277" s="49" t="str">
        <f>VLOOKUP(H277,VALIDACIONES!$A$2:$B$138,2,0)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77" s="16">
        <v>447555</v>
      </c>
      <c r="K277" s="9" t="s">
        <v>809</v>
      </c>
      <c r="L277" s="57"/>
      <c r="M277" s="55"/>
      <c r="N277" s="16">
        <f t="shared" si="2"/>
        <v>7</v>
      </c>
      <c r="O277" s="16">
        <f t="shared" si="3"/>
        <v>2021</v>
      </c>
      <c r="P277" s="34"/>
      <c r="Q277" s="34"/>
      <c r="R277" s="34"/>
      <c r="S277" s="34"/>
      <c r="T277" s="34"/>
      <c r="U277" s="17"/>
      <c r="V277" s="23"/>
      <c r="W277" s="15"/>
      <c r="X277" s="15"/>
      <c r="Y277" s="15"/>
    </row>
    <row r="278" spans="1:25" ht="38.25" x14ac:dyDescent="0.2">
      <c r="A278" s="16">
        <v>71224843</v>
      </c>
      <c r="B278" s="9" t="s">
        <v>837</v>
      </c>
      <c r="C278" s="17" t="s">
        <v>794</v>
      </c>
      <c r="D278" s="9" t="s">
        <v>82</v>
      </c>
      <c r="E278" s="17" t="s">
        <v>83</v>
      </c>
      <c r="F278" s="19">
        <v>44409</v>
      </c>
      <c r="G278" s="25" t="s">
        <v>142</v>
      </c>
      <c r="H278" s="26" t="s">
        <v>11</v>
      </c>
      <c r="I278" s="49" t="str">
        <f>VLOOKUP(H278,VALIDACIONES!$A$2:$B$138,2,0)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78" s="16"/>
      <c r="K278" s="9"/>
      <c r="L278" s="57"/>
      <c r="M278" s="55"/>
      <c r="N278" s="16">
        <f t="shared" si="2"/>
        <v>8</v>
      </c>
      <c r="O278" s="16">
        <f t="shared" si="3"/>
        <v>2021</v>
      </c>
      <c r="P278" s="34"/>
      <c r="Q278" s="34"/>
      <c r="R278" s="34"/>
      <c r="S278" s="34"/>
      <c r="T278" s="34"/>
      <c r="U278" s="17"/>
      <c r="V278" s="23"/>
      <c r="W278" s="15"/>
      <c r="X278" s="15"/>
      <c r="Y278" s="15"/>
    </row>
    <row r="279" spans="1:25" ht="38.25" x14ac:dyDescent="0.2">
      <c r="A279" s="16">
        <v>71732156</v>
      </c>
      <c r="B279" s="9" t="s">
        <v>838</v>
      </c>
      <c r="C279" s="9" t="s">
        <v>529</v>
      </c>
      <c r="D279" s="9" t="s">
        <v>82</v>
      </c>
      <c r="E279" s="17" t="s">
        <v>83</v>
      </c>
      <c r="F279" s="19">
        <v>44439</v>
      </c>
      <c r="G279" s="25" t="s">
        <v>839</v>
      </c>
      <c r="H279" s="26" t="s">
        <v>397</v>
      </c>
      <c r="I279" s="49" t="str">
        <f>VLOOKUP(H279,VALIDACIONES!$A$2:$B$138,2,0)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279" s="16"/>
      <c r="K279" s="9"/>
      <c r="L279" s="57"/>
      <c r="M279" s="55"/>
      <c r="N279" s="16">
        <f t="shared" si="2"/>
        <v>8</v>
      </c>
      <c r="O279" s="16">
        <f t="shared" si="3"/>
        <v>2021</v>
      </c>
      <c r="P279" s="34"/>
      <c r="Q279" s="34"/>
      <c r="R279" s="34"/>
      <c r="S279" s="34"/>
      <c r="T279" s="34"/>
      <c r="U279" s="17"/>
      <c r="V279" s="23"/>
      <c r="W279" s="15"/>
      <c r="X279" s="15"/>
      <c r="Y279" s="15"/>
    </row>
    <row r="280" spans="1:25" ht="12.75" x14ac:dyDescent="0.2">
      <c r="A280" s="16">
        <v>16687993</v>
      </c>
      <c r="B280" s="9" t="s">
        <v>784</v>
      </c>
      <c r="C280" s="17" t="s">
        <v>516</v>
      </c>
      <c r="D280" s="9" t="s">
        <v>82</v>
      </c>
      <c r="E280" s="17" t="s">
        <v>251</v>
      </c>
      <c r="F280" s="19">
        <v>44421</v>
      </c>
      <c r="G280" s="25" t="s">
        <v>840</v>
      </c>
      <c r="H280" s="26">
        <v>300</v>
      </c>
      <c r="I280" s="49" t="str">
        <f>VLOOKUP(H280,VALIDACIONES!$A$2:$B$138,2,0)</f>
        <v>Acuerdo de pago incumplido</v>
      </c>
      <c r="J280" s="16"/>
      <c r="K280" s="9"/>
      <c r="L280" s="57"/>
      <c r="M280" s="55"/>
      <c r="N280" s="16">
        <f t="shared" si="2"/>
        <v>8</v>
      </c>
      <c r="O280" s="16">
        <f t="shared" si="3"/>
        <v>2021</v>
      </c>
      <c r="P280" s="34"/>
      <c r="Q280" s="34"/>
      <c r="R280" s="34"/>
      <c r="S280" s="34"/>
      <c r="T280" s="34"/>
      <c r="U280" s="17"/>
      <c r="V280" s="23"/>
      <c r="W280" s="15"/>
      <c r="X280" s="15"/>
      <c r="Y280" s="15"/>
    </row>
    <row r="281" spans="1:25" ht="25.5" x14ac:dyDescent="0.2">
      <c r="A281" s="16">
        <v>10080826</v>
      </c>
      <c r="B281" s="9" t="s">
        <v>841</v>
      </c>
      <c r="C281" s="17" t="s">
        <v>792</v>
      </c>
      <c r="D281" s="9" t="s">
        <v>82</v>
      </c>
      <c r="E281" s="17" t="s">
        <v>262</v>
      </c>
      <c r="F281" s="19">
        <v>44410</v>
      </c>
      <c r="G281" s="25" t="s">
        <v>842</v>
      </c>
      <c r="H281" s="26" t="s">
        <v>10</v>
      </c>
      <c r="I281" s="49" t="str">
        <f>VLOOKUP(H281,VALIDACIONES!$A$2:$B$138,2,0)</f>
        <v>Conducir un vehículo a velocidad superior a la máxima permitida, la cual deberá estar señalizada en forma sectorizada, no obstante esta no podrá ser superior a (verlistado)</v>
      </c>
      <c r="J281" s="16"/>
      <c r="K281" s="9"/>
      <c r="L281" s="57"/>
      <c r="M281" s="55"/>
      <c r="N281" s="16">
        <f t="shared" si="2"/>
        <v>8</v>
      </c>
      <c r="O281" s="16">
        <f t="shared" si="3"/>
        <v>2021</v>
      </c>
      <c r="P281" s="34"/>
      <c r="Q281" s="34"/>
      <c r="R281" s="34"/>
      <c r="S281" s="34"/>
      <c r="T281" s="34"/>
      <c r="U281" s="17"/>
      <c r="V281" s="23"/>
      <c r="W281" s="15"/>
      <c r="X281" s="15"/>
      <c r="Y281" s="15"/>
    </row>
    <row r="282" spans="1:25" ht="38.25" x14ac:dyDescent="0.2">
      <c r="A282" s="16">
        <v>1003908922</v>
      </c>
      <c r="B282" s="9" t="s">
        <v>843</v>
      </c>
      <c r="C282" s="17" t="s">
        <v>25</v>
      </c>
      <c r="D282" s="9" t="s">
        <v>25</v>
      </c>
      <c r="E282" s="17" t="s">
        <v>83</v>
      </c>
      <c r="F282" s="19">
        <v>44429</v>
      </c>
      <c r="G282" s="25" t="s">
        <v>844</v>
      </c>
      <c r="H282" s="26" t="s">
        <v>11</v>
      </c>
      <c r="I282" s="49" t="str">
        <f>VLOOKUP(H282,VALIDACIONES!$A$2:$B$138,2,0)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282" s="16"/>
      <c r="K282" s="9"/>
      <c r="L282" s="57"/>
      <c r="M282" s="55"/>
      <c r="N282" s="16">
        <f t="shared" si="2"/>
        <v>8</v>
      </c>
      <c r="O282" s="16">
        <f t="shared" si="3"/>
        <v>2021</v>
      </c>
      <c r="P282" s="34"/>
      <c r="Q282" s="34"/>
      <c r="R282" s="34"/>
      <c r="S282" s="34"/>
      <c r="T282" s="34"/>
      <c r="U282" s="17"/>
      <c r="V282" s="23"/>
      <c r="W282" s="15"/>
      <c r="X282" s="15"/>
      <c r="Y282" s="15"/>
    </row>
    <row r="283" spans="1:25" ht="25.5" x14ac:dyDescent="0.2">
      <c r="A283" s="16">
        <v>98518244</v>
      </c>
      <c r="B283" s="9" t="s">
        <v>845</v>
      </c>
      <c r="C283" s="17" t="s">
        <v>831</v>
      </c>
      <c r="D283" s="9" t="s">
        <v>82</v>
      </c>
      <c r="E283" s="17" t="s">
        <v>268</v>
      </c>
      <c r="F283" s="19">
        <v>44410</v>
      </c>
      <c r="G283" s="25" t="s">
        <v>846</v>
      </c>
      <c r="H283" s="26" t="s">
        <v>385</v>
      </c>
      <c r="I283" s="49" t="str">
        <f>VLOOKUP(H283,VALIDACIONES!$A$2:$B$138,2,0)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83" s="16"/>
      <c r="K283" s="9"/>
      <c r="L283" s="57"/>
      <c r="M283" s="55"/>
      <c r="N283" s="16">
        <f t="shared" si="2"/>
        <v>8</v>
      </c>
      <c r="O283" s="16">
        <f t="shared" si="3"/>
        <v>2021</v>
      </c>
      <c r="P283" s="34"/>
      <c r="Q283" s="34"/>
      <c r="R283" s="34"/>
      <c r="S283" s="34"/>
      <c r="T283" s="34"/>
      <c r="U283" s="17"/>
      <c r="V283" s="23"/>
      <c r="W283" s="15"/>
      <c r="X283" s="15"/>
      <c r="Y283" s="15"/>
    </row>
    <row r="284" spans="1:25" ht="51" x14ac:dyDescent="0.2">
      <c r="A284" s="16">
        <v>70723868</v>
      </c>
      <c r="B284" s="9" t="s">
        <v>847</v>
      </c>
      <c r="C284" s="17" t="s">
        <v>516</v>
      </c>
      <c r="D284" s="9" t="s">
        <v>82</v>
      </c>
      <c r="E284" s="17" t="s">
        <v>83</v>
      </c>
      <c r="F284" s="18">
        <v>44441</v>
      </c>
      <c r="G284" s="24" t="s">
        <v>844</v>
      </c>
      <c r="H284" s="26" t="s">
        <v>335</v>
      </c>
      <c r="I284" s="49" t="str">
        <f>VLOOKUP(H284,VALIDACIONES!$A$2:$B$138,2,0)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284" s="16">
        <v>447678</v>
      </c>
      <c r="K284" s="9" t="s">
        <v>809</v>
      </c>
      <c r="L284" s="57"/>
      <c r="M284" s="55"/>
      <c r="N284" s="16">
        <f t="shared" si="2"/>
        <v>9</v>
      </c>
      <c r="O284" s="16">
        <f t="shared" si="3"/>
        <v>2021</v>
      </c>
      <c r="P284" s="34"/>
      <c r="Q284" s="34"/>
      <c r="R284" s="34"/>
      <c r="S284" s="34"/>
      <c r="T284" s="34"/>
      <c r="U284" s="17"/>
      <c r="V284" s="23"/>
      <c r="W284" s="15"/>
      <c r="X284" s="15"/>
      <c r="Y284" s="15"/>
    </row>
    <row r="285" spans="1:25" ht="12.75" x14ac:dyDescent="0.2">
      <c r="A285" s="16">
        <v>16687993</v>
      </c>
      <c r="B285" s="9" t="s">
        <v>784</v>
      </c>
      <c r="C285" s="17" t="s">
        <v>516</v>
      </c>
      <c r="D285" s="9" t="s">
        <v>82</v>
      </c>
      <c r="E285" s="17" t="s">
        <v>251</v>
      </c>
      <c r="F285" s="18">
        <v>44455</v>
      </c>
      <c r="G285" s="24" t="s">
        <v>848</v>
      </c>
      <c r="H285" s="26" t="s">
        <v>32</v>
      </c>
      <c r="I285" s="49" t="str">
        <f>VLOOKUP(H285,VALIDACIONES!$A$2:$B$138,2,0)</f>
        <v>No acatar las señales o requerimientos impartidos por los agentes de Tránsito.</v>
      </c>
      <c r="J285" s="16">
        <v>447555</v>
      </c>
      <c r="K285" s="9" t="s">
        <v>809</v>
      </c>
      <c r="L285" s="57"/>
      <c r="M285" s="55"/>
      <c r="N285" s="16">
        <f t="shared" si="2"/>
        <v>9</v>
      </c>
      <c r="O285" s="16">
        <f t="shared" si="3"/>
        <v>2021</v>
      </c>
      <c r="P285" s="34"/>
      <c r="Q285" s="34"/>
      <c r="R285" s="34"/>
      <c r="S285" s="34"/>
      <c r="T285" s="34"/>
      <c r="U285" s="17"/>
      <c r="V285" s="23"/>
      <c r="W285" s="15"/>
      <c r="X285" s="15"/>
      <c r="Y285" s="15"/>
    </row>
    <row r="286" spans="1:25" ht="25.5" x14ac:dyDescent="0.2">
      <c r="A286" s="16">
        <v>1065205052</v>
      </c>
      <c r="B286" s="9" t="s">
        <v>849</v>
      </c>
      <c r="C286" s="17" t="s">
        <v>516</v>
      </c>
      <c r="D286" s="9" t="s">
        <v>82</v>
      </c>
      <c r="E286" s="17" t="s">
        <v>83</v>
      </c>
      <c r="F286" s="18">
        <v>44457</v>
      </c>
      <c r="G286" s="24" t="s">
        <v>118</v>
      </c>
      <c r="H286" s="26" t="s">
        <v>385</v>
      </c>
      <c r="I286" s="49" t="str">
        <f>VLOOKUP(H286,VALIDACIONES!$A$2:$B$138,2,0)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86" s="16">
        <v>447555</v>
      </c>
      <c r="K286" s="9" t="s">
        <v>809</v>
      </c>
      <c r="L286" s="57"/>
      <c r="M286" s="55"/>
      <c r="N286" s="16">
        <f t="shared" si="2"/>
        <v>9</v>
      </c>
      <c r="O286" s="16">
        <f t="shared" si="3"/>
        <v>2021</v>
      </c>
      <c r="P286" s="34"/>
      <c r="Q286" s="34"/>
      <c r="R286" s="34"/>
      <c r="S286" s="34"/>
      <c r="T286" s="34"/>
      <c r="U286" s="17"/>
      <c r="V286" s="23"/>
      <c r="W286" s="15"/>
      <c r="X286" s="15"/>
      <c r="Y286" s="15"/>
    </row>
    <row r="287" spans="1:25" ht="25.5" x14ac:dyDescent="0.2">
      <c r="A287" s="16">
        <v>94508274</v>
      </c>
      <c r="B287" s="9" t="s">
        <v>850</v>
      </c>
      <c r="C287" s="17" t="s">
        <v>516</v>
      </c>
      <c r="D287" s="9" t="s">
        <v>82</v>
      </c>
      <c r="E287" s="17" t="s">
        <v>251</v>
      </c>
      <c r="F287" s="18">
        <v>44448</v>
      </c>
      <c r="G287" s="24" t="s">
        <v>840</v>
      </c>
      <c r="H287" s="26" t="s">
        <v>5</v>
      </c>
      <c r="I287" s="49" t="str">
        <f>VLOOKUP(H287,VALIDACIONES!$A$2:$B$138,2,0)</f>
        <v>Noutilizarelcinturóndeseguridadporpartedelosocupantesdelvehículoyloscinturonesdeseguridadenlosasientostraserosenlosvehículosfabricadosapartirdelaño2004.</v>
      </c>
      <c r="J287" s="16">
        <v>447555</v>
      </c>
      <c r="K287" s="9" t="s">
        <v>809</v>
      </c>
      <c r="L287" s="57"/>
      <c r="M287" s="55"/>
      <c r="N287" s="16">
        <f t="shared" si="2"/>
        <v>9</v>
      </c>
      <c r="O287" s="16">
        <f t="shared" si="3"/>
        <v>2021</v>
      </c>
      <c r="P287" s="34"/>
      <c r="Q287" s="34"/>
      <c r="R287" s="34"/>
      <c r="S287" s="34"/>
      <c r="T287" s="34"/>
      <c r="U287" s="17"/>
      <c r="V287" s="23"/>
      <c r="W287" s="15"/>
      <c r="X287" s="15"/>
      <c r="Y287" s="15"/>
    </row>
    <row r="288" spans="1:25" ht="12.75" x14ac:dyDescent="0.2">
      <c r="A288" s="16">
        <v>15442691</v>
      </c>
      <c r="B288" s="9" t="s">
        <v>851</v>
      </c>
      <c r="C288" s="17" t="s">
        <v>516</v>
      </c>
      <c r="D288" s="9" t="s">
        <v>82</v>
      </c>
      <c r="E288" s="17" t="s">
        <v>268</v>
      </c>
      <c r="F288" s="18">
        <v>44495</v>
      </c>
      <c r="G288" s="24" t="s">
        <v>846</v>
      </c>
      <c r="H288" s="26" t="s">
        <v>15</v>
      </c>
      <c r="I288" s="49" t="str">
        <f>VLOOKUP(H288,VALIDACIONES!$A$2:$B$138,2,0)</f>
        <v>Las demas conductas que constituyan infraccion a las normas de transito y que no se encuentren descritas en este acto administrativo.</v>
      </c>
      <c r="J288" s="16">
        <v>149185</v>
      </c>
      <c r="K288" s="9" t="s">
        <v>809</v>
      </c>
      <c r="L288" s="57"/>
      <c r="M288" s="55"/>
      <c r="N288" s="16">
        <f t="shared" si="2"/>
        <v>10</v>
      </c>
      <c r="O288" s="16">
        <f t="shared" si="3"/>
        <v>2021</v>
      </c>
      <c r="P288" s="34"/>
      <c r="Q288" s="34"/>
      <c r="R288" s="34"/>
      <c r="S288" s="34"/>
      <c r="T288" s="34"/>
      <c r="U288" s="17"/>
      <c r="V288" s="23"/>
      <c r="W288" s="15"/>
      <c r="X288" s="15"/>
      <c r="Y288" s="15"/>
    </row>
    <row r="289" spans="1:25" ht="25.5" x14ac:dyDescent="0.2">
      <c r="A289" s="16">
        <v>10237189</v>
      </c>
      <c r="B289" s="9" t="s">
        <v>852</v>
      </c>
      <c r="C289" s="17" t="s">
        <v>22</v>
      </c>
      <c r="D289" s="9" t="s">
        <v>82</v>
      </c>
      <c r="E289" s="17" t="s">
        <v>100</v>
      </c>
      <c r="F289" s="18">
        <v>44497</v>
      </c>
      <c r="G289" s="24" t="s">
        <v>101</v>
      </c>
      <c r="H289" s="26" t="s">
        <v>385</v>
      </c>
      <c r="I289" s="49" t="str">
        <f>VLOOKUP(H289,VALIDACIONES!$A$2:$B$138,2,0)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89" s="16">
        <v>447555</v>
      </c>
      <c r="K289" s="9" t="s">
        <v>809</v>
      </c>
      <c r="L289" s="57"/>
      <c r="M289" s="55"/>
      <c r="N289" s="16">
        <f t="shared" si="2"/>
        <v>10</v>
      </c>
      <c r="O289" s="16">
        <f t="shared" si="3"/>
        <v>2021</v>
      </c>
      <c r="P289" s="34"/>
      <c r="Q289" s="34"/>
      <c r="R289" s="34"/>
      <c r="S289" s="34"/>
      <c r="T289" s="34"/>
      <c r="U289" s="17"/>
      <c r="V289" s="23"/>
      <c r="W289" s="15"/>
      <c r="X289" s="15"/>
      <c r="Y289" s="15"/>
    </row>
    <row r="290" spans="1:25" ht="25.5" x14ac:dyDescent="0.2">
      <c r="A290" s="16">
        <v>98571836</v>
      </c>
      <c r="B290" s="9" t="s">
        <v>853</v>
      </c>
      <c r="C290" s="17" t="s">
        <v>516</v>
      </c>
      <c r="D290" s="9" t="s">
        <v>82</v>
      </c>
      <c r="E290" s="17" t="s">
        <v>83</v>
      </c>
      <c r="F290" s="18">
        <v>44482</v>
      </c>
      <c r="G290" s="24" t="s">
        <v>138</v>
      </c>
      <c r="H290" s="26" t="s">
        <v>385</v>
      </c>
      <c r="I290" s="49" t="str">
        <f>VLOOKUP(H290,VALIDACIONES!$A$2:$B$138,2,0)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90" s="16">
        <v>447555</v>
      </c>
      <c r="K290" s="9" t="s">
        <v>809</v>
      </c>
      <c r="L290" s="57"/>
      <c r="M290" s="55"/>
      <c r="N290" s="16">
        <f t="shared" si="2"/>
        <v>10</v>
      </c>
      <c r="O290" s="16">
        <f t="shared" si="3"/>
        <v>2021</v>
      </c>
      <c r="P290" s="34"/>
      <c r="Q290" s="34"/>
      <c r="R290" s="34"/>
      <c r="S290" s="34"/>
      <c r="T290" s="34"/>
      <c r="U290" s="17"/>
      <c r="V290" s="23"/>
      <c r="W290" s="15"/>
      <c r="X290" s="15"/>
      <c r="Y290" s="15"/>
    </row>
    <row r="291" spans="1:25" ht="38.25" x14ac:dyDescent="0.2">
      <c r="A291" s="16">
        <v>94508274</v>
      </c>
      <c r="B291" s="9" t="s">
        <v>850</v>
      </c>
      <c r="C291" s="17" t="s">
        <v>516</v>
      </c>
      <c r="D291" s="9" t="s">
        <v>82</v>
      </c>
      <c r="E291" s="17" t="s">
        <v>251</v>
      </c>
      <c r="F291" s="18">
        <v>44494</v>
      </c>
      <c r="G291" s="24" t="s">
        <v>848</v>
      </c>
      <c r="H291" s="26" t="s">
        <v>397</v>
      </c>
      <c r="I291" s="49" t="str">
        <f>VLOOKUP(H291,VALIDACIONES!$A$2:$B$138,2,0)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291" s="16">
        <v>895096</v>
      </c>
      <c r="K291" s="9" t="s">
        <v>809</v>
      </c>
      <c r="L291" s="57"/>
      <c r="M291" s="55"/>
      <c r="N291" s="16">
        <f t="shared" si="2"/>
        <v>10</v>
      </c>
      <c r="O291" s="16">
        <f t="shared" si="3"/>
        <v>2021</v>
      </c>
      <c r="P291" s="34"/>
      <c r="Q291" s="34"/>
      <c r="R291" s="34"/>
      <c r="S291" s="34"/>
      <c r="T291" s="34"/>
      <c r="U291" s="17"/>
      <c r="V291" s="23"/>
      <c r="W291" s="15"/>
      <c r="X291" s="15"/>
      <c r="Y291" s="15"/>
    </row>
    <row r="292" spans="1:25" ht="25.5" x14ac:dyDescent="0.2">
      <c r="A292" s="16">
        <v>71622453</v>
      </c>
      <c r="B292" s="9" t="s">
        <v>807</v>
      </c>
      <c r="C292" s="17" t="s">
        <v>664</v>
      </c>
      <c r="D292" s="9" t="s">
        <v>82</v>
      </c>
      <c r="E292" s="17" t="s">
        <v>83</v>
      </c>
      <c r="F292" s="18">
        <v>44486</v>
      </c>
      <c r="G292" s="24" t="s">
        <v>854</v>
      </c>
      <c r="H292" s="26" t="s">
        <v>409</v>
      </c>
      <c r="I292" s="49" t="str">
        <f>VLOOKUP(H292,VALIDACIONES!$A$2:$B$138,2,0)</f>
        <v>Conducirunvehículoque,sinladebidaautorización,sedestineaunserviciodiferentedeaquelparaelcualtienelicenciadetránsito.Además,elvehículoseráinmovilizadoporprimeravez,poreltérminodecincodías,porsegundavezveintedíasyporterceravezcuarentadias.</v>
      </c>
      <c r="J292" s="16">
        <v>894992</v>
      </c>
      <c r="K292" s="9" t="s">
        <v>809</v>
      </c>
      <c r="L292" s="57"/>
      <c r="M292" s="55"/>
      <c r="N292" s="16">
        <f t="shared" si="2"/>
        <v>10</v>
      </c>
      <c r="O292" s="16">
        <f t="shared" si="3"/>
        <v>2021</v>
      </c>
      <c r="P292" s="34"/>
      <c r="Q292" s="34"/>
      <c r="R292" s="34"/>
      <c r="S292" s="34"/>
      <c r="T292" s="34"/>
      <c r="U292" s="17"/>
      <c r="V292" s="23"/>
      <c r="W292" s="15"/>
      <c r="X292" s="15"/>
      <c r="Y292" s="15"/>
    </row>
    <row r="293" spans="1:25" ht="12.75" x14ac:dyDescent="0.2">
      <c r="A293" s="16">
        <v>1026148597</v>
      </c>
      <c r="B293" s="9" t="s">
        <v>855</v>
      </c>
      <c r="C293" s="17" t="s">
        <v>664</v>
      </c>
      <c r="D293" s="9" t="s">
        <v>82</v>
      </c>
      <c r="E293" s="17" t="s">
        <v>83</v>
      </c>
      <c r="F293" s="18">
        <v>44510</v>
      </c>
      <c r="G293" s="24" t="s">
        <v>856</v>
      </c>
      <c r="H293" s="26" t="s">
        <v>8</v>
      </c>
      <c r="I293" s="49" t="str">
        <f>VLOOKUP(H293,VALIDACIONES!$A$2:$B$138,2,0)</f>
        <v>Conducir motocicleta sin observar las siguientes normas.(verlistadodesituaciones)</v>
      </c>
      <c r="J293" s="16">
        <v>447555</v>
      </c>
      <c r="K293" s="9" t="s">
        <v>857</v>
      </c>
      <c r="L293" s="57"/>
      <c r="M293" s="55"/>
      <c r="N293" s="16">
        <f t="shared" si="2"/>
        <v>11</v>
      </c>
      <c r="O293" s="16">
        <f t="shared" si="3"/>
        <v>2021</v>
      </c>
      <c r="P293" s="34"/>
      <c r="Q293" s="34"/>
      <c r="R293" s="34"/>
      <c r="S293" s="34"/>
      <c r="T293" s="34"/>
      <c r="U293" s="17"/>
      <c r="V293" s="23"/>
      <c r="W293" s="15"/>
      <c r="X293" s="15"/>
      <c r="Y293" s="15"/>
    </row>
    <row r="294" spans="1:25" ht="12.75" x14ac:dyDescent="0.2">
      <c r="A294" s="16">
        <v>98589116</v>
      </c>
      <c r="B294" s="9" t="s">
        <v>858</v>
      </c>
      <c r="C294" s="9" t="s">
        <v>522</v>
      </c>
      <c r="D294" s="9" t="s">
        <v>82</v>
      </c>
      <c r="E294" s="17" t="s">
        <v>83</v>
      </c>
      <c r="F294" s="18">
        <v>44518</v>
      </c>
      <c r="G294" s="24" t="s">
        <v>859</v>
      </c>
      <c r="H294" s="26" t="s">
        <v>32</v>
      </c>
      <c r="I294" s="49" t="str">
        <f>VLOOKUP(H294,VALIDACIONES!$A$2:$B$138,2,0)</f>
        <v>No acatar las señales o requerimientos impartidos por los agentes de Tránsito.</v>
      </c>
      <c r="J294" s="16">
        <v>447555</v>
      </c>
      <c r="K294" s="9"/>
      <c r="L294" s="57"/>
      <c r="M294" s="55"/>
      <c r="N294" s="16">
        <f t="shared" si="2"/>
        <v>11</v>
      </c>
      <c r="O294" s="16">
        <f t="shared" si="3"/>
        <v>2021</v>
      </c>
      <c r="P294" s="34"/>
      <c r="Q294" s="34"/>
      <c r="R294" s="34"/>
      <c r="S294" s="34"/>
      <c r="T294" s="34"/>
      <c r="U294" s="17"/>
      <c r="V294" s="23"/>
      <c r="W294" s="15"/>
      <c r="X294" s="15"/>
      <c r="Y294" s="15"/>
    </row>
    <row r="295" spans="1:25" ht="38.25" x14ac:dyDescent="0.2">
      <c r="A295" s="16">
        <v>16883472</v>
      </c>
      <c r="B295" s="9" t="s">
        <v>860</v>
      </c>
      <c r="C295" s="9" t="s">
        <v>522</v>
      </c>
      <c r="D295" s="9" t="s">
        <v>82</v>
      </c>
      <c r="E295" s="17" t="s">
        <v>83</v>
      </c>
      <c r="F295" s="18">
        <v>44519</v>
      </c>
      <c r="G295" s="24" t="s">
        <v>839</v>
      </c>
      <c r="H295" s="26" t="s">
        <v>397</v>
      </c>
      <c r="I295" s="49" t="str">
        <f>VLOOKUP(H295,VALIDACIONES!$A$2:$B$138,2,0)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295" s="16">
        <v>895096</v>
      </c>
      <c r="K295" s="9"/>
      <c r="L295" s="57"/>
      <c r="M295" s="55"/>
      <c r="N295" s="16">
        <f t="shared" si="2"/>
        <v>11</v>
      </c>
      <c r="O295" s="16">
        <f t="shared" si="3"/>
        <v>2021</v>
      </c>
      <c r="P295" s="34"/>
      <c r="Q295" s="34"/>
      <c r="R295" s="34"/>
      <c r="S295" s="34"/>
      <c r="T295" s="34"/>
      <c r="U295" s="17"/>
      <c r="V295" s="23"/>
      <c r="W295" s="15"/>
      <c r="X295" s="15"/>
      <c r="Y295" s="15"/>
    </row>
    <row r="296" spans="1:25" ht="25.5" x14ac:dyDescent="0.2">
      <c r="A296" s="16">
        <v>1216727711</v>
      </c>
      <c r="B296" s="9" t="s">
        <v>861</v>
      </c>
      <c r="C296" s="17" t="s">
        <v>25</v>
      </c>
      <c r="D296" s="9" t="s">
        <v>25</v>
      </c>
      <c r="E296" s="17" t="s">
        <v>83</v>
      </c>
      <c r="F296" s="18">
        <v>44561</v>
      </c>
      <c r="G296" s="24" t="s">
        <v>125</v>
      </c>
      <c r="H296" s="26" t="s">
        <v>385</v>
      </c>
      <c r="I296" s="49" t="str">
        <f>VLOOKUP(H296,VALIDACIONES!$A$2:$B$138,2,0)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296" s="16"/>
      <c r="K296" s="9" t="s">
        <v>114</v>
      </c>
      <c r="L296" s="57"/>
      <c r="M296" s="55"/>
      <c r="N296" s="16">
        <f t="shared" si="2"/>
        <v>12</v>
      </c>
      <c r="O296" s="16">
        <f t="shared" si="3"/>
        <v>2021</v>
      </c>
      <c r="P296" s="34"/>
      <c r="Q296" s="34"/>
      <c r="R296" s="34"/>
      <c r="S296" s="34"/>
      <c r="T296" s="34"/>
      <c r="U296" s="17"/>
      <c r="V296" s="23"/>
      <c r="W296" s="15"/>
      <c r="X296" s="15"/>
      <c r="Y296" s="15"/>
    </row>
    <row r="297" spans="1:25" ht="12.75" x14ac:dyDescent="0.2">
      <c r="A297" s="16">
        <v>1152688913</v>
      </c>
      <c r="B297" s="9" t="s">
        <v>862</v>
      </c>
      <c r="C297" s="17" t="s">
        <v>21</v>
      </c>
      <c r="D297" s="9" t="s">
        <v>135</v>
      </c>
      <c r="E297" s="17" t="s">
        <v>83</v>
      </c>
      <c r="F297" s="18">
        <v>44580</v>
      </c>
      <c r="G297" s="24" t="s">
        <v>118</v>
      </c>
      <c r="H297" s="26" t="s">
        <v>8</v>
      </c>
      <c r="I297" s="49" t="str">
        <f>VLOOKUP(H297,VALIDACIONES!$A$2:$B$138,2,0)</f>
        <v>Conducir motocicleta sin observar las siguientes normas.(verlistadodesituaciones)</v>
      </c>
      <c r="J297" s="16">
        <v>468450</v>
      </c>
      <c r="K297" s="9" t="s">
        <v>863</v>
      </c>
      <c r="L297" s="57"/>
      <c r="M297" s="55"/>
      <c r="N297" s="16">
        <f t="shared" si="2"/>
        <v>1</v>
      </c>
      <c r="O297" s="16">
        <f t="shared" si="3"/>
        <v>2022</v>
      </c>
      <c r="P297" s="34"/>
      <c r="Q297" s="34"/>
      <c r="R297" s="34"/>
      <c r="S297" s="34"/>
      <c r="T297" s="34"/>
      <c r="U297" s="17"/>
      <c r="V297" s="23"/>
      <c r="W297" s="15"/>
      <c r="X297" s="15"/>
      <c r="Y297" s="15"/>
    </row>
    <row r="298" spans="1:25" ht="12.75" x14ac:dyDescent="0.2">
      <c r="A298" s="16">
        <v>10258031</v>
      </c>
      <c r="B298" s="9" t="s">
        <v>541</v>
      </c>
      <c r="C298" s="17" t="s">
        <v>516</v>
      </c>
      <c r="D298" s="9" t="s">
        <v>82</v>
      </c>
      <c r="E298" s="17" t="s">
        <v>83</v>
      </c>
      <c r="F298" s="18">
        <v>44576</v>
      </c>
      <c r="G298" s="24" t="s">
        <v>844</v>
      </c>
      <c r="H298" s="26" t="s">
        <v>32</v>
      </c>
      <c r="I298" s="49" t="str">
        <f>VLOOKUP(H298,VALIDACIONES!$A$2:$B$138,2,0)</f>
        <v>No acatar las señales o requerimientos impartidos por los agentes de Tránsito.</v>
      </c>
      <c r="J298" s="16">
        <v>468589</v>
      </c>
      <c r="K298" s="9"/>
      <c r="L298" s="57"/>
      <c r="M298" s="55"/>
      <c r="N298" s="16">
        <f t="shared" si="2"/>
        <v>1</v>
      </c>
      <c r="O298" s="16">
        <f t="shared" si="3"/>
        <v>2022</v>
      </c>
      <c r="P298" s="34"/>
      <c r="Q298" s="34"/>
      <c r="R298" s="34"/>
      <c r="S298" s="34"/>
      <c r="T298" s="34"/>
      <c r="U298" s="17"/>
      <c r="V298" s="23"/>
      <c r="W298" s="15"/>
      <c r="X298" s="15"/>
      <c r="Y298" s="15"/>
    </row>
    <row r="299" spans="1:25" ht="25.5" x14ac:dyDescent="0.2">
      <c r="A299" s="16">
        <v>1115862589</v>
      </c>
      <c r="B299" s="9" t="s">
        <v>864</v>
      </c>
      <c r="C299" s="17" t="s">
        <v>794</v>
      </c>
      <c r="D299" s="9" t="s">
        <v>82</v>
      </c>
      <c r="E299" s="17" t="s">
        <v>83</v>
      </c>
      <c r="F299" s="18">
        <v>44586</v>
      </c>
      <c r="G299" s="24" t="s">
        <v>115</v>
      </c>
      <c r="H299" s="26" t="s">
        <v>13</v>
      </c>
      <c r="I299" s="49" t="str">
        <f>VLOOKUP(H299,VALIDACIONES!$A$2:$B$138,2,0)</f>
        <v>Transitarensentidocontrarioalestipuladoparalavía,calzadaocarril.Enelcasodemotocicletaseprocederaasuinmovilizaciónhastatantonosepagueelvalordelamultaolaautoridadcompetentedecidasobresuimposicionenlosterminosdelosarticulos135y136delcódigonacionaldetránsito.</v>
      </c>
      <c r="J299" s="16">
        <v>936900</v>
      </c>
      <c r="K299" s="9" t="s">
        <v>865</v>
      </c>
      <c r="L299" s="57"/>
      <c r="M299" s="55"/>
      <c r="N299" s="16">
        <f t="shared" si="2"/>
        <v>1</v>
      </c>
      <c r="O299" s="16">
        <f t="shared" si="3"/>
        <v>2022</v>
      </c>
      <c r="P299" s="34"/>
      <c r="Q299" s="34"/>
      <c r="R299" s="34"/>
      <c r="S299" s="34"/>
      <c r="T299" s="34"/>
      <c r="U299" s="17"/>
      <c r="V299" s="23"/>
      <c r="W299" s="15"/>
      <c r="X299" s="15"/>
      <c r="Y299" s="15"/>
    </row>
    <row r="300" spans="1:25" ht="51" x14ac:dyDescent="0.2">
      <c r="A300" s="16">
        <v>98567367</v>
      </c>
      <c r="B300" s="9" t="s">
        <v>866</v>
      </c>
      <c r="C300" s="9" t="s">
        <v>522</v>
      </c>
      <c r="D300" s="9" t="s">
        <v>82</v>
      </c>
      <c r="E300" s="17" t="s">
        <v>83</v>
      </c>
      <c r="F300" s="18">
        <v>44592</v>
      </c>
      <c r="G300" s="24" t="s">
        <v>844</v>
      </c>
      <c r="H300" s="26" t="s">
        <v>283</v>
      </c>
      <c r="I300" s="49" t="str">
        <f>VLOOKUP(H300,VALIDACIONES!$A$2:$B$138,2,0)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300" s="16">
        <v>249686</v>
      </c>
      <c r="K300" s="9" t="s">
        <v>86</v>
      </c>
      <c r="L300" s="57"/>
      <c r="M300" s="55"/>
      <c r="N300" s="16">
        <f t="shared" si="2"/>
        <v>1</v>
      </c>
      <c r="O300" s="16">
        <f t="shared" si="3"/>
        <v>2022</v>
      </c>
      <c r="P300" s="34"/>
      <c r="Q300" s="34"/>
      <c r="R300" s="34"/>
      <c r="S300" s="34"/>
      <c r="T300" s="34"/>
      <c r="U300" s="17"/>
      <c r="V300" s="23"/>
      <c r="W300" s="15"/>
      <c r="X300" s="15"/>
      <c r="Y300" s="15"/>
    </row>
    <row r="301" spans="1:25" ht="25.5" x14ac:dyDescent="0.2">
      <c r="A301" s="16">
        <v>1035422412</v>
      </c>
      <c r="B301" s="9" t="s">
        <v>867</v>
      </c>
      <c r="C301" s="17" t="s">
        <v>21</v>
      </c>
      <c r="D301" s="9" t="s">
        <v>135</v>
      </c>
      <c r="E301" s="17" t="s">
        <v>83</v>
      </c>
      <c r="F301" s="18">
        <v>44587</v>
      </c>
      <c r="G301" s="24" t="s">
        <v>844</v>
      </c>
      <c r="H301" s="26" t="s">
        <v>31</v>
      </c>
      <c r="I301" s="49" t="str">
        <f>VLOOKUP(H301,VALIDACIONES!$A$2:$B$138,2,0)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J301" s="16">
        <v>249686</v>
      </c>
      <c r="K301" s="9" t="s">
        <v>86</v>
      </c>
      <c r="L301" s="57"/>
      <c r="M301" s="55"/>
      <c r="N301" s="16">
        <f t="shared" si="2"/>
        <v>1</v>
      </c>
      <c r="O301" s="16">
        <f t="shared" si="3"/>
        <v>2022</v>
      </c>
      <c r="P301" s="34"/>
      <c r="Q301" s="34"/>
      <c r="R301" s="34"/>
      <c r="S301" s="34"/>
      <c r="T301" s="34"/>
      <c r="U301" s="17"/>
      <c r="V301" s="23"/>
      <c r="W301" s="15"/>
      <c r="X301" s="15"/>
      <c r="Y301" s="15"/>
    </row>
    <row r="302" spans="1:25" ht="25.5" x14ac:dyDescent="0.2">
      <c r="A302" s="16">
        <v>18616152</v>
      </c>
      <c r="B302" s="9" t="s">
        <v>868</v>
      </c>
      <c r="C302" s="17" t="s">
        <v>516</v>
      </c>
      <c r="D302" s="9" t="s">
        <v>82</v>
      </c>
      <c r="E302" s="17" t="s">
        <v>262</v>
      </c>
      <c r="F302" s="18">
        <v>44584</v>
      </c>
      <c r="G302" s="24" t="s">
        <v>103</v>
      </c>
      <c r="H302" s="26" t="s">
        <v>10</v>
      </c>
      <c r="I302" s="49" t="str">
        <f>VLOOKUP(H302,VALIDACIONES!$A$2:$B$138,2,0)</f>
        <v>Conducir un vehículo a velocidad superior a la máxima permitida, la cual deberá estar señalizada en forma sectorizada, no obstante esta no podrá ser superior a (verlistado)</v>
      </c>
      <c r="J302" s="16">
        <v>468450</v>
      </c>
      <c r="K302" s="9" t="s">
        <v>86</v>
      </c>
      <c r="L302" s="57"/>
      <c r="M302" s="55"/>
      <c r="N302" s="16">
        <f t="shared" si="2"/>
        <v>1</v>
      </c>
      <c r="O302" s="16">
        <f t="shared" si="3"/>
        <v>2022</v>
      </c>
      <c r="P302" s="34"/>
      <c r="Q302" s="34"/>
      <c r="R302" s="34"/>
      <c r="S302" s="34"/>
      <c r="T302" s="34"/>
      <c r="U302" s="17"/>
      <c r="V302" s="23"/>
      <c r="W302" s="15"/>
      <c r="X302" s="15"/>
      <c r="Y302" s="15"/>
    </row>
    <row r="303" spans="1:25" ht="25.5" x14ac:dyDescent="0.2">
      <c r="A303" s="16">
        <v>15347756</v>
      </c>
      <c r="B303" s="9" t="s">
        <v>869</v>
      </c>
      <c r="C303" s="9" t="s">
        <v>522</v>
      </c>
      <c r="D303" s="9" t="s">
        <v>82</v>
      </c>
      <c r="E303" s="17" t="s">
        <v>83</v>
      </c>
      <c r="F303" s="18">
        <v>44593</v>
      </c>
      <c r="G303" s="24" t="s">
        <v>842</v>
      </c>
      <c r="H303" s="26" t="s">
        <v>10</v>
      </c>
      <c r="I303" s="49" t="str">
        <f>VLOOKUP(H303,VALIDACIONES!$A$2:$B$138,2,0)</f>
        <v>Conducir un vehículo a velocidad superior a la máxima permitida, la cual deberá estar señalizada en forma sectorizada, no obstante esta no podrá ser superior a (verlistado)</v>
      </c>
      <c r="J303" s="20">
        <v>468450</v>
      </c>
      <c r="K303" s="9" t="s">
        <v>86</v>
      </c>
      <c r="L303" s="57"/>
      <c r="M303" s="55"/>
      <c r="N303" s="16">
        <f t="shared" ref="N303:N340" si="4">MONTH(F303)</f>
        <v>2</v>
      </c>
      <c r="O303" s="16">
        <f t="shared" ref="O303:O340" si="5">YEAR(F303)</f>
        <v>2022</v>
      </c>
      <c r="P303" s="34"/>
      <c r="Q303" s="34"/>
      <c r="R303" s="34"/>
      <c r="S303" s="34"/>
      <c r="T303" s="34"/>
      <c r="U303" s="17"/>
      <c r="V303" s="23"/>
      <c r="W303" s="15"/>
      <c r="X303" s="15"/>
      <c r="Y303" s="15"/>
    </row>
    <row r="304" spans="1:25" ht="25.5" x14ac:dyDescent="0.2">
      <c r="A304" s="16">
        <v>98623281</v>
      </c>
      <c r="B304" s="9" t="s">
        <v>870</v>
      </c>
      <c r="C304" s="17" t="s">
        <v>25</v>
      </c>
      <c r="D304" s="9" t="s">
        <v>25</v>
      </c>
      <c r="E304" s="17" t="s">
        <v>83</v>
      </c>
      <c r="F304" s="18">
        <v>44601</v>
      </c>
      <c r="G304" s="24" t="s">
        <v>844</v>
      </c>
      <c r="H304" s="26" t="s">
        <v>10</v>
      </c>
      <c r="I304" s="49" t="str">
        <f>VLOOKUP(H304,VALIDACIONES!$A$2:$B$138,2,0)</f>
        <v>Conducir un vehículo a velocidad superior a la máxima permitida, la cual deberá estar señalizada en forma sectorizada, no obstante esta no podrá ser superior a (verlistado)</v>
      </c>
      <c r="J304" s="21">
        <v>468589</v>
      </c>
      <c r="K304" s="9" t="s">
        <v>86</v>
      </c>
      <c r="L304" s="57"/>
      <c r="M304" s="55"/>
      <c r="N304" s="16">
        <f t="shared" si="4"/>
        <v>2</v>
      </c>
      <c r="O304" s="16">
        <f t="shared" si="5"/>
        <v>2022</v>
      </c>
      <c r="P304" s="34"/>
      <c r="Q304" s="34"/>
      <c r="R304" s="34"/>
      <c r="S304" s="34"/>
      <c r="T304" s="34"/>
      <c r="U304" s="17"/>
      <c r="V304" s="23"/>
      <c r="W304" s="15"/>
      <c r="X304" s="15"/>
      <c r="Y304" s="15"/>
    </row>
    <row r="305" spans="1:25" ht="25.5" x14ac:dyDescent="0.2">
      <c r="A305" s="16">
        <v>1039464620</v>
      </c>
      <c r="B305" s="9" t="s">
        <v>871</v>
      </c>
      <c r="C305" s="17" t="s">
        <v>794</v>
      </c>
      <c r="D305" s="9" t="s">
        <v>82</v>
      </c>
      <c r="E305" s="17" t="s">
        <v>83</v>
      </c>
      <c r="F305" s="18">
        <v>44606</v>
      </c>
      <c r="G305" s="24" t="s">
        <v>103</v>
      </c>
      <c r="H305" s="26" t="s">
        <v>10</v>
      </c>
      <c r="I305" s="49" t="str">
        <f>VLOOKUP(H305,VALIDACIONES!$A$2:$B$138,2,0)</f>
        <v>Conducir un vehículo a velocidad superior a la máxima permitida, la cual deberá estar señalizada en forma sectorizada, no obstante esta no podrá ser superior a (verlistado)</v>
      </c>
      <c r="J305" s="21">
        <v>468450</v>
      </c>
      <c r="K305" s="9" t="s">
        <v>86</v>
      </c>
      <c r="L305" s="57"/>
      <c r="M305" s="55"/>
      <c r="N305" s="16">
        <f t="shared" si="4"/>
        <v>2</v>
      </c>
      <c r="O305" s="16">
        <f t="shared" si="5"/>
        <v>2022</v>
      </c>
      <c r="P305" s="34"/>
      <c r="Q305" s="34"/>
      <c r="R305" s="34"/>
      <c r="S305" s="34"/>
      <c r="T305" s="34"/>
      <c r="U305" s="17"/>
      <c r="V305" s="23"/>
      <c r="W305" s="15"/>
      <c r="X305" s="15"/>
      <c r="Y305" s="15"/>
    </row>
    <row r="306" spans="1:25" ht="25.5" x14ac:dyDescent="0.2">
      <c r="A306" s="16">
        <v>70432663</v>
      </c>
      <c r="B306" s="9" t="s">
        <v>872</v>
      </c>
      <c r="C306" s="9" t="s">
        <v>522</v>
      </c>
      <c r="D306" s="9" t="s">
        <v>82</v>
      </c>
      <c r="E306" s="17" t="s">
        <v>83</v>
      </c>
      <c r="F306" s="18">
        <v>44600</v>
      </c>
      <c r="G306" s="24" t="s">
        <v>844</v>
      </c>
      <c r="H306" s="26" t="s">
        <v>10</v>
      </c>
      <c r="I306" s="49" t="str">
        <f>VLOOKUP(H306,VALIDACIONES!$A$2:$B$138,2,0)</f>
        <v>Conducir un vehículo a velocidad superior a la máxima permitida, la cual deberá estar señalizada en forma sectorizada, no obstante esta no podrá ser superior a (verlistado)</v>
      </c>
      <c r="J306" s="21">
        <v>468589</v>
      </c>
      <c r="K306" s="9" t="s">
        <v>86</v>
      </c>
      <c r="L306" s="57"/>
      <c r="M306" s="55"/>
      <c r="N306" s="16">
        <f t="shared" si="4"/>
        <v>2</v>
      </c>
      <c r="O306" s="16">
        <f t="shared" si="5"/>
        <v>2022</v>
      </c>
      <c r="P306" s="34"/>
      <c r="Q306" s="34"/>
      <c r="R306" s="34"/>
      <c r="S306" s="34"/>
      <c r="T306" s="34"/>
      <c r="U306" s="17"/>
      <c r="V306" s="23"/>
      <c r="W306" s="15"/>
      <c r="X306" s="15"/>
      <c r="Y306" s="15"/>
    </row>
    <row r="307" spans="1:25" ht="25.5" x14ac:dyDescent="0.2">
      <c r="A307" s="16">
        <v>71701185</v>
      </c>
      <c r="B307" s="9" t="s">
        <v>873</v>
      </c>
      <c r="C307" s="9" t="s">
        <v>25</v>
      </c>
      <c r="D307" s="9" t="s">
        <v>25</v>
      </c>
      <c r="E307" s="17" t="s">
        <v>83</v>
      </c>
      <c r="F307" s="18">
        <v>44637</v>
      </c>
      <c r="G307" s="24" t="s">
        <v>111</v>
      </c>
      <c r="H307" s="26" t="s">
        <v>13</v>
      </c>
      <c r="I307" s="49" t="str">
        <f>VLOOKUP(H307,VALIDACIONES!$A$2:$B$138,2,0)</f>
        <v>Transitarensentidocontrarioalestipuladoparalavía,calzadaocarril.Enelcasodemotocicletaseprocederaasuinmovilizaciónhastatantonosepagueelvalordelamultaolaautoridadcompetentedecidasobresuimposicionenlosterminosdelosarticulos135y136delcódigonacionaldetránsito.</v>
      </c>
      <c r="J307" s="16">
        <v>936900</v>
      </c>
      <c r="K307" s="9" t="s">
        <v>86</v>
      </c>
      <c r="L307" s="57"/>
      <c r="M307" s="55"/>
      <c r="N307" s="16">
        <f t="shared" si="4"/>
        <v>3</v>
      </c>
      <c r="O307" s="16">
        <f t="shared" si="5"/>
        <v>2022</v>
      </c>
      <c r="P307" s="34"/>
      <c r="Q307" s="34"/>
      <c r="R307" s="34"/>
      <c r="S307" s="34"/>
      <c r="T307" s="34"/>
      <c r="U307" s="17"/>
      <c r="V307" s="23"/>
      <c r="W307" s="15"/>
      <c r="X307" s="15"/>
      <c r="Y307" s="15"/>
    </row>
    <row r="308" spans="1:25" ht="12.75" x14ac:dyDescent="0.2">
      <c r="A308" s="16">
        <v>18505827</v>
      </c>
      <c r="B308" s="9" t="s">
        <v>874</v>
      </c>
      <c r="C308" s="9" t="s">
        <v>792</v>
      </c>
      <c r="D308" s="9" t="s">
        <v>82</v>
      </c>
      <c r="E308" s="17" t="s">
        <v>262</v>
      </c>
      <c r="F308" s="18">
        <v>44646</v>
      </c>
      <c r="G308" s="24" t="s">
        <v>875</v>
      </c>
      <c r="H308" s="26" t="s">
        <v>4</v>
      </c>
      <c r="I308" s="49" t="str">
        <f>VLOOKUP(H308,VALIDACIONES!$A$2:$B$138,2,0)</f>
        <v>Estacionar un vehículo en los sitios prohibidos por el Código Nacional de Tránsito, reglamentado por la Res.3027.</v>
      </c>
      <c r="J308" s="16">
        <v>468589</v>
      </c>
      <c r="K308" s="9" t="s">
        <v>86</v>
      </c>
      <c r="L308" s="57"/>
      <c r="M308" s="55"/>
      <c r="N308" s="16">
        <f t="shared" si="4"/>
        <v>3</v>
      </c>
      <c r="O308" s="16">
        <f t="shared" si="5"/>
        <v>2022</v>
      </c>
      <c r="P308" s="34"/>
      <c r="Q308" s="34"/>
      <c r="R308" s="34"/>
      <c r="S308" s="34"/>
      <c r="T308" s="34"/>
      <c r="U308" s="17"/>
      <c r="V308" s="23"/>
      <c r="W308" s="15"/>
      <c r="X308" s="15"/>
      <c r="Y308" s="15"/>
    </row>
    <row r="309" spans="1:25" ht="25.5" x14ac:dyDescent="0.2">
      <c r="A309" s="16">
        <v>98461341</v>
      </c>
      <c r="B309" s="9" t="s">
        <v>876</v>
      </c>
      <c r="C309" s="9" t="s">
        <v>516</v>
      </c>
      <c r="D309" s="9" t="s">
        <v>82</v>
      </c>
      <c r="E309" s="17" t="s">
        <v>83</v>
      </c>
      <c r="F309" s="18">
        <v>44648</v>
      </c>
      <c r="G309" s="24" t="s">
        <v>138</v>
      </c>
      <c r="H309" s="26" t="s">
        <v>7</v>
      </c>
      <c r="I309" s="49" t="str">
        <f>VLOOKUP(H309,VALIDACIONES!$A$2:$B$138,2,0)</f>
        <v>Transitar por los siguientes sitios restringidos o en horas prohibidas por laautoridad competente. Además, el vehículo será inmovilizado.(verlistado)</v>
      </c>
      <c r="J309" s="16">
        <v>468450</v>
      </c>
      <c r="K309" s="9" t="s">
        <v>86</v>
      </c>
      <c r="L309" s="57"/>
      <c r="M309" s="55"/>
      <c r="N309" s="16">
        <f t="shared" si="4"/>
        <v>3</v>
      </c>
      <c r="O309" s="16">
        <f t="shared" si="5"/>
        <v>2022</v>
      </c>
      <c r="P309" s="34"/>
      <c r="Q309" s="34"/>
      <c r="R309" s="34"/>
      <c r="S309" s="34"/>
      <c r="T309" s="34"/>
      <c r="U309" s="17"/>
      <c r="V309" s="23"/>
      <c r="W309" s="15"/>
      <c r="X309" s="15"/>
      <c r="Y309" s="15"/>
    </row>
    <row r="310" spans="1:25" ht="25.5" x14ac:dyDescent="0.2">
      <c r="A310" s="16">
        <v>79909780</v>
      </c>
      <c r="B310" s="9" t="s">
        <v>877</v>
      </c>
      <c r="C310" s="9" t="s">
        <v>22</v>
      </c>
      <c r="D310" s="9" t="s">
        <v>82</v>
      </c>
      <c r="E310" s="17" t="s">
        <v>100</v>
      </c>
      <c r="F310" s="18">
        <v>44668</v>
      </c>
      <c r="G310" s="24" t="s">
        <v>842</v>
      </c>
      <c r="H310" s="26" t="s">
        <v>10</v>
      </c>
      <c r="I310" s="49" t="str">
        <f>VLOOKUP(H310,VALIDACIONES!$A$2:$B$138,2,0)</f>
        <v>Conducir un vehículo a velocidad superior a la máxima permitida, la cual deberá estar señalizada en forma sectorizada, no obstante esta no podrá ser superior a (verlistado)</v>
      </c>
      <c r="J310" s="16">
        <v>468450</v>
      </c>
      <c r="K310" s="9" t="s">
        <v>86</v>
      </c>
      <c r="L310" s="57"/>
      <c r="M310" s="55"/>
      <c r="N310" s="16">
        <f t="shared" si="4"/>
        <v>4</v>
      </c>
      <c r="O310" s="16">
        <f t="shared" si="5"/>
        <v>2022</v>
      </c>
      <c r="P310" s="34"/>
      <c r="Q310" s="34"/>
      <c r="R310" s="34"/>
      <c r="S310" s="34"/>
      <c r="T310" s="34"/>
      <c r="U310" s="17"/>
      <c r="V310" s="23"/>
      <c r="W310" s="15"/>
      <c r="X310" s="15"/>
      <c r="Y310" s="15"/>
    </row>
    <row r="311" spans="1:25" ht="25.5" x14ac:dyDescent="0.2">
      <c r="A311" s="16">
        <v>9696164</v>
      </c>
      <c r="B311" s="9" t="s">
        <v>878</v>
      </c>
      <c r="C311" s="9" t="s">
        <v>22</v>
      </c>
      <c r="D311" s="9" t="s">
        <v>82</v>
      </c>
      <c r="E311" s="17" t="s">
        <v>100</v>
      </c>
      <c r="F311" s="18">
        <v>44664</v>
      </c>
      <c r="G311" s="24" t="s">
        <v>127</v>
      </c>
      <c r="H311" s="26" t="s">
        <v>10</v>
      </c>
      <c r="I311" s="49" t="str">
        <f>VLOOKUP(H311,VALIDACIONES!$A$2:$B$138,2,0)</f>
        <v>Conducir un vehículo a velocidad superior a la máxima permitida, la cual deberá estar señalizada en forma sectorizada, no obstante esta no podrá ser superior a (verlistado)</v>
      </c>
      <c r="J311" s="16">
        <v>468450</v>
      </c>
      <c r="K311" s="9" t="s">
        <v>86</v>
      </c>
      <c r="L311" s="57"/>
      <c r="M311" s="55"/>
      <c r="N311" s="16">
        <f t="shared" si="4"/>
        <v>4</v>
      </c>
      <c r="O311" s="16">
        <f t="shared" si="5"/>
        <v>2022</v>
      </c>
      <c r="P311" s="34"/>
      <c r="Q311" s="34"/>
      <c r="R311" s="34"/>
      <c r="S311" s="34"/>
      <c r="T311" s="34"/>
      <c r="U311" s="17"/>
      <c r="V311" s="23"/>
      <c r="W311" s="15"/>
      <c r="X311" s="15"/>
      <c r="Y311" s="15"/>
    </row>
    <row r="312" spans="1:25" ht="25.5" x14ac:dyDescent="0.2">
      <c r="A312" s="16">
        <v>15437502</v>
      </c>
      <c r="B312" s="9" t="s">
        <v>879</v>
      </c>
      <c r="C312" s="9" t="s">
        <v>522</v>
      </c>
      <c r="D312" s="9" t="s">
        <v>82</v>
      </c>
      <c r="E312" s="17" t="s">
        <v>83</v>
      </c>
      <c r="F312" s="18">
        <v>44674</v>
      </c>
      <c r="G312" s="24" t="s">
        <v>846</v>
      </c>
      <c r="H312" s="26" t="s">
        <v>385</v>
      </c>
      <c r="I312" s="49" t="str">
        <f>VLOOKUP(H312,VALIDACIONES!$A$2:$B$138,2,0)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312" s="16">
        <v>468450</v>
      </c>
      <c r="K312" s="9" t="s">
        <v>86</v>
      </c>
      <c r="L312" s="57"/>
      <c r="M312" s="55"/>
      <c r="N312" s="16">
        <f t="shared" si="4"/>
        <v>4</v>
      </c>
      <c r="O312" s="16">
        <f t="shared" si="5"/>
        <v>2022</v>
      </c>
      <c r="P312" s="34"/>
      <c r="Q312" s="34"/>
      <c r="R312" s="34"/>
      <c r="S312" s="34"/>
      <c r="T312" s="34"/>
      <c r="U312" s="17"/>
      <c r="V312" s="23"/>
      <c r="W312" s="15"/>
      <c r="X312" s="15"/>
      <c r="Y312" s="15"/>
    </row>
    <row r="313" spans="1:25" ht="25.5" x14ac:dyDescent="0.2">
      <c r="A313" s="16">
        <v>75078328</v>
      </c>
      <c r="B313" s="9" t="s">
        <v>880</v>
      </c>
      <c r="C313" s="9" t="s">
        <v>22</v>
      </c>
      <c r="D313" s="9" t="s">
        <v>82</v>
      </c>
      <c r="E313" s="17" t="s">
        <v>100</v>
      </c>
      <c r="F313" s="18">
        <v>44676</v>
      </c>
      <c r="G313" s="24" t="s">
        <v>127</v>
      </c>
      <c r="H313" s="26" t="s">
        <v>10</v>
      </c>
      <c r="I313" s="49" t="str">
        <f>VLOOKUP(H313,VALIDACIONES!$A$2:$B$138,2,0)</f>
        <v>Conducir un vehículo a velocidad superior a la máxima permitida, la cual deberá estar señalizada en forma sectorizada, no obstante esta no podrá ser superior a (verlistado)</v>
      </c>
      <c r="J313" s="16">
        <v>468450</v>
      </c>
      <c r="K313" s="9" t="s">
        <v>86</v>
      </c>
      <c r="L313" s="57"/>
      <c r="M313" s="55"/>
      <c r="N313" s="16">
        <f t="shared" si="4"/>
        <v>4</v>
      </c>
      <c r="O313" s="16">
        <f t="shared" si="5"/>
        <v>2022</v>
      </c>
      <c r="P313" s="34"/>
      <c r="Q313" s="34"/>
      <c r="R313" s="34"/>
      <c r="S313" s="34"/>
      <c r="T313" s="34"/>
      <c r="U313" s="17"/>
      <c r="V313" s="23"/>
      <c r="W313" s="15"/>
      <c r="X313" s="15"/>
      <c r="Y313" s="15"/>
    </row>
    <row r="314" spans="1:25" ht="12.75" x14ac:dyDescent="0.2">
      <c r="A314" s="16">
        <v>15372917</v>
      </c>
      <c r="B314" s="9" t="s">
        <v>881</v>
      </c>
      <c r="C314" s="9" t="s">
        <v>664</v>
      </c>
      <c r="D314" s="9" t="s">
        <v>82</v>
      </c>
      <c r="E314" s="17" t="s">
        <v>83</v>
      </c>
      <c r="F314" s="18">
        <v>44680</v>
      </c>
      <c r="G314" s="24" t="s">
        <v>111</v>
      </c>
      <c r="H314" s="26" t="s">
        <v>180</v>
      </c>
      <c r="I314" s="49" t="str">
        <f>VLOOKUP(H314,VALIDACIONES!$A$2:$B$138,2,0)</f>
        <v>Bloquearunacalzadaointersecciónconunvehículo,salvocuandoelbloqueoobedezcaalaocurrenciadeunaccidente.</v>
      </c>
      <c r="J314" s="16">
        <v>468450</v>
      </c>
      <c r="K314" s="9" t="s">
        <v>86</v>
      </c>
      <c r="L314" s="57"/>
      <c r="M314" s="55"/>
      <c r="N314" s="16">
        <f t="shared" si="4"/>
        <v>4</v>
      </c>
      <c r="O314" s="16">
        <f t="shared" si="5"/>
        <v>2022</v>
      </c>
      <c r="P314" s="34"/>
      <c r="Q314" s="34"/>
      <c r="R314" s="34"/>
      <c r="S314" s="34"/>
      <c r="T314" s="34"/>
      <c r="U314" s="17"/>
      <c r="V314" s="23"/>
      <c r="W314" s="15"/>
      <c r="X314" s="15"/>
      <c r="Y314" s="15"/>
    </row>
    <row r="315" spans="1:25" ht="25.5" x14ac:dyDescent="0.2">
      <c r="A315" s="16">
        <v>15347756</v>
      </c>
      <c r="B315" s="9" t="s">
        <v>869</v>
      </c>
      <c r="C315" s="9" t="s">
        <v>522</v>
      </c>
      <c r="D315" s="9" t="s">
        <v>82</v>
      </c>
      <c r="E315" s="17" t="s">
        <v>83</v>
      </c>
      <c r="F315" s="18">
        <v>44695</v>
      </c>
      <c r="G315" s="77" t="s">
        <v>882</v>
      </c>
      <c r="H315" s="77" t="s">
        <v>10</v>
      </c>
      <c r="I315" s="49" t="str">
        <f>VLOOKUP(H315,VALIDACIONES!$A$2:$B$138,2,0)</f>
        <v>Conducir un vehículo a velocidad superior a la máxima permitida, la cual deberá estar señalizada en forma sectorizada, no obstante esta no podrá ser superior a (verlistado)</v>
      </c>
      <c r="J315" s="16">
        <v>468450</v>
      </c>
      <c r="K315" s="9" t="s">
        <v>86</v>
      </c>
      <c r="L315" s="57"/>
      <c r="M315" s="55"/>
      <c r="N315" s="16">
        <f t="shared" si="4"/>
        <v>5</v>
      </c>
      <c r="O315" s="16">
        <f t="shared" si="5"/>
        <v>2022</v>
      </c>
      <c r="P315" s="34"/>
      <c r="Q315" s="34"/>
      <c r="R315" s="34"/>
      <c r="S315" s="34"/>
      <c r="T315" s="34"/>
      <c r="U315" s="17"/>
      <c r="V315" s="23"/>
      <c r="W315" s="15"/>
      <c r="X315" s="15"/>
      <c r="Y315" s="15"/>
    </row>
    <row r="316" spans="1:25" ht="38.25" x14ac:dyDescent="0.2">
      <c r="A316" s="16">
        <v>1020488043</v>
      </c>
      <c r="B316" s="9" t="s">
        <v>883</v>
      </c>
      <c r="C316" s="9" t="s">
        <v>25</v>
      </c>
      <c r="D316" s="9" t="s">
        <v>25</v>
      </c>
      <c r="E316" s="17" t="s">
        <v>83</v>
      </c>
      <c r="F316" s="18">
        <v>44700</v>
      </c>
      <c r="G316" s="77" t="s">
        <v>844</v>
      </c>
      <c r="H316" s="77" t="s">
        <v>11</v>
      </c>
      <c r="I316" s="49" t="str">
        <f>VLOOKUP(H316,VALIDACIONES!$A$2:$B$138,2,0)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16" s="16">
        <v>468589</v>
      </c>
      <c r="K316" s="9" t="s">
        <v>86</v>
      </c>
      <c r="L316" s="57"/>
      <c r="M316" s="55"/>
      <c r="N316" s="16">
        <f t="shared" si="4"/>
        <v>5</v>
      </c>
      <c r="O316" s="16">
        <f t="shared" si="5"/>
        <v>2022</v>
      </c>
      <c r="P316" s="34"/>
      <c r="Q316" s="34"/>
      <c r="R316" s="34"/>
      <c r="S316" s="34"/>
      <c r="T316" s="34"/>
      <c r="U316" s="17"/>
      <c r="V316" s="23"/>
      <c r="W316" s="15"/>
      <c r="X316" s="15"/>
      <c r="Y316" s="15"/>
    </row>
    <row r="317" spans="1:25" ht="38.25" x14ac:dyDescent="0.2">
      <c r="A317" s="16">
        <v>16712108</v>
      </c>
      <c r="B317" s="9" t="s">
        <v>884</v>
      </c>
      <c r="C317" s="9" t="s">
        <v>516</v>
      </c>
      <c r="D317" s="9" t="s">
        <v>82</v>
      </c>
      <c r="E317" s="17" t="s">
        <v>251</v>
      </c>
      <c r="F317" s="18">
        <v>44687</v>
      </c>
      <c r="G317" s="77" t="s">
        <v>840</v>
      </c>
      <c r="H317" s="77" t="s">
        <v>14</v>
      </c>
      <c r="I317" s="49" t="str">
        <f>VLOOKUP(H317,VALIDACIONES!$A$2:$B$138,2,0)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317" s="16">
        <v>936900</v>
      </c>
      <c r="K317" s="9" t="s">
        <v>86</v>
      </c>
      <c r="L317" s="57"/>
      <c r="M317" s="55"/>
      <c r="N317" s="16">
        <f t="shared" si="4"/>
        <v>5</v>
      </c>
      <c r="O317" s="16">
        <f t="shared" si="5"/>
        <v>2022</v>
      </c>
      <c r="P317" s="34"/>
      <c r="Q317" s="34"/>
      <c r="R317" s="34"/>
      <c r="S317" s="34"/>
      <c r="T317" s="34"/>
      <c r="U317" s="17"/>
      <c r="V317" s="23"/>
      <c r="W317" s="15"/>
      <c r="X317" s="15"/>
      <c r="Y317" s="15"/>
    </row>
    <row r="318" spans="1:25" ht="25.5" x14ac:dyDescent="0.2">
      <c r="A318" s="16">
        <v>98695903</v>
      </c>
      <c r="B318" s="9" t="s">
        <v>885</v>
      </c>
      <c r="C318" s="9" t="s">
        <v>516</v>
      </c>
      <c r="D318" s="9" t="s">
        <v>82</v>
      </c>
      <c r="E318" s="17" t="s">
        <v>262</v>
      </c>
      <c r="F318" s="18">
        <v>44689</v>
      </c>
      <c r="G318" s="77" t="s">
        <v>842</v>
      </c>
      <c r="H318" s="77" t="s">
        <v>10</v>
      </c>
      <c r="I318" s="49" t="str">
        <f>VLOOKUP(H318,VALIDACIONES!$A$2:$B$138,2,0)</f>
        <v>Conducir un vehículo a velocidad superior a la máxima permitida, la cual deberá estar señalizada en forma sectorizada, no obstante esta no podrá ser superior a (verlistado)</v>
      </c>
      <c r="J318" s="16">
        <v>468450</v>
      </c>
      <c r="K318" s="9" t="s">
        <v>86</v>
      </c>
      <c r="L318" s="57"/>
      <c r="M318" s="55"/>
      <c r="N318" s="16">
        <f t="shared" si="4"/>
        <v>5</v>
      </c>
      <c r="O318" s="16">
        <f t="shared" si="5"/>
        <v>2022</v>
      </c>
      <c r="P318" s="34"/>
      <c r="Q318" s="34"/>
      <c r="R318" s="34"/>
      <c r="S318" s="34"/>
      <c r="T318" s="34"/>
      <c r="U318" s="17"/>
      <c r="V318" s="23"/>
      <c r="W318" s="15"/>
      <c r="X318" s="15"/>
      <c r="Y318" s="15"/>
    </row>
    <row r="319" spans="1:25" ht="12.75" x14ac:dyDescent="0.2">
      <c r="A319" s="16">
        <v>1144145187</v>
      </c>
      <c r="B319" s="9" t="s">
        <v>886</v>
      </c>
      <c r="C319" s="9" t="s">
        <v>516</v>
      </c>
      <c r="D319" s="9" t="s">
        <v>82</v>
      </c>
      <c r="E319" s="17" t="s">
        <v>251</v>
      </c>
      <c r="F319" s="18">
        <v>44685</v>
      </c>
      <c r="G319" s="77" t="s">
        <v>840</v>
      </c>
      <c r="H319" s="77" t="s">
        <v>32</v>
      </c>
      <c r="I319" s="49" t="str">
        <f>VLOOKUP(H319,VALIDACIONES!$A$2:$B$138,2,0)</f>
        <v>No acatar las señales o requerimientos impartidos por los agentes de Tránsito.</v>
      </c>
      <c r="J319" s="16">
        <v>468450</v>
      </c>
      <c r="K319" s="9" t="s">
        <v>86</v>
      </c>
      <c r="L319" s="57"/>
      <c r="M319" s="55"/>
      <c r="N319" s="16">
        <f t="shared" si="4"/>
        <v>5</v>
      </c>
      <c r="O319" s="16">
        <f t="shared" si="5"/>
        <v>2022</v>
      </c>
      <c r="P319" s="34"/>
      <c r="Q319" s="34"/>
      <c r="R319" s="34"/>
      <c r="S319" s="34"/>
      <c r="T319" s="34"/>
      <c r="U319" s="17"/>
      <c r="V319" s="23"/>
      <c r="W319" s="15"/>
      <c r="X319" s="15"/>
      <c r="Y319" s="15"/>
    </row>
    <row r="320" spans="1:25" ht="38.25" x14ac:dyDescent="0.2">
      <c r="A320" s="16">
        <v>1118290441</v>
      </c>
      <c r="B320" s="9" t="s">
        <v>887</v>
      </c>
      <c r="C320" s="9" t="s">
        <v>888</v>
      </c>
      <c r="D320" s="9" t="s">
        <v>82</v>
      </c>
      <c r="E320" s="17" t="s">
        <v>83</v>
      </c>
      <c r="F320" s="18">
        <v>44728</v>
      </c>
      <c r="G320" s="77" t="s">
        <v>93</v>
      </c>
      <c r="H320" s="77" t="s">
        <v>11</v>
      </c>
      <c r="I320" s="49" t="str">
        <f>VLOOKUP(H320,VALIDACIONES!$A$2:$B$138,2,0)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20" s="16">
        <v>468589</v>
      </c>
      <c r="K320" s="9" t="s">
        <v>86</v>
      </c>
      <c r="L320" s="57"/>
      <c r="M320" s="55"/>
      <c r="N320" s="16">
        <f t="shared" si="4"/>
        <v>6</v>
      </c>
      <c r="O320" s="16">
        <f t="shared" si="5"/>
        <v>2022</v>
      </c>
      <c r="P320" s="34"/>
      <c r="Q320" s="34"/>
      <c r="R320" s="34"/>
      <c r="S320" s="34"/>
      <c r="T320" s="34"/>
      <c r="U320" s="17"/>
      <c r="V320" s="23"/>
      <c r="W320" s="15"/>
      <c r="X320" s="15"/>
      <c r="Y320" s="15"/>
    </row>
    <row r="321" spans="1:25" ht="38.25" x14ac:dyDescent="0.2">
      <c r="A321" s="16">
        <v>8402361</v>
      </c>
      <c r="B321" s="9" t="s">
        <v>45</v>
      </c>
      <c r="C321" s="9" t="s">
        <v>176</v>
      </c>
      <c r="D321" s="9" t="s">
        <v>82</v>
      </c>
      <c r="E321" s="17" t="s">
        <v>83</v>
      </c>
      <c r="F321" s="18">
        <v>44722</v>
      </c>
      <c r="G321" s="77" t="s">
        <v>118</v>
      </c>
      <c r="H321" s="77" t="s">
        <v>14</v>
      </c>
      <c r="I321" s="49" t="str">
        <f>VLOOKUP(H321,VALIDACIONES!$A$2:$B$138,2,0)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321" s="16">
        <v>936900</v>
      </c>
      <c r="K321" s="9" t="s">
        <v>86</v>
      </c>
      <c r="L321" s="57"/>
      <c r="M321" s="55"/>
      <c r="N321" s="16">
        <f t="shared" si="4"/>
        <v>6</v>
      </c>
      <c r="O321" s="16">
        <f t="shared" si="5"/>
        <v>2022</v>
      </c>
      <c r="P321" s="34"/>
      <c r="Q321" s="34"/>
      <c r="R321" s="34"/>
      <c r="S321" s="34"/>
      <c r="T321" s="34"/>
      <c r="U321" s="17"/>
      <c r="V321" s="23"/>
      <c r="W321" s="15"/>
      <c r="X321" s="15"/>
      <c r="Y321" s="15"/>
    </row>
    <row r="322" spans="1:25" ht="25.5" x14ac:dyDescent="0.2">
      <c r="A322" s="16">
        <v>18616152</v>
      </c>
      <c r="B322" s="9" t="s">
        <v>868</v>
      </c>
      <c r="C322" s="9" t="s">
        <v>516</v>
      </c>
      <c r="D322" s="9" t="s">
        <v>82</v>
      </c>
      <c r="E322" s="17" t="s">
        <v>262</v>
      </c>
      <c r="F322" s="18">
        <v>44725</v>
      </c>
      <c r="G322" s="77" t="s">
        <v>127</v>
      </c>
      <c r="H322" s="77" t="s">
        <v>10</v>
      </c>
      <c r="I322" s="49" t="str">
        <f>VLOOKUP(H322,VALIDACIONES!$A$2:$B$138,2,0)</f>
        <v>Conducir un vehículo a velocidad superior a la máxima permitida, la cual deberá estar señalizada en forma sectorizada, no obstante esta no podrá ser superior a (verlistado)</v>
      </c>
      <c r="J322" s="16">
        <v>468450</v>
      </c>
      <c r="K322" s="9" t="s">
        <v>86</v>
      </c>
      <c r="L322" s="57"/>
      <c r="M322" s="55"/>
      <c r="N322" s="16">
        <f t="shared" si="4"/>
        <v>6</v>
      </c>
      <c r="O322" s="16">
        <f t="shared" si="5"/>
        <v>2022</v>
      </c>
      <c r="P322" s="34"/>
      <c r="Q322" s="34"/>
      <c r="R322" s="34"/>
      <c r="S322" s="34"/>
      <c r="T322" s="34"/>
      <c r="U322" s="17"/>
      <c r="V322" s="23"/>
      <c r="W322" s="15"/>
      <c r="X322" s="15"/>
      <c r="Y322" s="15"/>
    </row>
    <row r="323" spans="1:25" ht="38.25" x14ac:dyDescent="0.2">
      <c r="A323" s="16">
        <v>71213197</v>
      </c>
      <c r="B323" s="9" t="s">
        <v>889</v>
      </c>
      <c r="C323" s="9" t="s">
        <v>664</v>
      </c>
      <c r="D323" s="9" t="s">
        <v>82</v>
      </c>
      <c r="E323" s="17" t="s">
        <v>83</v>
      </c>
      <c r="F323" s="18">
        <v>44756</v>
      </c>
      <c r="G323" s="77" t="s">
        <v>93</v>
      </c>
      <c r="H323" s="77" t="s">
        <v>11</v>
      </c>
      <c r="I323" s="49" t="str">
        <f>VLOOKUP(H323,VALIDACIONES!$A$2:$B$138,2,0)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23" s="16">
        <v>468589</v>
      </c>
      <c r="K323" s="9" t="s">
        <v>86</v>
      </c>
      <c r="L323" s="57"/>
      <c r="M323" s="55"/>
      <c r="N323" s="16">
        <f t="shared" si="4"/>
        <v>7</v>
      </c>
      <c r="O323" s="16">
        <f t="shared" si="5"/>
        <v>2022</v>
      </c>
      <c r="P323" s="34"/>
      <c r="Q323" s="34"/>
      <c r="R323" s="34"/>
      <c r="S323" s="34"/>
      <c r="T323" s="34"/>
      <c r="U323" s="17"/>
      <c r="V323" s="23"/>
      <c r="W323" s="15"/>
      <c r="X323" s="15"/>
      <c r="Y323" s="15"/>
    </row>
    <row r="324" spans="1:25" ht="12.75" x14ac:dyDescent="0.2">
      <c r="A324" s="16">
        <v>1000770888</v>
      </c>
      <c r="B324" s="9" t="s">
        <v>890</v>
      </c>
      <c r="C324" s="9" t="s">
        <v>664</v>
      </c>
      <c r="D324" s="9" t="s">
        <v>82</v>
      </c>
      <c r="E324" s="17" t="s">
        <v>83</v>
      </c>
      <c r="F324" s="18">
        <v>44748</v>
      </c>
      <c r="G324" s="77" t="s">
        <v>142</v>
      </c>
      <c r="H324" s="77" t="s">
        <v>15</v>
      </c>
      <c r="I324" s="49" t="str">
        <f>VLOOKUP(H324,VALIDACIONES!$A$2:$B$138,2,0)</f>
        <v>Las demas conductas que constituyan infraccion a las normas de transito y que no se encuentren descritas en este acto administrativo.</v>
      </c>
      <c r="J324" s="28">
        <v>156196</v>
      </c>
      <c r="K324" s="9" t="s">
        <v>86</v>
      </c>
      <c r="L324" s="57"/>
      <c r="M324" s="55"/>
      <c r="N324" s="16">
        <f t="shared" si="4"/>
        <v>7</v>
      </c>
      <c r="O324" s="16">
        <f t="shared" si="5"/>
        <v>2022</v>
      </c>
      <c r="P324" s="34"/>
      <c r="Q324" s="34"/>
      <c r="R324" s="34"/>
      <c r="S324" s="34"/>
      <c r="T324" s="34"/>
      <c r="U324" s="17"/>
      <c r="V324" s="23"/>
      <c r="W324" s="15"/>
      <c r="X324" s="15"/>
      <c r="Y324" s="15"/>
    </row>
    <row r="325" spans="1:25" ht="25.5" x14ac:dyDescent="0.2">
      <c r="A325" s="9">
        <v>1035423109</v>
      </c>
      <c r="B325" s="9" t="s">
        <v>891</v>
      </c>
      <c r="C325" s="9" t="s">
        <v>25</v>
      </c>
      <c r="D325" s="9" t="s">
        <v>25</v>
      </c>
      <c r="E325" s="17" t="s">
        <v>83</v>
      </c>
      <c r="F325" s="18">
        <v>44778</v>
      </c>
      <c r="G325" s="24" t="s">
        <v>844</v>
      </c>
      <c r="H325" s="26" t="s">
        <v>31</v>
      </c>
      <c r="I325" s="49" t="str">
        <f>VLOOKUP(H325,VALIDACIONES!$A$2:$B$138,2,0)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J325" s="28">
        <v>249686</v>
      </c>
      <c r="K325" s="9" t="s">
        <v>86</v>
      </c>
      <c r="L325" s="57"/>
      <c r="M325" s="55"/>
      <c r="N325" s="16">
        <f t="shared" si="4"/>
        <v>8</v>
      </c>
      <c r="O325" s="16">
        <f t="shared" si="5"/>
        <v>2022</v>
      </c>
      <c r="P325" s="34"/>
      <c r="Q325" s="34"/>
      <c r="R325" s="34"/>
      <c r="S325" s="34"/>
      <c r="T325" s="34"/>
      <c r="U325" s="17"/>
      <c r="V325" s="23"/>
      <c r="W325" s="15"/>
      <c r="X325" s="15"/>
      <c r="Y325" s="15"/>
    </row>
    <row r="326" spans="1:25" ht="25.5" x14ac:dyDescent="0.2">
      <c r="A326" s="9">
        <v>1036685896</v>
      </c>
      <c r="B326" s="9" t="s">
        <v>892</v>
      </c>
      <c r="C326" s="9" t="s">
        <v>25</v>
      </c>
      <c r="D326" s="9" t="s">
        <v>25</v>
      </c>
      <c r="E326" s="17" t="s">
        <v>83</v>
      </c>
      <c r="F326" s="18">
        <v>44795</v>
      </c>
      <c r="G326" s="24" t="s">
        <v>118</v>
      </c>
      <c r="H326" s="26" t="s">
        <v>385</v>
      </c>
      <c r="I326" s="49" t="str">
        <f>VLOOKUP(H326,VALIDACIONES!$A$2:$B$138,2,0)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326" s="28">
        <v>468450</v>
      </c>
      <c r="K326" s="9" t="s">
        <v>86</v>
      </c>
      <c r="L326" s="55"/>
      <c r="M326" s="55"/>
      <c r="N326" s="16">
        <f t="shared" si="4"/>
        <v>8</v>
      </c>
      <c r="O326" s="16">
        <f t="shared" si="5"/>
        <v>2022</v>
      </c>
      <c r="P326" s="34"/>
      <c r="Q326" s="34"/>
      <c r="R326" s="34"/>
      <c r="S326" s="34"/>
      <c r="T326" s="34"/>
      <c r="U326" s="17"/>
      <c r="V326" s="23"/>
      <c r="W326" s="15"/>
      <c r="X326" s="15"/>
      <c r="Y326" s="15"/>
    </row>
    <row r="327" spans="1:25" ht="12.75" x14ac:dyDescent="0.2">
      <c r="A327" s="9">
        <v>98649336</v>
      </c>
      <c r="B327" s="9" t="s">
        <v>893</v>
      </c>
      <c r="C327" s="9" t="s">
        <v>664</v>
      </c>
      <c r="D327" s="9" t="s">
        <v>82</v>
      </c>
      <c r="E327" s="17" t="s">
        <v>83</v>
      </c>
      <c r="F327" s="18">
        <v>44775</v>
      </c>
      <c r="G327" s="24" t="s">
        <v>844</v>
      </c>
      <c r="H327" s="26" t="s">
        <v>359</v>
      </c>
      <c r="I327" s="49" t="str">
        <f>VLOOKUP(H327,VALIDACIONES!$A$2:$B$138,2,0)</f>
        <v>Noasegurarlacargaparaevitarquesecaiganenlavíalascosastransportadas.Además,seinmovilizaráelvehículohastatantoseremedielasituación.</v>
      </c>
      <c r="J327" s="28">
        <v>468589</v>
      </c>
      <c r="K327" s="9" t="s">
        <v>86</v>
      </c>
      <c r="L327" s="55"/>
      <c r="M327" s="55"/>
      <c r="N327" s="16">
        <f t="shared" si="4"/>
        <v>8</v>
      </c>
      <c r="O327" s="16">
        <f t="shared" si="5"/>
        <v>2022</v>
      </c>
      <c r="P327" s="34"/>
      <c r="Q327" s="34"/>
      <c r="R327" s="34"/>
      <c r="S327" s="34"/>
      <c r="T327" s="34"/>
      <c r="U327" s="17"/>
      <c r="V327" s="23"/>
      <c r="W327" s="15"/>
      <c r="X327" s="15"/>
      <c r="Y327" s="15"/>
    </row>
    <row r="328" spans="1:25" ht="25.5" x14ac:dyDescent="0.2">
      <c r="A328" s="9">
        <v>71770611</v>
      </c>
      <c r="B328" s="9" t="s">
        <v>894</v>
      </c>
      <c r="C328" s="17" t="s">
        <v>27</v>
      </c>
      <c r="D328" s="9" t="s">
        <v>82</v>
      </c>
      <c r="E328" s="17" t="s">
        <v>83</v>
      </c>
      <c r="F328" s="18">
        <v>44778</v>
      </c>
      <c r="G328" s="24" t="s">
        <v>844</v>
      </c>
      <c r="H328" s="26" t="s">
        <v>7</v>
      </c>
      <c r="I328" s="49" t="str">
        <f>VLOOKUP(H328,VALIDACIONES!$A$2:$B$138,2,0)</f>
        <v>Transitar por los siguientes sitios restringidos o en horas prohibidas por laautoridad competente. Además, el vehículo será inmovilizado.(verlistado)</v>
      </c>
      <c r="J328" s="28">
        <v>468589</v>
      </c>
      <c r="K328" s="9" t="s">
        <v>86</v>
      </c>
      <c r="L328" s="55"/>
      <c r="M328" s="55"/>
      <c r="N328" s="16">
        <f t="shared" si="4"/>
        <v>8</v>
      </c>
      <c r="O328" s="16">
        <f t="shared" si="5"/>
        <v>2022</v>
      </c>
      <c r="P328" s="34"/>
      <c r="Q328" s="34"/>
      <c r="R328" s="34"/>
      <c r="S328" s="34"/>
      <c r="T328" s="34"/>
      <c r="U328" s="17"/>
      <c r="V328" s="23"/>
      <c r="W328" s="15"/>
      <c r="X328" s="15"/>
      <c r="Y328" s="15"/>
    </row>
    <row r="329" spans="1:25" ht="12.75" x14ac:dyDescent="0.2">
      <c r="A329" s="9">
        <v>1071329400</v>
      </c>
      <c r="B329" s="9" t="s">
        <v>895</v>
      </c>
      <c r="C329" s="17" t="s">
        <v>22</v>
      </c>
      <c r="D329" s="17" t="s">
        <v>82</v>
      </c>
      <c r="E329" s="17" t="s">
        <v>100</v>
      </c>
      <c r="F329" s="18">
        <v>44796</v>
      </c>
      <c r="G329" s="24" t="s">
        <v>896</v>
      </c>
      <c r="H329" s="26" t="s">
        <v>4</v>
      </c>
      <c r="I329" s="49" t="str">
        <f>VLOOKUP(H329,VALIDACIONES!$A$2:$B$138,2,0)</f>
        <v>Estacionar un vehículo en los sitios prohibidos por el Código Nacional de Tránsito, reglamentado por la Res.3027.</v>
      </c>
      <c r="J329" s="28">
        <v>468449</v>
      </c>
      <c r="K329" s="9" t="s">
        <v>86</v>
      </c>
      <c r="L329" s="55"/>
      <c r="M329" s="55"/>
      <c r="N329" s="16">
        <f t="shared" si="4"/>
        <v>8</v>
      </c>
      <c r="O329" s="16">
        <f t="shared" si="5"/>
        <v>2022</v>
      </c>
      <c r="P329" s="34"/>
      <c r="Q329" s="34"/>
      <c r="R329" s="34"/>
      <c r="S329" s="34"/>
      <c r="T329" s="34"/>
      <c r="U329" s="17"/>
      <c r="V329" s="23"/>
      <c r="W329" s="15"/>
      <c r="X329" s="15"/>
      <c r="Y329" s="15"/>
    </row>
    <row r="330" spans="1:25" ht="12.75" x14ac:dyDescent="0.2">
      <c r="A330" s="9">
        <v>98647829</v>
      </c>
      <c r="B330" s="9" t="s">
        <v>897</v>
      </c>
      <c r="C330" s="9" t="s">
        <v>664</v>
      </c>
      <c r="D330" s="9" t="s">
        <v>82</v>
      </c>
      <c r="E330" s="17" t="s">
        <v>83</v>
      </c>
      <c r="F330" s="18">
        <v>44833</v>
      </c>
      <c r="G330" s="24" t="s">
        <v>118</v>
      </c>
      <c r="H330" s="26" t="s">
        <v>15</v>
      </c>
      <c r="I330" s="49" t="str">
        <f>VLOOKUP(H330,VALIDACIONES!$A$2:$B$138,2,0)</f>
        <v>Las demas conductas que constituyan infraccion a las normas de transito y que no se encuentren descritas en este acto administrativo.</v>
      </c>
      <c r="J330" s="33">
        <v>156196</v>
      </c>
      <c r="K330" s="31" t="s">
        <v>86</v>
      </c>
      <c r="L330" s="55"/>
      <c r="M330" s="55"/>
      <c r="N330" s="16">
        <f t="shared" si="4"/>
        <v>9</v>
      </c>
      <c r="O330" s="16">
        <f t="shared" si="5"/>
        <v>2022</v>
      </c>
      <c r="P330" s="34"/>
      <c r="Q330" s="34"/>
      <c r="R330" s="34"/>
      <c r="S330" s="34"/>
      <c r="T330" s="34"/>
      <c r="U330" s="17"/>
      <c r="V330" s="23"/>
      <c r="W330" s="15"/>
      <c r="X330" s="15"/>
      <c r="Y330" s="15"/>
    </row>
    <row r="331" spans="1:25" ht="12.75" x14ac:dyDescent="0.2">
      <c r="A331" s="9">
        <v>71582706</v>
      </c>
      <c r="B331" s="9" t="s">
        <v>898</v>
      </c>
      <c r="C331" s="9" t="s">
        <v>664</v>
      </c>
      <c r="D331" s="9" t="s">
        <v>82</v>
      </c>
      <c r="E331" s="17" t="s">
        <v>83</v>
      </c>
      <c r="F331" s="18">
        <v>44821</v>
      </c>
      <c r="G331" s="24" t="s">
        <v>118</v>
      </c>
      <c r="H331" s="26" t="s">
        <v>411</v>
      </c>
      <c r="I331" s="50" t="str">
        <f>VLOOKUP(H331,VALIDACIONES!$A$2:$B$138,2,0)</f>
        <v>Encasodetransportarcargaconpesosuperioralautorizadoelvehículoseráinmovilizadoyelexcesodeberásertransbordado.</v>
      </c>
      <c r="J331" s="28">
        <v>936897</v>
      </c>
      <c r="K331" s="9" t="s">
        <v>86</v>
      </c>
      <c r="L331" s="58"/>
      <c r="M331" s="55"/>
      <c r="N331" s="16">
        <f t="shared" si="4"/>
        <v>9</v>
      </c>
      <c r="O331" s="16">
        <f t="shared" si="5"/>
        <v>2022</v>
      </c>
      <c r="P331" s="34"/>
      <c r="Q331" s="34"/>
      <c r="R331" s="34"/>
      <c r="S331" s="34"/>
      <c r="T331" s="34"/>
      <c r="U331" s="17"/>
      <c r="V331" s="23"/>
      <c r="W331" s="15"/>
      <c r="X331" s="15"/>
      <c r="Y331" s="15"/>
    </row>
    <row r="332" spans="1:25" ht="25.5" x14ac:dyDescent="0.2">
      <c r="A332" s="9">
        <v>71906486</v>
      </c>
      <c r="B332" s="9" t="s">
        <v>899</v>
      </c>
      <c r="C332" s="9" t="s">
        <v>522</v>
      </c>
      <c r="D332" s="9" t="s">
        <v>82</v>
      </c>
      <c r="E332" s="17" t="s">
        <v>83</v>
      </c>
      <c r="F332" s="18">
        <v>44815</v>
      </c>
      <c r="G332" s="24" t="s">
        <v>844</v>
      </c>
      <c r="H332" s="26" t="s">
        <v>10</v>
      </c>
      <c r="I332" s="50" t="str">
        <f>VLOOKUP(H332,VALIDACIONES!$A$2:$B$138,2,0)</f>
        <v>Conducir un vehículo a velocidad superior a la máxima permitida, la cual deberá estar señalizada en forma sectorizada, no obstante esta no podrá ser superior a (verlistado)</v>
      </c>
      <c r="J332" s="28">
        <v>468589</v>
      </c>
      <c r="K332" s="9" t="s">
        <v>86</v>
      </c>
      <c r="L332" s="58"/>
      <c r="M332" s="55"/>
      <c r="N332" s="16">
        <f t="shared" si="4"/>
        <v>9</v>
      </c>
      <c r="O332" s="16">
        <f t="shared" si="5"/>
        <v>2022</v>
      </c>
      <c r="P332" s="34"/>
      <c r="Q332" s="34"/>
      <c r="R332" s="34"/>
      <c r="S332" s="34"/>
      <c r="T332" s="34"/>
      <c r="U332" s="17"/>
      <c r="V332" s="23"/>
      <c r="W332" s="15"/>
      <c r="X332" s="15"/>
      <c r="Y332" s="15"/>
    </row>
    <row r="333" spans="1:25" ht="51" x14ac:dyDescent="0.2">
      <c r="A333" s="9">
        <v>15264966</v>
      </c>
      <c r="B333" s="9" t="s">
        <v>900</v>
      </c>
      <c r="C333" s="9" t="s">
        <v>901</v>
      </c>
      <c r="D333" s="9" t="s">
        <v>82</v>
      </c>
      <c r="E333" s="17" t="s">
        <v>83</v>
      </c>
      <c r="F333" s="18">
        <v>44840</v>
      </c>
      <c r="G333" s="24" t="s">
        <v>844</v>
      </c>
      <c r="H333" s="26" t="s">
        <v>335</v>
      </c>
      <c r="I333" s="50" t="str">
        <f>VLOOKUP(H333,VALIDACIONES!$A$2:$B$138,2,0)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333" s="16">
        <v>468589</v>
      </c>
      <c r="K333" s="9" t="s">
        <v>86</v>
      </c>
      <c r="L333" s="58"/>
      <c r="M333" s="55"/>
      <c r="N333" s="16">
        <f t="shared" si="4"/>
        <v>10</v>
      </c>
      <c r="O333" s="16">
        <f t="shared" si="5"/>
        <v>2022</v>
      </c>
      <c r="P333" s="34"/>
      <c r="Q333" s="34"/>
      <c r="R333" s="34"/>
      <c r="S333" s="34"/>
      <c r="T333" s="34"/>
      <c r="U333" s="17"/>
      <c r="V333" s="23"/>
      <c r="W333" s="15"/>
      <c r="X333" s="15"/>
      <c r="Y333" s="15"/>
    </row>
    <row r="334" spans="1:25" ht="38.25" x14ac:dyDescent="0.2">
      <c r="A334" s="22">
        <v>71310303</v>
      </c>
      <c r="B334" s="9" t="s">
        <v>902</v>
      </c>
      <c r="C334" s="9" t="s">
        <v>664</v>
      </c>
      <c r="D334" s="9" t="s">
        <v>82</v>
      </c>
      <c r="E334" s="17" t="s">
        <v>83</v>
      </c>
      <c r="F334" s="18">
        <v>44840</v>
      </c>
      <c r="G334" s="24" t="s">
        <v>844</v>
      </c>
      <c r="H334" s="26" t="s">
        <v>11</v>
      </c>
      <c r="I334" s="50" t="str">
        <f>VLOOKUP(H334,VALIDACIONES!$A$2:$B$138,2,0)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34" s="16">
        <v>468589</v>
      </c>
      <c r="K334" s="9" t="s">
        <v>86</v>
      </c>
      <c r="L334" s="58"/>
      <c r="M334" s="55"/>
      <c r="N334" s="16">
        <f t="shared" si="4"/>
        <v>10</v>
      </c>
      <c r="O334" s="16">
        <f t="shared" si="5"/>
        <v>2022</v>
      </c>
      <c r="P334" s="34"/>
      <c r="Q334" s="34"/>
      <c r="R334" s="34"/>
      <c r="S334" s="34"/>
      <c r="T334" s="34"/>
      <c r="U334" s="17"/>
      <c r="V334" s="23"/>
      <c r="W334" s="15"/>
      <c r="X334" s="15"/>
      <c r="Y334" s="15"/>
    </row>
    <row r="335" spans="1:25" ht="12.75" x14ac:dyDescent="0.2">
      <c r="A335" s="22">
        <v>71310303</v>
      </c>
      <c r="B335" s="9" t="s">
        <v>902</v>
      </c>
      <c r="C335" s="9" t="s">
        <v>664</v>
      </c>
      <c r="D335" s="9" t="s">
        <v>82</v>
      </c>
      <c r="E335" s="17" t="s">
        <v>83</v>
      </c>
      <c r="F335" s="18">
        <v>44840</v>
      </c>
      <c r="G335" s="24" t="s">
        <v>844</v>
      </c>
      <c r="H335" s="26" t="s">
        <v>12</v>
      </c>
      <c r="I335" s="50" t="str">
        <f>VLOOKUP(H335,VALIDACIONES!$A$2:$B$138,2,0)</f>
        <v>ConducirsinportarelSeguroObligatoriodeAccidentesdetránsitoordenadoporlaley.Además,elvehículoseráinmovilizado.</v>
      </c>
      <c r="J335" s="16">
        <v>936799</v>
      </c>
      <c r="K335" s="31" t="s">
        <v>86</v>
      </c>
      <c r="L335" s="59"/>
      <c r="M335" s="60"/>
      <c r="N335" s="35">
        <f t="shared" si="4"/>
        <v>10</v>
      </c>
      <c r="O335" s="35">
        <f t="shared" si="5"/>
        <v>2022</v>
      </c>
      <c r="P335" s="44"/>
      <c r="Q335" s="44"/>
      <c r="R335" s="44"/>
      <c r="S335" s="44"/>
      <c r="T335" s="44"/>
      <c r="U335" s="17"/>
      <c r="V335" s="23"/>
      <c r="W335" s="15"/>
      <c r="X335" s="15"/>
      <c r="Y335" s="15"/>
    </row>
    <row r="336" spans="1:25" ht="25.5" x14ac:dyDescent="0.2">
      <c r="A336" s="9">
        <v>1017144079</v>
      </c>
      <c r="B336" s="9" t="s">
        <v>903</v>
      </c>
      <c r="C336" s="9" t="s">
        <v>664</v>
      </c>
      <c r="D336" s="9" t="s">
        <v>82</v>
      </c>
      <c r="E336" s="17" t="s">
        <v>83</v>
      </c>
      <c r="F336" s="18">
        <v>44858</v>
      </c>
      <c r="G336" s="24" t="s">
        <v>118</v>
      </c>
      <c r="H336" s="26" t="s">
        <v>468</v>
      </c>
      <c r="I336" s="50" t="str">
        <f>VLOOKUP(H336,VALIDACIONES!$A$2:$B$138,2,0)</f>
        <v>El conductor, pasajero o peaton, que obstaculice, perjudique o ponga en riesgo a las demas personas o que no cumpla las normas y señales de transito que le sean aplicables o no obedezca las indicaciones que les den las autoridades de tránsito.</v>
      </c>
      <c r="J336" s="16">
        <v>156196</v>
      </c>
      <c r="K336" s="9" t="s">
        <v>86</v>
      </c>
      <c r="L336" s="55"/>
      <c r="M336" s="55"/>
      <c r="N336" s="16">
        <f t="shared" si="4"/>
        <v>10</v>
      </c>
      <c r="O336" s="16">
        <f t="shared" si="5"/>
        <v>2022</v>
      </c>
      <c r="P336" s="34"/>
      <c r="Q336" s="34"/>
      <c r="R336" s="34"/>
      <c r="S336" s="34"/>
      <c r="T336" s="34"/>
      <c r="U336" s="17"/>
      <c r="V336" s="23"/>
      <c r="W336" s="15"/>
      <c r="X336" s="15"/>
      <c r="Y336" s="15"/>
    </row>
    <row r="337" spans="1:25" ht="12.75" x14ac:dyDescent="0.2">
      <c r="A337" s="9">
        <v>1152216894</v>
      </c>
      <c r="B337" s="9" t="s">
        <v>904</v>
      </c>
      <c r="C337" s="9" t="s">
        <v>516</v>
      </c>
      <c r="D337" s="9" t="s">
        <v>82</v>
      </c>
      <c r="E337" s="17" t="s">
        <v>83</v>
      </c>
      <c r="F337" s="18">
        <v>44845</v>
      </c>
      <c r="G337" s="24" t="s">
        <v>905</v>
      </c>
      <c r="H337" s="26" t="s">
        <v>165</v>
      </c>
      <c r="I337" s="50" t="str">
        <f>VLOOKUP(H337,VALIDACIONES!$A$2:$B$138,2,0)</f>
        <v>Cuandosedetecteoadviertaunainfracciónalasnormasdeemisióncontaminantesodegeneraciónderuidoporvehículosautomotores</v>
      </c>
      <c r="J337" s="16">
        <v>936900</v>
      </c>
      <c r="K337" s="9" t="s">
        <v>86</v>
      </c>
      <c r="L337" s="55"/>
      <c r="M337" s="55"/>
      <c r="N337" s="16">
        <f t="shared" si="4"/>
        <v>10</v>
      </c>
      <c r="O337" s="16">
        <f t="shared" si="5"/>
        <v>2022</v>
      </c>
      <c r="P337" s="34"/>
      <c r="Q337" s="34"/>
      <c r="R337" s="34"/>
      <c r="S337" s="34"/>
      <c r="T337" s="34"/>
      <c r="U337" s="17"/>
      <c r="V337" s="23"/>
      <c r="W337" s="15"/>
      <c r="X337" s="15"/>
      <c r="Y337" s="15"/>
    </row>
    <row r="338" spans="1:25" ht="12.75" x14ac:dyDescent="0.2">
      <c r="A338" s="9">
        <v>91477750</v>
      </c>
      <c r="B338" s="9" t="s">
        <v>906</v>
      </c>
      <c r="C338" s="9" t="s">
        <v>25</v>
      </c>
      <c r="D338" s="9" t="s">
        <v>25</v>
      </c>
      <c r="E338" s="17" t="s">
        <v>272</v>
      </c>
      <c r="F338" s="18">
        <v>44893</v>
      </c>
      <c r="G338" s="24" t="s">
        <v>907</v>
      </c>
      <c r="H338" s="26" t="s">
        <v>12</v>
      </c>
      <c r="I338" s="50" t="str">
        <f>VLOOKUP(H338,VALIDACIONES!$A$2:$B$138,2,0)</f>
        <v>ConducirsinportarelSeguroObligatoriodeAccidentesdetránsitoordenadoporlaley.Además,elvehículoseráinmovilizado.</v>
      </c>
      <c r="J338" s="16">
        <v>1873800</v>
      </c>
      <c r="K338" s="9" t="s">
        <v>86</v>
      </c>
      <c r="L338" s="55"/>
      <c r="M338" s="55"/>
      <c r="N338" s="16">
        <f t="shared" si="4"/>
        <v>11</v>
      </c>
      <c r="O338" s="16">
        <f t="shared" si="5"/>
        <v>2022</v>
      </c>
      <c r="P338" s="34"/>
      <c r="Q338" s="34"/>
      <c r="R338" s="34"/>
      <c r="S338" s="34"/>
      <c r="T338" s="34"/>
      <c r="U338" s="17"/>
      <c r="V338" s="23"/>
      <c r="W338" s="15"/>
      <c r="X338" s="15"/>
      <c r="Y338" s="15"/>
    </row>
    <row r="339" spans="1:25" ht="12.75" x14ac:dyDescent="0.2">
      <c r="A339" s="9">
        <v>98533424</v>
      </c>
      <c r="B339" s="9" t="s">
        <v>908</v>
      </c>
      <c r="C339" s="9" t="s">
        <v>522</v>
      </c>
      <c r="D339" s="9" t="s">
        <v>82</v>
      </c>
      <c r="E339" s="17" t="s">
        <v>83</v>
      </c>
      <c r="F339" s="18">
        <v>44869</v>
      </c>
      <c r="G339" s="24" t="s">
        <v>909</v>
      </c>
      <c r="H339" s="26" t="s">
        <v>4</v>
      </c>
      <c r="I339" s="50" t="str">
        <f>VLOOKUP(H339,VALIDACIONES!$A$2:$B$138,2,0)</f>
        <v>Estacionar un vehículo en los sitios prohibidos por el Código Nacional de Tránsito, reglamentado por la Res.3027.</v>
      </c>
      <c r="J339" s="16">
        <v>468589</v>
      </c>
      <c r="K339" s="9" t="s">
        <v>86</v>
      </c>
      <c r="L339" s="55"/>
      <c r="M339" s="55"/>
      <c r="N339" s="16">
        <f t="shared" si="4"/>
        <v>11</v>
      </c>
      <c r="O339" s="16">
        <f t="shared" si="5"/>
        <v>2022</v>
      </c>
      <c r="P339" s="34"/>
      <c r="Q339" s="34"/>
      <c r="R339" s="34"/>
      <c r="S339" s="34"/>
      <c r="T339" s="34"/>
      <c r="U339" s="17"/>
      <c r="V339" s="23"/>
      <c r="W339" s="15"/>
      <c r="X339" s="15"/>
      <c r="Y339" s="15"/>
    </row>
    <row r="340" spans="1:25" ht="25.5" x14ac:dyDescent="0.2">
      <c r="A340" s="9">
        <v>15928517</v>
      </c>
      <c r="B340" s="9" t="s">
        <v>910</v>
      </c>
      <c r="C340" s="9" t="s">
        <v>664</v>
      </c>
      <c r="D340" s="9" t="s">
        <v>82</v>
      </c>
      <c r="E340" s="17" t="s">
        <v>83</v>
      </c>
      <c r="F340" s="18">
        <v>44924</v>
      </c>
      <c r="G340" s="24" t="s">
        <v>108</v>
      </c>
      <c r="H340" s="26" t="s">
        <v>7</v>
      </c>
      <c r="I340" s="50" t="str">
        <f>VLOOKUP(H340,VALIDACIONES!$A$2:$B$138,2,0)</f>
        <v>Transitar por los siguientes sitios restringidos o en horas prohibidas por laautoridad competente. Además, el vehículo será inmovilizado.(verlistado)</v>
      </c>
      <c r="J340" s="16">
        <v>468589</v>
      </c>
      <c r="K340" s="9" t="s">
        <v>86</v>
      </c>
      <c r="L340" s="55"/>
      <c r="M340" s="55"/>
      <c r="N340" s="16">
        <f t="shared" si="4"/>
        <v>12</v>
      </c>
      <c r="O340" s="16">
        <f t="shared" si="5"/>
        <v>2022</v>
      </c>
      <c r="P340" s="34"/>
      <c r="Q340" s="34"/>
      <c r="R340" s="34"/>
      <c r="S340" s="34"/>
      <c r="T340" s="34"/>
      <c r="U340" s="17"/>
      <c r="V340" s="23"/>
      <c r="W340" s="15"/>
      <c r="X340" s="15"/>
      <c r="Y340" s="15"/>
    </row>
    <row r="341" spans="1:25" ht="12.75" x14ac:dyDescent="0.2">
      <c r="A341" s="9">
        <v>1216723814</v>
      </c>
      <c r="B341" s="9" t="s">
        <v>911</v>
      </c>
      <c r="C341" s="9" t="s">
        <v>912</v>
      </c>
      <c r="D341" s="9" t="s">
        <v>82</v>
      </c>
      <c r="E341" s="17" t="s">
        <v>83</v>
      </c>
      <c r="F341" s="18">
        <v>44910</v>
      </c>
      <c r="G341" s="24" t="s">
        <v>913</v>
      </c>
      <c r="H341" s="26" t="s">
        <v>4</v>
      </c>
      <c r="I341" s="50" t="str">
        <f>VLOOKUP(H341,VALIDACIONES!$A$2:$B$138,2,0)</f>
        <v>Estacionar un vehículo en los sitios prohibidos por el Código Nacional de Tránsito, reglamentado por la Res.3027.</v>
      </c>
      <c r="J341" s="16">
        <v>468450</v>
      </c>
      <c r="K341" s="9" t="s">
        <v>86</v>
      </c>
      <c r="L341" s="55"/>
      <c r="M341" s="55"/>
      <c r="N341" s="16">
        <f t="shared" ref="N341:N385" si="6">MONTH(F341)</f>
        <v>12</v>
      </c>
      <c r="O341" s="16">
        <f t="shared" ref="O341:O385" si="7">YEAR(F341)</f>
        <v>2022</v>
      </c>
      <c r="P341" s="34"/>
      <c r="Q341" s="34"/>
      <c r="R341" s="34"/>
      <c r="S341" s="34"/>
      <c r="T341" s="34"/>
      <c r="U341" s="17"/>
      <c r="V341" s="23"/>
      <c r="W341" s="15"/>
      <c r="X341" s="15"/>
      <c r="Y341" s="15"/>
    </row>
    <row r="342" spans="1:25" ht="38.25" x14ac:dyDescent="0.2">
      <c r="A342" s="9">
        <v>70322785</v>
      </c>
      <c r="B342" s="9" t="s">
        <v>914</v>
      </c>
      <c r="C342" s="9" t="s">
        <v>25</v>
      </c>
      <c r="D342" s="9" t="s">
        <v>25</v>
      </c>
      <c r="E342" s="17" t="s">
        <v>83</v>
      </c>
      <c r="F342" s="18">
        <v>44900</v>
      </c>
      <c r="G342" s="24" t="s">
        <v>909</v>
      </c>
      <c r="H342" s="26" t="s">
        <v>11</v>
      </c>
      <c r="I342" s="50" t="str">
        <f>VLOOKUP(H342,VALIDACIONES!$A$2:$B$138,2,0)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42" s="16">
        <v>468589</v>
      </c>
      <c r="K342" s="9" t="s">
        <v>86</v>
      </c>
      <c r="L342" s="55"/>
      <c r="M342" s="55"/>
      <c r="N342" s="16">
        <f t="shared" si="6"/>
        <v>12</v>
      </c>
      <c r="O342" s="16">
        <f t="shared" si="7"/>
        <v>2022</v>
      </c>
      <c r="P342" s="34"/>
      <c r="Q342" s="34"/>
      <c r="R342" s="34"/>
      <c r="S342" s="34"/>
      <c r="T342" s="34"/>
      <c r="U342" s="17"/>
      <c r="V342" s="23"/>
      <c r="W342" s="15"/>
      <c r="X342" s="15"/>
      <c r="Y342" s="15"/>
    </row>
    <row r="343" spans="1:25" ht="12.75" x14ac:dyDescent="0.2">
      <c r="A343" s="9">
        <v>1000188870</v>
      </c>
      <c r="B343" s="9" t="s">
        <v>915</v>
      </c>
      <c r="C343" s="9" t="s">
        <v>912</v>
      </c>
      <c r="D343" s="9" t="s">
        <v>82</v>
      </c>
      <c r="E343" s="17" t="s">
        <v>83</v>
      </c>
      <c r="F343" s="18">
        <v>44901</v>
      </c>
      <c r="G343" s="24" t="s">
        <v>909</v>
      </c>
      <c r="H343" s="26" t="s">
        <v>4</v>
      </c>
      <c r="I343" s="50" t="str">
        <f>VLOOKUP(H343,VALIDACIONES!$A$2:$B$138,2,0)</f>
        <v>Estacionar un vehículo en los sitios prohibidos por el Código Nacional de Tránsito, reglamentado por la Res.3027.</v>
      </c>
      <c r="J343" s="16">
        <v>468589</v>
      </c>
      <c r="K343" s="9" t="s">
        <v>86</v>
      </c>
      <c r="L343" s="55"/>
      <c r="M343" s="55"/>
      <c r="N343" s="16">
        <f t="shared" si="6"/>
        <v>12</v>
      </c>
      <c r="O343" s="16">
        <f t="shared" si="7"/>
        <v>2022</v>
      </c>
      <c r="P343" s="34"/>
      <c r="Q343" s="34"/>
      <c r="R343" s="34"/>
      <c r="S343" s="34"/>
      <c r="T343" s="34"/>
      <c r="U343" s="17"/>
      <c r="V343" s="23"/>
      <c r="W343" s="15"/>
      <c r="X343" s="15"/>
      <c r="Y343" s="15"/>
    </row>
    <row r="344" spans="1:25" ht="25.5" x14ac:dyDescent="0.2">
      <c r="A344" s="9">
        <v>71382268</v>
      </c>
      <c r="B344" s="9" t="s">
        <v>916</v>
      </c>
      <c r="C344" s="9" t="s">
        <v>917</v>
      </c>
      <c r="D344" s="9" t="s">
        <v>82</v>
      </c>
      <c r="E344" s="17" t="s">
        <v>83</v>
      </c>
      <c r="F344" s="18">
        <v>44910</v>
      </c>
      <c r="G344" s="24" t="s">
        <v>103</v>
      </c>
      <c r="H344" s="26" t="s">
        <v>10</v>
      </c>
      <c r="I344" s="50" t="str">
        <f>VLOOKUP(H344,VALIDACIONES!$A$2:$B$138,2,0)</f>
        <v>Conducir un vehículo a velocidad superior a la máxima permitida, la cual deberá estar señalizada en forma sectorizada, no obstante esta no podrá ser superior a (verlistado)</v>
      </c>
      <c r="J344" s="16">
        <v>468450</v>
      </c>
      <c r="K344" s="9" t="s">
        <v>86</v>
      </c>
      <c r="L344" s="55"/>
      <c r="M344" s="55"/>
      <c r="N344" s="16">
        <f t="shared" si="6"/>
        <v>12</v>
      </c>
      <c r="O344" s="16">
        <f t="shared" si="7"/>
        <v>2022</v>
      </c>
      <c r="P344" s="34"/>
      <c r="Q344" s="34"/>
      <c r="R344" s="34"/>
      <c r="S344" s="34"/>
      <c r="T344" s="34"/>
      <c r="U344" s="17"/>
      <c r="V344" s="23"/>
      <c r="W344" s="15"/>
      <c r="X344" s="15"/>
      <c r="Y344" s="15"/>
    </row>
    <row r="345" spans="1:25" ht="12.75" x14ac:dyDescent="0.2">
      <c r="A345" s="20">
        <v>1000408786</v>
      </c>
      <c r="B345" s="78" t="s">
        <v>918</v>
      </c>
      <c r="C345" s="9" t="s">
        <v>516</v>
      </c>
      <c r="D345" s="9" t="s">
        <v>82</v>
      </c>
      <c r="E345" s="17" t="s">
        <v>83</v>
      </c>
      <c r="F345" s="79">
        <v>44945</v>
      </c>
      <c r="G345" s="20" t="s">
        <v>919</v>
      </c>
      <c r="H345" s="20" t="s">
        <v>8</v>
      </c>
      <c r="I345" s="50" t="str">
        <f>VLOOKUP(H345,VALIDACIONES!$A$2:$B$138,2,0)</f>
        <v>Conducir motocicleta sin observar las siguientes normas.(verlistadodesituaciones)</v>
      </c>
      <c r="J345" s="28">
        <v>522795</v>
      </c>
      <c r="K345" s="17"/>
      <c r="L345" s="55"/>
      <c r="M345" s="55"/>
      <c r="N345" s="16">
        <f t="shared" si="6"/>
        <v>1</v>
      </c>
      <c r="O345" s="16">
        <f t="shared" si="7"/>
        <v>2023</v>
      </c>
      <c r="P345" s="34"/>
      <c r="Q345" s="34"/>
      <c r="R345" s="34"/>
      <c r="S345" s="34"/>
      <c r="T345" s="34"/>
      <c r="U345" s="17"/>
      <c r="V345" s="23"/>
      <c r="W345" s="15"/>
      <c r="X345" s="15"/>
      <c r="Y345" s="15"/>
    </row>
    <row r="346" spans="1:25" ht="38.25" x14ac:dyDescent="0.2">
      <c r="A346" s="20">
        <v>71687955</v>
      </c>
      <c r="B346" s="78" t="s">
        <v>920</v>
      </c>
      <c r="C346" s="9" t="s">
        <v>921</v>
      </c>
      <c r="D346" s="9" t="s">
        <v>82</v>
      </c>
      <c r="E346" s="17" t="s">
        <v>83</v>
      </c>
      <c r="F346" s="79">
        <v>44984</v>
      </c>
      <c r="G346" s="20" t="s">
        <v>922</v>
      </c>
      <c r="H346" s="20" t="s">
        <v>397</v>
      </c>
      <c r="I346" s="50" t="str">
        <f>VLOOKUP(H346,VALIDACIONES!$A$2:$B$138,2,0)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346" s="28">
        <v>1045590</v>
      </c>
      <c r="K346" s="9" t="s">
        <v>86</v>
      </c>
      <c r="L346" s="55"/>
      <c r="M346" s="55"/>
      <c r="N346" s="16">
        <f t="shared" si="6"/>
        <v>2</v>
      </c>
      <c r="O346" s="16">
        <f t="shared" si="7"/>
        <v>2023</v>
      </c>
      <c r="P346" s="34"/>
      <c r="Q346" s="34"/>
      <c r="R346" s="34"/>
      <c r="S346" s="34"/>
      <c r="T346" s="34"/>
      <c r="U346" s="17"/>
      <c r="V346" s="23"/>
      <c r="W346" s="15"/>
      <c r="X346" s="15"/>
      <c r="Y346" s="15"/>
    </row>
    <row r="347" spans="1:25" ht="12.75" x14ac:dyDescent="0.2">
      <c r="A347" s="20">
        <v>15907338</v>
      </c>
      <c r="B347" s="78" t="s">
        <v>923</v>
      </c>
      <c r="C347" s="9" t="s">
        <v>924</v>
      </c>
      <c r="D347" s="9" t="s">
        <v>82</v>
      </c>
      <c r="E347" s="17" t="s">
        <v>262</v>
      </c>
      <c r="F347" s="79">
        <v>44970</v>
      </c>
      <c r="G347" s="20" t="s">
        <v>925</v>
      </c>
      <c r="H347" s="20" t="s">
        <v>4</v>
      </c>
      <c r="I347" s="50" t="str">
        <f>VLOOKUP(H347,VALIDACIONES!$A$2:$B$138,2,0)</f>
        <v>Estacionar un vehículo en los sitios prohibidos por el Código Nacional de Tránsito, reglamentado por la Res.3027.</v>
      </c>
      <c r="J347" s="28">
        <v>522795</v>
      </c>
      <c r="K347" s="9" t="s">
        <v>86</v>
      </c>
      <c r="L347" s="55"/>
      <c r="M347" s="55"/>
      <c r="N347" s="16">
        <f t="shared" si="6"/>
        <v>2</v>
      </c>
      <c r="O347" s="16">
        <f t="shared" si="7"/>
        <v>2023</v>
      </c>
      <c r="P347" s="34"/>
      <c r="Q347" s="34"/>
      <c r="R347" s="34"/>
      <c r="S347" s="34"/>
      <c r="T347" s="34"/>
      <c r="U347" s="17"/>
      <c r="V347" s="23"/>
      <c r="W347" s="15"/>
      <c r="X347" s="15"/>
      <c r="Y347" s="15"/>
    </row>
    <row r="348" spans="1:25" ht="38.25" x14ac:dyDescent="0.2">
      <c r="A348" s="9">
        <v>1113515015</v>
      </c>
      <c r="B348" s="78" t="s">
        <v>926</v>
      </c>
      <c r="C348" s="9" t="s">
        <v>927</v>
      </c>
      <c r="D348" s="9" t="s">
        <v>82</v>
      </c>
      <c r="E348" s="17" t="s">
        <v>251</v>
      </c>
      <c r="F348" s="79">
        <v>44977</v>
      </c>
      <c r="G348" s="20" t="s">
        <v>928</v>
      </c>
      <c r="H348" s="20" t="s">
        <v>11</v>
      </c>
      <c r="I348" s="50" t="str">
        <f>VLOOKUP(H348,VALIDACIONES!$A$2:$B$138,2,0)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48" s="33">
        <v>522795</v>
      </c>
      <c r="K348" s="9" t="s">
        <v>86</v>
      </c>
      <c r="L348" s="55"/>
      <c r="M348" s="55"/>
      <c r="N348" s="16">
        <f t="shared" si="6"/>
        <v>2</v>
      </c>
      <c r="O348" s="16">
        <f t="shared" si="7"/>
        <v>2023</v>
      </c>
      <c r="P348" s="34"/>
      <c r="Q348" s="34"/>
      <c r="R348" s="34"/>
      <c r="S348" s="34"/>
      <c r="T348" s="34"/>
      <c r="U348" s="17"/>
      <c r="V348" s="23"/>
      <c r="W348" s="15"/>
      <c r="X348" s="15"/>
      <c r="Y348" s="15"/>
    </row>
    <row r="349" spans="1:25" ht="12.75" x14ac:dyDescent="0.2">
      <c r="A349" s="9">
        <v>75074587</v>
      </c>
      <c r="B349" s="78" t="s">
        <v>929</v>
      </c>
      <c r="C349" s="9" t="s">
        <v>930</v>
      </c>
      <c r="D349" s="9" t="s">
        <v>82</v>
      </c>
      <c r="E349" s="17" t="s">
        <v>262</v>
      </c>
      <c r="F349" s="79">
        <v>44960</v>
      </c>
      <c r="G349" s="20" t="s">
        <v>925</v>
      </c>
      <c r="H349" s="20" t="s">
        <v>32</v>
      </c>
      <c r="I349" s="50" t="str">
        <f>VLOOKUP(H349,VALIDACIONES!$A$2:$B$138,2,0)</f>
        <v>No acatar las señales o requerimientos impartidos por los agentes de Tránsito.</v>
      </c>
      <c r="J349" s="28">
        <v>522795</v>
      </c>
      <c r="K349" s="9" t="s">
        <v>86</v>
      </c>
      <c r="L349" s="55"/>
      <c r="M349" s="55"/>
      <c r="N349" s="16">
        <f t="shared" si="6"/>
        <v>2</v>
      </c>
      <c r="O349" s="16">
        <f t="shared" si="7"/>
        <v>2023</v>
      </c>
      <c r="P349" s="34"/>
      <c r="Q349" s="34"/>
      <c r="R349" s="34"/>
      <c r="S349" s="34"/>
      <c r="T349" s="34"/>
      <c r="U349" s="17"/>
      <c r="V349" s="23"/>
      <c r="W349" s="15"/>
      <c r="X349" s="15"/>
      <c r="Y349" s="15"/>
    </row>
    <row r="350" spans="1:25" ht="51" x14ac:dyDescent="0.2">
      <c r="A350" s="9">
        <v>1216713351</v>
      </c>
      <c r="B350" s="78" t="s">
        <v>931</v>
      </c>
      <c r="C350" s="9" t="s">
        <v>664</v>
      </c>
      <c r="D350" s="9" t="s">
        <v>82</v>
      </c>
      <c r="E350" s="17" t="s">
        <v>83</v>
      </c>
      <c r="F350" s="79">
        <v>45016</v>
      </c>
      <c r="G350" s="20" t="s">
        <v>108</v>
      </c>
      <c r="H350" s="20" t="s">
        <v>335</v>
      </c>
      <c r="I350" s="50" t="str">
        <f>VLOOKUP(H350,VALIDACIONES!$A$2:$B$138,2,0)</f>
        <v>Transitar sin los dispositivos luminosos requeridos; no llevarlos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además, marcado en los costados y en el techo el número de la placa o los demás elementos determinados en el Código.</v>
      </c>
      <c r="J350" s="28">
        <v>522940</v>
      </c>
      <c r="K350" s="9" t="s">
        <v>86</v>
      </c>
      <c r="L350" s="55"/>
      <c r="M350" s="55"/>
      <c r="N350" s="16">
        <f t="shared" si="6"/>
        <v>3</v>
      </c>
      <c r="O350" s="16">
        <f t="shared" si="7"/>
        <v>2023</v>
      </c>
      <c r="P350" s="34"/>
      <c r="Q350" s="34"/>
      <c r="R350" s="34"/>
      <c r="S350" s="34"/>
      <c r="T350" s="34"/>
      <c r="U350" s="17"/>
      <c r="V350" s="23"/>
      <c r="W350" s="15"/>
      <c r="X350" s="15"/>
      <c r="Y350" s="15"/>
    </row>
    <row r="351" spans="1:25" ht="25.5" x14ac:dyDescent="0.2">
      <c r="A351" s="9">
        <v>94391910</v>
      </c>
      <c r="B351" s="80" t="s">
        <v>932</v>
      </c>
      <c r="C351" s="9" t="s">
        <v>25</v>
      </c>
      <c r="D351" s="9" t="s">
        <v>25</v>
      </c>
      <c r="E351" s="17" t="s">
        <v>83</v>
      </c>
      <c r="F351" s="81">
        <v>44995</v>
      </c>
      <c r="G351" s="21" t="s">
        <v>933</v>
      </c>
      <c r="H351" s="21" t="s">
        <v>385</v>
      </c>
      <c r="I351" s="50" t="str">
        <f>VLOOKUP(H351,VALIDACIONES!$A$2:$B$138,2,0)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351" s="28">
        <v>522795</v>
      </c>
      <c r="K351" s="9" t="s">
        <v>86</v>
      </c>
      <c r="L351" s="55"/>
      <c r="M351" s="55"/>
      <c r="N351" s="16">
        <f t="shared" si="6"/>
        <v>3</v>
      </c>
      <c r="O351" s="16">
        <f t="shared" si="7"/>
        <v>2023</v>
      </c>
      <c r="P351" s="34"/>
      <c r="Q351" s="34"/>
      <c r="R351" s="34"/>
      <c r="S351" s="34"/>
      <c r="T351" s="34"/>
      <c r="U351" s="17"/>
      <c r="V351" s="23"/>
      <c r="W351" s="15"/>
      <c r="X351" s="15"/>
      <c r="Y351" s="15"/>
    </row>
    <row r="352" spans="1:25" ht="12.75" x14ac:dyDescent="0.2">
      <c r="A352" s="9">
        <v>1039686676</v>
      </c>
      <c r="B352" s="82" t="s">
        <v>934</v>
      </c>
      <c r="C352" s="31" t="s">
        <v>818</v>
      </c>
      <c r="D352" s="31" t="s">
        <v>25</v>
      </c>
      <c r="E352" s="32" t="s">
        <v>272</v>
      </c>
      <c r="F352" s="83">
        <v>45012</v>
      </c>
      <c r="G352" s="84" t="s">
        <v>108</v>
      </c>
      <c r="H352" s="84" t="s">
        <v>411</v>
      </c>
      <c r="I352" s="50" t="str">
        <f>VLOOKUP(H352,VALIDACIONES!$A$2:$B$138,2,0)</f>
        <v>Encasodetransportarcargaconpesosuperioralautorizadoelvehículoseráinmovilizadoyelexcesodeberásertransbordado.</v>
      </c>
      <c r="J352" s="28">
        <v>1045590</v>
      </c>
      <c r="K352" s="9" t="s">
        <v>86</v>
      </c>
      <c r="L352" s="55"/>
      <c r="M352" s="55"/>
      <c r="N352" s="16">
        <f t="shared" si="6"/>
        <v>3</v>
      </c>
      <c r="O352" s="16">
        <f t="shared" si="7"/>
        <v>2023</v>
      </c>
      <c r="P352" s="34"/>
      <c r="Q352" s="34"/>
      <c r="R352" s="34"/>
      <c r="S352" s="34"/>
      <c r="T352" s="34"/>
      <c r="U352" s="17"/>
      <c r="V352" s="23"/>
      <c r="W352" s="15"/>
      <c r="X352" s="15"/>
      <c r="Y352" s="15"/>
    </row>
    <row r="353" spans="1:25" ht="12.75" x14ac:dyDescent="0.2">
      <c r="A353" s="36">
        <v>71316284</v>
      </c>
      <c r="B353" s="36" t="s">
        <v>935</v>
      </c>
      <c r="C353" s="36" t="s">
        <v>522</v>
      </c>
      <c r="D353" s="36" t="s">
        <v>82</v>
      </c>
      <c r="E353" s="37" t="s">
        <v>83</v>
      </c>
      <c r="F353" s="85">
        <v>45037</v>
      </c>
      <c r="G353" s="36" t="s">
        <v>909</v>
      </c>
      <c r="H353" s="86" t="s">
        <v>4</v>
      </c>
      <c r="I353" s="51" t="str">
        <f>VLOOKUP(H353,VALIDACIONES!$A$2:$B$138,2,0)</f>
        <v>Estacionar un vehículo en los sitios prohibidos por el Código Nacional de Tránsito, reglamentado por la Res.3027.</v>
      </c>
      <c r="J353" s="38" t="s">
        <v>936</v>
      </c>
      <c r="K353" s="36" t="s">
        <v>86</v>
      </c>
      <c r="L353" s="57">
        <v>45062</v>
      </c>
      <c r="M353" s="55" t="s">
        <v>87</v>
      </c>
      <c r="N353" s="16">
        <f t="shared" si="6"/>
        <v>4</v>
      </c>
      <c r="O353" s="16">
        <f t="shared" si="7"/>
        <v>2023</v>
      </c>
      <c r="P353" s="34"/>
      <c r="Q353" s="34"/>
      <c r="R353" s="34"/>
      <c r="S353" s="34"/>
      <c r="T353" s="34"/>
      <c r="U353" s="17"/>
      <c r="V353" s="23"/>
      <c r="W353" s="15"/>
      <c r="X353" s="15"/>
      <c r="Y353" s="15"/>
    </row>
    <row r="354" spans="1:25" ht="25.5" x14ac:dyDescent="0.2">
      <c r="A354" s="36">
        <v>98533424</v>
      </c>
      <c r="B354" s="41" t="s">
        <v>908</v>
      </c>
      <c r="C354" s="40" t="s">
        <v>522</v>
      </c>
      <c r="D354" s="40" t="s">
        <v>82</v>
      </c>
      <c r="E354" s="37" t="s">
        <v>83</v>
      </c>
      <c r="F354" s="87">
        <v>45020</v>
      </c>
      <c r="G354" s="41" t="s">
        <v>118</v>
      </c>
      <c r="H354" s="88" t="s">
        <v>10</v>
      </c>
      <c r="I354" s="51" t="str">
        <f>VLOOKUP(H354,VALIDACIONES!$A$2:$B$138,2,0)</f>
        <v>Conducir un vehículo a velocidad superior a la máxima permitida, la cual deberá estar señalizada en forma sectorizada, no obstante esta no podrá ser superior a (verlistado)</v>
      </c>
      <c r="J354" s="38" t="s">
        <v>936</v>
      </c>
      <c r="K354" s="36" t="s">
        <v>86</v>
      </c>
      <c r="L354" s="57">
        <v>45062</v>
      </c>
      <c r="M354" s="55" t="s">
        <v>87</v>
      </c>
      <c r="N354" s="16">
        <f t="shared" si="6"/>
        <v>4</v>
      </c>
      <c r="O354" s="16">
        <f t="shared" si="7"/>
        <v>2023</v>
      </c>
      <c r="P354" s="34"/>
      <c r="Q354" s="34"/>
      <c r="R354" s="34"/>
      <c r="S354" s="34"/>
      <c r="T354" s="34"/>
      <c r="U354" s="17"/>
      <c r="V354" s="23"/>
      <c r="W354" s="15"/>
      <c r="X354" s="15"/>
      <c r="Y354" s="15"/>
    </row>
    <row r="355" spans="1:25" ht="25.5" x14ac:dyDescent="0.2">
      <c r="A355" s="36">
        <v>80779350</v>
      </c>
      <c r="B355" s="36" t="s">
        <v>937</v>
      </c>
      <c r="C355" s="36" t="s">
        <v>25</v>
      </c>
      <c r="D355" s="36" t="s">
        <v>25</v>
      </c>
      <c r="E355" s="37" t="s">
        <v>83</v>
      </c>
      <c r="F355" s="89">
        <v>45076</v>
      </c>
      <c r="G355" s="86" t="s">
        <v>93</v>
      </c>
      <c r="H355" s="86" t="s">
        <v>10</v>
      </c>
      <c r="I355" s="51" t="str">
        <f>VLOOKUP(H355,VALIDACIONES!$A$2:$B$138,2,0)</f>
        <v>Conducir un vehículo a velocidad superior a la máxima permitida, la cual deberá estar señalizada en forma sectorizada, no obstante esta no podrá ser superior a (verlistado)</v>
      </c>
      <c r="J355" s="38">
        <v>522795</v>
      </c>
      <c r="K355" s="36" t="s">
        <v>86</v>
      </c>
      <c r="L355" s="57">
        <v>45087</v>
      </c>
      <c r="M355" s="55" t="s">
        <v>87</v>
      </c>
      <c r="N355" s="16">
        <f t="shared" si="6"/>
        <v>5</v>
      </c>
      <c r="O355" s="16">
        <f t="shared" si="7"/>
        <v>2023</v>
      </c>
      <c r="P355" s="34"/>
      <c r="Q355" s="34"/>
      <c r="R355" s="34"/>
      <c r="S355" s="34"/>
      <c r="T355" s="34"/>
      <c r="U355" s="17"/>
      <c r="V355" s="23"/>
      <c r="W355" s="15"/>
      <c r="X355" s="15"/>
      <c r="Y355" s="15"/>
    </row>
    <row r="356" spans="1:25" ht="12.75" x14ac:dyDescent="0.2">
      <c r="A356" s="36">
        <v>75079714</v>
      </c>
      <c r="B356" s="36" t="s">
        <v>938</v>
      </c>
      <c r="C356" s="36" t="s">
        <v>22</v>
      </c>
      <c r="D356" s="36" t="s">
        <v>82</v>
      </c>
      <c r="E356" s="37" t="s">
        <v>100</v>
      </c>
      <c r="F356" s="90">
        <v>45064</v>
      </c>
      <c r="G356" s="91" t="s">
        <v>939</v>
      </c>
      <c r="H356" s="91" t="s">
        <v>32</v>
      </c>
      <c r="I356" s="51" t="str">
        <f>VLOOKUP(H356,VALIDACIONES!$A$2:$B$138,2,0)</f>
        <v>No acatar las señales o requerimientos impartidos por los agentes de Tránsito.</v>
      </c>
      <c r="J356" s="38">
        <v>1045880</v>
      </c>
      <c r="K356" s="36" t="s">
        <v>86</v>
      </c>
      <c r="L356" s="57">
        <v>45093</v>
      </c>
      <c r="M356" s="55" t="s">
        <v>87</v>
      </c>
      <c r="N356" s="16">
        <f t="shared" si="6"/>
        <v>5</v>
      </c>
      <c r="O356" s="16">
        <f t="shared" si="7"/>
        <v>2023</v>
      </c>
      <c r="P356" s="34"/>
      <c r="Q356" s="34"/>
      <c r="R356" s="34"/>
      <c r="S356" s="34"/>
      <c r="T356" s="34"/>
      <c r="U356" s="17"/>
      <c r="V356" s="23"/>
      <c r="W356" s="15"/>
      <c r="X356" s="15"/>
      <c r="Y356" s="15"/>
    </row>
    <row r="357" spans="1:25" ht="12.75" x14ac:dyDescent="0.2">
      <c r="A357" s="36">
        <v>18616428</v>
      </c>
      <c r="B357" s="36" t="s">
        <v>940</v>
      </c>
      <c r="C357" s="36" t="s">
        <v>930</v>
      </c>
      <c r="D357" s="36" t="s">
        <v>82</v>
      </c>
      <c r="E357" s="37" t="s">
        <v>262</v>
      </c>
      <c r="F357" s="90">
        <v>45069</v>
      </c>
      <c r="G357" s="91" t="s">
        <v>941</v>
      </c>
      <c r="H357" s="91" t="s">
        <v>8</v>
      </c>
      <c r="I357" s="51" t="str">
        <f>VLOOKUP(H357,VALIDACIONES!$A$2:$B$138,2,0)</f>
        <v>Conducir motocicleta sin observar las siguientes normas.(verlistadodesituaciones)</v>
      </c>
      <c r="J357" s="38">
        <v>522940</v>
      </c>
      <c r="K357" s="36" t="s">
        <v>86</v>
      </c>
      <c r="L357" s="57">
        <v>45092</v>
      </c>
      <c r="M357" s="55" t="s">
        <v>87</v>
      </c>
      <c r="N357" s="16">
        <f t="shared" si="6"/>
        <v>5</v>
      </c>
      <c r="O357" s="16">
        <f t="shared" si="7"/>
        <v>2023</v>
      </c>
      <c r="P357" s="34"/>
      <c r="Q357" s="34"/>
      <c r="R357" s="34"/>
      <c r="S357" s="34"/>
      <c r="T357" s="34"/>
      <c r="U357" s="17"/>
      <c r="V357" s="23"/>
      <c r="W357" s="15"/>
      <c r="X357" s="15"/>
      <c r="Y357" s="15"/>
    </row>
    <row r="358" spans="1:25" ht="38.25" x14ac:dyDescent="0.2">
      <c r="A358" s="41">
        <v>18616428</v>
      </c>
      <c r="B358" s="41" t="s">
        <v>940</v>
      </c>
      <c r="C358" s="41" t="s">
        <v>930</v>
      </c>
      <c r="D358" s="41" t="s">
        <v>82</v>
      </c>
      <c r="E358" s="40" t="s">
        <v>262</v>
      </c>
      <c r="F358" s="92">
        <v>45069</v>
      </c>
      <c r="G358" s="88" t="s">
        <v>941</v>
      </c>
      <c r="H358" s="88" t="s">
        <v>11</v>
      </c>
      <c r="I358" s="51" t="str">
        <f>VLOOKUP(H358,VALIDACIONES!$A$2:$B$138,2,0)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58" s="38">
        <v>522940</v>
      </c>
      <c r="K358" s="36" t="s">
        <v>86</v>
      </c>
      <c r="L358" s="57">
        <v>45092</v>
      </c>
      <c r="M358" s="55" t="s">
        <v>87</v>
      </c>
      <c r="N358" s="16">
        <f t="shared" si="6"/>
        <v>5</v>
      </c>
      <c r="O358" s="16">
        <f t="shared" si="7"/>
        <v>2023</v>
      </c>
      <c r="P358" s="34"/>
      <c r="Q358" s="34"/>
      <c r="R358" s="34"/>
      <c r="S358" s="34"/>
      <c r="T358" s="34"/>
      <c r="U358" s="17"/>
      <c r="V358" s="23"/>
      <c r="W358" s="15"/>
      <c r="X358" s="15"/>
      <c r="Y358" s="15"/>
    </row>
    <row r="359" spans="1:25" ht="25.5" x14ac:dyDescent="0.2">
      <c r="A359" s="36">
        <v>98694985</v>
      </c>
      <c r="B359" s="41" t="s">
        <v>942</v>
      </c>
      <c r="C359" s="41" t="s">
        <v>22</v>
      </c>
      <c r="D359" s="41" t="s">
        <v>82</v>
      </c>
      <c r="E359" s="40" t="s">
        <v>100</v>
      </c>
      <c r="F359" s="87">
        <v>45078</v>
      </c>
      <c r="G359" s="41" t="s">
        <v>943</v>
      </c>
      <c r="H359" s="41" t="s">
        <v>468</v>
      </c>
      <c r="I359" s="51" t="str">
        <f>VLOOKUP(H359,VALIDACIONES!$A$2:$B$138,2,0)</f>
        <v>El conductor, pasajero o peaton, que obstaculice, perjudique o ponga en riesgo a las demas personas o que no cumpla las normas y señales de transito que le sean aplicables o no obedezca las indicaciones que les den las autoridades de tránsito.</v>
      </c>
      <c r="J359" s="38" t="s">
        <v>944</v>
      </c>
      <c r="K359" s="36" t="s">
        <v>86</v>
      </c>
      <c r="L359" s="57">
        <v>45118</v>
      </c>
      <c r="M359" s="55" t="s">
        <v>87</v>
      </c>
      <c r="N359" s="16">
        <f t="shared" si="6"/>
        <v>6</v>
      </c>
      <c r="O359" s="16">
        <f t="shared" si="7"/>
        <v>2023</v>
      </c>
      <c r="P359" s="34"/>
      <c r="Q359" s="34"/>
      <c r="R359" s="34"/>
      <c r="S359" s="34"/>
      <c r="T359" s="34"/>
      <c r="U359" s="17"/>
      <c r="V359" s="23"/>
      <c r="W359" s="15"/>
      <c r="X359" s="15"/>
      <c r="Y359" s="15"/>
    </row>
    <row r="360" spans="1:25" ht="25.5" x14ac:dyDescent="0.2">
      <c r="A360" s="93">
        <v>71642029</v>
      </c>
      <c r="B360" s="36" t="s">
        <v>945</v>
      </c>
      <c r="C360" s="41" t="s">
        <v>25</v>
      </c>
      <c r="D360" s="36" t="s">
        <v>25</v>
      </c>
      <c r="E360" s="37" t="s">
        <v>83</v>
      </c>
      <c r="F360" s="89">
        <v>45130</v>
      </c>
      <c r="G360" s="86" t="s">
        <v>93</v>
      </c>
      <c r="H360" s="86" t="s">
        <v>10</v>
      </c>
      <c r="I360" s="51" t="str">
        <f>VLOOKUP(H360,VALIDACIONES!$A$2:$B$138,2,0)</f>
        <v>Conducir un vehículo a velocidad superior a la máxima permitida, la cual deberá estar señalizada en forma sectorizada, no obstante esta no podrá ser superior a (verlistado)</v>
      </c>
      <c r="J360" s="38" t="s">
        <v>946</v>
      </c>
      <c r="K360" s="36" t="s">
        <v>86</v>
      </c>
      <c r="L360" s="57">
        <v>45154</v>
      </c>
      <c r="M360" s="55" t="s">
        <v>87</v>
      </c>
      <c r="N360" s="16">
        <f t="shared" si="6"/>
        <v>7</v>
      </c>
      <c r="O360" s="16">
        <f t="shared" si="7"/>
        <v>2023</v>
      </c>
      <c r="P360" s="34"/>
      <c r="Q360" s="34"/>
      <c r="R360" s="34"/>
      <c r="S360" s="34"/>
      <c r="T360" s="34"/>
      <c r="U360" s="17"/>
      <c r="V360" s="23"/>
      <c r="W360" s="15"/>
      <c r="X360" s="15"/>
      <c r="Y360" s="15"/>
    </row>
    <row r="361" spans="1:25" ht="25.5" x14ac:dyDescent="0.2">
      <c r="A361" s="94">
        <v>13742250</v>
      </c>
      <c r="B361" s="36" t="s">
        <v>947</v>
      </c>
      <c r="C361" s="41" t="s">
        <v>522</v>
      </c>
      <c r="D361" s="36" t="s">
        <v>82</v>
      </c>
      <c r="E361" s="37" t="s">
        <v>83</v>
      </c>
      <c r="F361" s="90">
        <v>45118</v>
      </c>
      <c r="G361" s="91" t="s">
        <v>118</v>
      </c>
      <c r="H361" s="91" t="s">
        <v>10</v>
      </c>
      <c r="I361" s="51" t="str">
        <f>VLOOKUP(H361,VALIDACIONES!$A$2:$B$138,2,0)</f>
        <v>Conducir un vehículo a velocidad superior a la máxima permitida, la cual deberá estar señalizada en forma sectorizada, no obstante esta no podrá ser superior a (verlistado)</v>
      </c>
      <c r="J361" s="38" t="s">
        <v>946</v>
      </c>
      <c r="K361" s="41" t="s">
        <v>86</v>
      </c>
      <c r="L361" s="61">
        <v>45154</v>
      </c>
      <c r="M361" s="60" t="s">
        <v>87</v>
      </c>
      <c r="N361" s="16">
        <f t="shared" si="6"/>
        <v>7</v>
      </c>
      <c r="O361" s="35">
        <f t="shared" si="7"/>
        <v>2023</v>
      </c>
      <c r="P361" s="34"/>
      <c r="Q361" s="34"/>
      <c r="R361" s="34"/>
      <c r="S361" s="34"/>
      <c r="T361" s="34"/>
      <c r="U361" s="17"/>
      <c r="V361" s="23"/>
      <c r="W361" s="15"/>
      <c r="X361" s="15"/>
      <c r="Y361" s="15"/>
    </row>
    <row r="362" spans="1:25" ht="12.75" x14ac:dyDescent="0.2">
      <c r="A362" s="94">
        <v>43562267</v>
      </c>
      <c r="B362" s="36" t="s">
        <v>948</v>
      </c>
      <c r="C362" s="41" t="s">
        <v>522</v>
      </c>
      <c r="D362" s="36" t="s">
        <v>82</v>
      </c>
      <c r="E362" s="37" t="s">
        <v>83</v>
      </c>
      <c r="F362" s="90">
        <v>45135</v>
      </c>
      <c r="G362" s="91" t="s">
        <v>859</v>
      </c>
      <c r="H362" s="91" t="s">
        <v>4</v>
      </c>
      <c r="I362" s="51" t="str">
        <f>VLOOKUP(H362,VALIDACIONES!$A$2:$B$138,2,0)</f>
        <v>Estacionar un vehículo en los sitios prohibidos por el Código Nacional de Tránsito, reglamentado por la Res.3027.</v>
      </c>
      <c r="J362" s="38" t="s">
        <v>946</v>
      </c>
      <c r="K362" s="36" t="s">
        <v>86</v>
      </c>
      <c r="L362" s="57">
        <v>45154</v>
      </c>
      <c r="M362" s="55" t="s">
        <v>87</v>
      </c>
      <c r="N362" s="16">
        <f t="shared" si="6"/>
        <v>7</v>
      </c>
      <c r="O362" s="16">
        <f t="shared" si="7"/>
        <v>2023</v>
      </c>
      <c r="P362" s="34"/>
      <c r="Q362" s="34"/>
      <c r="R362" s="34"/>
      <c r="S362" s="34"/>
      <c r="T362" s="34"/>
      <c r="U362" s="17"/>
      <c r="V362" s="23"/>
      <c r="W362" s="15"/>
      <c r="X362" s="15"/>
      <c r="Y362" s="15"/>
    </row>
    <row r="363" spans="1:25" ht="25.5" x14ac:dyDescent="0.2">
      <c r="A363" s="94">
        <v>7548046</v>
      </c>
      <c r="B363" s="36" t="s">
        <v>949</v>
      </c>
      <c r="C363" s="41" t="s">
        <v>950</v>
      </c>
      <c r="D363" s="36" t="s">
        <v>82</v>
      </c>
      <c r="E363" s="37" t="s">
        <v>83</v>
      </c>
      <c r="F363" s="90">
        <v>45118</v>
      </c>
      <c r="G363" s="91" t="s">
        <v>93</v>
      </c>
      <c r="H363" s="91" t="s">
        <v>385</v>
      </c>
      <c r="I363" s="51" t="str">
        <f>VLOOKUP(H363,VALIDACIONES!$A$2:$B$138,2,0)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363" s="38" t="s">
        <v>946</v>
      </c>
      <c r="K363" s="36" t="s">
        <v>86</v>
      </c>
      <c r="L363" s="57">
        <v>45154</v>
      </c>
      <c r="M363" s="55" t="s">
        <v>87</v>
      </c>
      <c r="N363" s="16">
        <f t="shared" si="6"/>
        <v>7</v>
      </c>
      <c r="O363" s="16">
        <f t="shared" si="7"/>
        <v>2023</v>
      </c>
      <c r="P363" s="34"/>
      <c r="Q363" s="34"/>
      <c r="R363" s="34"/>
      <c r="S363" s="34"/>
      <c r="T363" s="34"/>
      <c r="U363" s="17"/>
      <c r="V363" s="23"/>
      <c r="W363" s="15"/>
      <c r="X363" s="15"/>
      <c r="Y363" s="15"/>
    </row>
    <row r="364" spans="1:25" ht="25.5" x14ac:dyDescent="0.2">
      <c r="A364" s="94">
        <v>75078328</v>
      </c>
      <c r="B364" s="39" t="s">
        <v>880</v>
      </c>
      <c r="C364" s="36" t="s">
        <v>22</v>
      </c>
      <c r="D364" s="36" t="s">
        <v>82</v>
      </c>
      <c r="E364" s="36" t="s">
        <v>100</v>
      </c>
      <c r="F364" s="90">
        <v>45136</v>
      </c>
      <c r="G364" s="91" t="s">
        <v>101</v>
      </c>
      <c r="H364" s="91" t="s">
        <v>5</v>
      </c>
      <c r="I364" s="51" t="str">
        <f>VLOOKUP(H364,VALIDACIONES!$A$2:$B$138,2,0)</f>
        <v>Noutilizarelcinturóndeseguridadporpartedelosocupantesdelvehículoyloscinturonesdeseguridadenlosasientostraserosenlosvehículosfabricadosapartirdelaño2004.</v>
      </c>
      <c r="J364" s="38" t="s">
        <v>951</v>
      </c>
      <c r="K364" s="36" t="s">
        <v>86</v>
      </c>
      <c r="L364" s="57">
        <v>45154</v>
      </c>
      <c r="M364" s="55" t="s">
        <v>87</v>
      </c>
      <c r="N364" s="16">
        <f t="shared" si="6"/>
        <v>7</v>
      </c>
      <c r="O364" s="16">
        <f t="shared" si="7"/>
        <v>2023</v>
      </c>
      <c r="P364" s="34"/>
      <c r="Q364" s="34"/>
      <c r="R364" s="34"/>
      <c r="S364" s="34"/>
      <c r="T364" s="34"/>
      <c r="U364" s="17"/>
      <c r="V364" s="23"/>
      <c r="W364" s="15"/>
      <c r="X364" s="15"/>
      <c r="Y364" s="15"/>
    </row>
    <row r="365" spans="1:25" ht="12.75" x14ac:dyDescent="0.2">
      <c r="A365" s="86">
        <v>1035423109</v>
      </c>
      <c r="B365" s="86" t="s">
        <v>952</v>
      </c>
      <c r="C365" s="36" t="s">
        <v>953</v>
      </c>
      <c r="D365" s="36" t="s">
        <v>82</v>
      </c>
      <c r="E365" s="36" t="s">
        <v>83</v>
      </c>
      <c r="F365" s="89">
        <v>45168</v>
      </c>
      <c r="G365" s="91" t="s">
        <v>93</v>
      </c>
      <c r="H365" s="86" t="s">
        <v>4</v>
      </c>
      <c r="I365" s="51" t="str">
        <f>VLOOKUP(H365,VALIDACIONES!$A$2:$B$138,2,0)</f>
        <v>Estacionar un vehículo en los sitios prohibidos por el Código Nacional de Tránsito, reglamentado por la Res.3027.</v>
      </c>
      <c r="J365" s="86">
        <v>522940</v>
      </c>
      <c r="K365" s="36" t="s">
        <v>86</v>
      </c>
      <c r="L365" s="57">
        <v>45180</v>
      </c>
      <c r="M365" s="55" t="s">
        <v>87</v>
      </c>
      <c r="N365" s="16">
        <f t="shared" si="6"/>
        <v>8</v>
      </c>
      <c r="O365" s="16">
        <f t="shared" si="7"/>
        <v>2023</v>
      </c>
      <c r="P365" s="34"/>
      <c r="Q365" s="34"/>
      <c r="R365" s="34"/>
      <c r="S365" s="34"/>
      <c r="T365" s="34"/>
      <c r="U365" s="17"/>
      <c r="V365" s="23"/>
      <c r="W365" s="15"/>
      <c r="X365" s="15"/>
      <c r="Y365" s="15"/>
    </row>
    <row r="366" spans="1:25" ht="12.75" x14ac:dyDescent="0.2">
      <c r="A366" s="91">
        <v>98486642</v>
      </c>
      <c r="B366" s="91" t="s">
        <v>954</v>
      </c>
      <c r="C366" s="36" t="s">
        <v>955</v>
      </c>
      <c r="D366" s="36" t="s">
        <v>82</v>
      </c>
      <c r="E366" s="36" t="s">
        <v>83</v>
      </c>
      <c r="F366" s="90">
        <v>45163</v>
      </c>
      <c r="G366" s="91" t="s">
        <v>93</v>
      </c>
      <c r="H366" s="91" t="s">
        <v>165</v>
      </c>
      <c r="I366" s="52" t="str">
        <f>VLOOKUP(H366,VALIDACIONES!$A$2:$B$138,2,0)</f>
        <v>Cuandosedetecteoadviertaunainfracciónalasnormasdeemisióncontaminantesodegeneraciónderuidoporvehículosautomotores</v>
      </c>
      <c r="J366" s="91">
        <v>1045456</v>
      </c>
      <c r="K366" s="36" t="s">
        <v>86</v>
      </c>
      <c r="L366" s="57">
        <v>45180</v>
      </c>
      <c r="M366" s="55" t="s">
        <v>87</v>
      </c>
      <c r="N366" s="16">
        <f t="shared" si="6"/>
        <v>8</v>
      </c>
      <c r="O366" s="16">
        <f t="shared" si="7"/>
        <v>2023</v>
      </c>
      <c r="P366" s="34"/>
      <c r="Q366" s="34"/>
      <c r="R366" s="34"/>
      <c r="S366" s="34"/>
      <c r="T366" s="34"/>
      <c r="U366" s="17" t="s">
        <v>956</v>
      </c>
      <c r="V366" s="23"/>
      <c r="W366" s="15"/>
      <c r="X366" s="15"/>
      <c r="Y366" s="15"/>
    </row>
    <row r="367" spans="1:25" ht="12.75" x14ac:dyDescent="0.2">
      <c r="A367" s="91">
        <v>11811322</v>
      </c>
      <c r="B367" s="91" t="s">
        <v>957</v>
      </c>
      <c r="C367" s="36" t="s">
        <v>958</v>
      </c>
      <c r="D367" s="36" t="s">
        <v>82</v>
      </c>
      <c r="E367" s="36" t="s">
        <v>83</v>
      </c>
      <c r="F367" s="92">
        <v>45160</v>
      </c>
      <c r="G367" s="88" t="s">
        <v>93</v>
      </c>
      <c r="H367" s="91" t="s">
        <v>165</v>
      </c>
      <c r="I367" s="52" t="str">
        <f>VLOOKUP(H367,VALIDACIONES!$A$2:$B$138,2,0)</f>
        <v>Cuandosedetecteoadviertaunainfracciónalasnormasdeemisióncontaminantesodegeneraciónderuidoporvehículosautomotores</v>
      </c>
      <c r="J367" s="91">
        <v>1045456</v>
      </c>
      <c r="K367" s="36" t="s">
        <v>86</v>
      </c>
      <c r="L367" s="57">
        <v>45180</v>
      </c>
      <c r="M367" s="55" t="s">
        <v>87</v>
      </c>
      <c r="N367" s="16">
        <f t="shared" si="6"/>
        <v>8</v>
      </c>
      <c r="O367" s="16">
        <f t="shared" si="7"/>
        <v>2023</v>
      </c>
      <c r="P367" s="34"/>
      <c r="Q367" s="34"/>
      <c r="R367" s="34"/>
      <c r="S367" s="34"/>
      <c r="T367" s="34"/>
      <c r="U367" s="17"/>
      <c r="V367" s="23"/>
      <c r="W367" s="15"/>
      <c r="X367" s="15"/>
      <c r="Y367" s="15"/>
    </row>
    <row r="368" spans="1:25" ht="25.5" x14ac:dyDescent="0.2">
      <c r="A368" s="91">
        <v>70128434</v>
      </c>
      <c r="B368" s="91" t="s">
        <v>959</v>
      </c>
      <c r="C368" s="36" t="s">
        <v>960</v>
      </c>
      <c r="D368" s="36" t="s">
        <v>82</v>
      </c>
      <c r="E368" s="39" t="s">
        <v>83</v>
      </c>
      <c r="F368" s="85">
        <v>45149</v>
      </c>
      <c r="G368" s="42" t="s">
        <v>118</v>
      </c>
      <c r="H368" s="95" t="s">
        <v>7</v>
      </c>
      <c r="I368" s="52" t="str">
        <f>VLOOKUP(H368,VALIDACIONES!$A$2:$B$138,2,0)</f>
        <v>Transitar por los siguientes sitios restringidos o en horas prohibidas por laautoridad competente. Además, el vehículo será inmovilizado.(verlistado)</v>
      </c>
      <c r="J368" s="91">
        <v>522940</v>
      </c>
      <c r="K368" s="41" t="s">
        <v>86</v>
      </c>
      <c r="L368" s="61">
        <v>45180</v>
      </c>
      <c r="M368" s="55" t="s">
        <v>87</v>
      </c>
      <c r="N368" s="16">
        <f t="shared" si="6"/>
        <v>8</v>
      </c>
      <c r="O368" s="35">
        <f t="shared" si="7"/>
        <v>2023</v>
      </c>
      <c r="P368" s="34"/>
      <c r="Q368" s="34"/>
      <c r="R368" s="34"/>
      <c r="S368" s="34"/>
      <c r="T368" s="34"/>
      <c r="U368" s="17"/>
      <c r="V368" s="23"/>
      <c r="W368" s="15"/>
      <c r="X368" s="15"/>
      <c r="Y368" s="15"/>
    </row>
    <row r="369" spans="1:25" ht="12.75" x14ac:dyDescent="0.2">
      <c r="A369" s="91">
        <v>70076467</v>
      </c>
      <c r="B369" s="91" t="s">
        <v>961</v>
      </c>
      <c r="C369" s="36" t="s">
        <v>953</v>
      </c>
      <c r="D369" s="36" t="s">
        <v>82</v>
      </c>
      <c r="E369" s="39" t="s">
        <v>83</v>
      </c>
      <c r="F369" s="85">
        <v>45195</v>
      </c>
      <c r="G369" s="91" t="s">
        <v>933</v>
      </c>
      <c r="H369" s="91" t="s">
        <v>4</v>
      </c>
      <c r="I369" s="96" t="str">
        <f>VLOOKUP(H369,VALIDACIONES!$A$2:$B$138,2,0)</f>
        <v>Estacionar un vehículo en los sitios prohibidos por el Código Nacional de Tránsito, reglamentado por la Res.3027.</v>
      </c>
      <c r="J369" s="94">
        <v>522795</v>
      </c>
      <c r="K369" s="36" t="s">
        <v>86</v>
      </c>
      <c r="L369" s="57">
        <v>45216</v>
      </c>
      <c r="M369" s="55" t="s">
        <v>87</v>
      </c>
      <c r="N369" s="16">
        <f t="shared" si="6"/>
        <v>9</v>
      </c>
      <c r="O369" s="16">
        <f t="shared" si="7"/>
        <v>2023</v>
      </c>
      <c r="P369" s="34"/>
      <c r="Q369" s="34"/>
      <c r="R369" s="34"/>
      <c r="S369" s="34"/>
      <c r="T369" s="34"/>
      <c r="U369" s="17"/>
      <c r="V369" s="23"/>
      <c r="W369" s="15"/>
      <c r="X369" s="15"/>
      <c r="Y369" s="15"/>
    </row>
    <row r="370" spans="1:25" ht="12.75" x14ac:dyDescent="0.2">
      <c r="A370" s="91">
        <v>1037599537</v>
      </c>
      <c r="B370" s="91" t="s">
        <v>962</v>
      </c>
      <c r="C370" s="36" t="s">
        <v>953</v>
      </c>
      <c r="D370" s="91" t="s">
        <v>82</v>
      </c>
      <c r="E370" s="91" t="s">
        <v>83</v>
      </c>
      <c r="F370" s="85">
        <v>45172</v>
      </c>
      <c r="G370" s="91" t="s">
        <v>919</v>
      </c>
      <c r="H370" s="91" t="s">
        <v>32</v>
      </c>
      <c r="I370" s="96" t="str">
        <f>VLOOKUP(H370,VALIDACIONES!$A$2:$B$138,2,0)</f>
        <v>No acatar las señales o requerimientos impartidos por los agentes de Tránsito.</v>
      </c>
      <c r="J370" s="94">
        <v>522795</v>
      </c>
      <c r="K370" s="41" t="s">
        <v>86</v>
      </c>
      <c r="L370" s="61">
        <v>45216</v>
      </c>
      <c r="M370" s="55" t="s">
        <v>87</v>
      </c>
      <c r="N370" s="16">
        <f t="shared" si="6"/>
        <v>9</v>
      </c>
      <c r="O370" s="16">
        <f t="shared" si="7"/>
        <v>2023</v>
      </c>
      <c r="P370" s="44"/>
      <c r="Q370" s="44"/>
      <c r="R370" s="44"/>
      <c r="S370" s="44"/>
      <c r="T370" s="44"/>
      <c r="U370" s="32" t="s">
        <v>963</v>
      </c>
      <c r="V370" s="23"/>
      <c r="W370" s="15"/>
      <c r="X370" s="15"/>
      <c r="Y370" s="15"/>
    </row>
    <row r="371" spans="1:25" ht="12.75" x14ac:dyDescent="0.2">
      <c r="A371" s="91">
        <v>71726770</v>
      </c>
      <c r="B371" s="91" t="s">
        <v>964</v>
      </c>
      <c r="C371" s="36" t="s">
        <v>522</v>
      </c>
      <c r="D371" s="91" t="s">
        <v>82</v>
      </c>
      <c r="E371" s="91" t="s">
        <v>83</v>
      </c>
      <c r="F371" s="85">
        <v>45205</v>
      </c>
      <c r="G371" s="91" t="s">
        <v>909</v>
      </c>
      <c r="H371" s="91" t="s">
        <v>4</v>
      </c>
      <c r="I371" s="96" t="str">
        <f>VLOOKUP(H371,VALIDACIONES!$A$2:$B$138,2,0)</f>
        <v>Estacionar un vehículo en los sitios prohibidos por el Código Nacional de Tránsito, reglamentado por la Res.3027.</v>
      </c>
      <c r="J371" s="94">
        <v>522940</v>
      </c>
      <c r="K371" s="36" t="s">
        <v>86</v>
      </c>
      <c r="L371" s="57">
        <v>45238</v>
      </c>
      <c r="M371" s="55" t="s">
        <v>87</v>
      </c>
      <c r="N371" s="16">
        <f t="shared" si="6"/>
        <v>10</v>
      </c>
      <c r="O371" s="45">
        <f t="shared" si="7"/>
        <v>2023</v>
      </c>
      <c r="P371" s="17"/>
      <c r="Q371" s="17"/>
      <c r="R371" s="17"/>
      <c r="S371" s="17"/>
      <c r="T371" s="17"/>
      <c r="U371" s="17"/>
      <c r="V371" s="23"/>
      <c r="W371" s="15"/>
      <c r="X371" s="15"/>
      <c r="Y371" s="15"/>
    </row>
    <row r="372" spans="1:25" ht="38.25" x14ac:dyDescent="0.2">
      <c r="A372" s="91">
        <v>71213197</v>
      </c>
      <c r="B372" s="91" t="s">
        <v>889</v>
      </c>
      <c r="C372" s="36" t="s">
        <v>950</v>
      </c>
      <c r="D372" s="91" t="s">
        <v>82</v>
      </c>
      <c r="E372" s="91" t="s">
        <v>83</v>
      </c>
      <c r="F372" s="85">
        <v>45224</v>
      </c>
      <c r="G372" s="91" t="s">
        <v>909</v>
      </c>
      <c r="H372" s="91" t="s">
        <v>11</v>
      </c>
      <c r="I372" s="96" t="str">
        <f>VLOOKUP(H372,VALIDACIONES!$A$2:$B$138,2,0)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72" s="94">
        <v>522940</v>
      </c>
      <c r="K372" s="36" t="s">
        <v>86</v>
      </c>
      <c r="L372" s="57">
        <v>45238</v>
      </c>
      <c r="M372" s="55" t="s">
        <v>87</v>
      </c>
      <c r="N372" s="16">
        <f t="shared" si="6"/>
        <v>10</v>
      </c>
      <c r="O372" s="45">
        <f t="shared" si="7"/>
        <v>2023</v>
      </c>
      <c r="P372" s="34"/>
      <c r="Q372" s="34"/>
      <c r="R372" s="34"/>
      <c r="S372" s="34"/>
      <c r="T372" s="34"/>
      <c r="U372" s="17"/>
      <c r="V372" s="23"/>
      <c r="W372" s="15"/>
      <c r="X372" s="15"/>
      <c r="Y372" s="15"/>
    </row>
    <row r="373" spans="1:25" ht="25.5" x14ac:dyDescent="0.2">
      <c r="A373" s="91">
        <v>98533424</v>
      </c>
      <c r="B373" s="91" t="s">
        <v>908</v>
      </c>
      <c r="C373" s="36" t="s">
        <v>522</v>
      </c>
      <c r="D373" s="91" t="s">
        <v>82</v>
      </c>
      <c r="E373" s="91" t="s">
        <v>83</v>
      </c>
      <c r="F373" s="85">
        <v>45218</v>
      </c>
      <c r="G373" s="91" t="s">
        <v>919</v>
      </c>
      <c r="H373" s="91" t="s">
        <v>5</v>
      </c>
      <c r="I373" s="96" t="str">
        <f>VLOOKUP(H373,VALIDACIONES!$A$2:$B$138,2,0)</f>
        <v>Noutilizarelcinturóndeseguridadporpartedelosocupantesdelvehículoyloscinturonesdeseguridadenlosasientostraserosenlosvehículosfabricadosapartirdelaño2004.</v>
      </c>
      <c r="J373" s="94">
        <v>522795</v>
      </c>
      <c r="K373" s="36" t="s">
        <v>86</v>
      </c>
      <c r="L373" s="57">
        <v>45238</v>
      </c>
      <c r="M373" s="55" t="s">
        <v>87</v>
      </c>
      <c r="N373" s="16">
        <f t="shared" si="6"/>
        <v>10</v>
      </c>
      <c r="O373" s="45">
        <f t="shared" si="7"/>
        <v>2023</v>
      </c>
      <c r="P373" s="17"/>
      <c r="Q373" s="17"/>
      <c r="R373" s="17"/>
      <c r="S373" s="17"/>
      <c r="T373" s="17"/>
      <c r="U373" s="17"/>
      <c r="V373" s="23"/>
      <c r="W373" s="15"/>
      <c r="X373" s="15"/>
      <c r="Y373" s="15"/>
    </row>
    <row r="374" spans="1:25" ht="12.75" x14ac:dyDescent="0.2">
      <c r="A374" s="91">
        <v>9177714</v>
      </c>
      <c r="B374" s="91" t="s">
        <v>965</v>
      </c>
      <c r="C374" s="36" t="s">
        <v>953</v>
      </c>
      <c r="D374" s="88" t="s">
        <v>82</v>
      </c>
      <c r="E374" s="91" t="s">
        <v>83</v>
      </c>
      <c r="F374" s="85">
        <v>45202</v>
      </c>
      <c r="G374" s="91" t="s">
        <v>108</v>
      </c>
      <c r="H374" s="91" t="s">
        <v>4</v>
      </c>
      <c r="I374" s="96" t="str">
        <f>VLOOKUP(H374,VALIDACIONES!$A$2:$B$138,2,0)</f>
        <v>Estacionar un vehículo en los sitios prohibidos por el Código Nacional de Tránsito, reglamentado por la Res.3027.</v>
      </c>
      <c r="J374" s="94">
        <v>522940</v>
      </c>
      <c r="K374" s="36" t="s">
        <v>86</v>
      </c>
      <c r="L374" s="57">
        <v>45238</v>
      </c>
      <c r="M374" s="55" t="s">
        <v>87</v>
      </c>
      <c r="N374" s="16">
        <f t="shared" si="6"/>
        <v>10</v>
      </c>
      <c r="O374" s="45">
        <f t="shared" si="7"/>
        <v>2023</v>
      </c>
      <c r="P374" s="17"/>
      <c r="Q374" s="17"/>
      <c r="R374" s="17"/>
      <c r="S374" s="17"/>
      <c r="T374" s="17"/>
      <c r="U374" s="17" t="s">
        <v>966</v>
      </c>
      <c r="V374" s="23"/>
      <c r="W374" s="15"/>
      <c r="X374" s="15"/>
      <c r="Y374" s="15"/>
    </row>
    <row r="375" spans="1:25" ht="25.5" x14ac:dyDescent="0.2">
      <c r="A375" s="88">
        <v>8156439</v>
      </c>
      <c r="B375" s="88" t="s">
        <v>967</v>
      </c>
      <c r="C375" s="43" t="s">
        <v>522</v>
      </c>
      <c r="D375" s="36" t="s">
        <v>82</v>
      </c>
      <c r="E375" s="97" t="s">
        <v>83</v>
      </c>
      <c r="F375" s="87">
        <v>45222</v>
      </c>
      <c r="G375" s="88" t="s">
        <v>968</v>
      </c>
      <c r="H375" s="88" t="s">
        <v>10</v>
      </c>
      <c r="I375" s="98" t="str">
        <f>VLOOKUP(H375,VALIDACIONES!$A$2:$B$138,2,0)</f>
        <v>Conducir un vehículo a velocidad superior a la máxima permitida, la cual deberá estar señalizada en forma sectorizada, no obstante esta no podrá ser superior a (verlistado)</v>
      </c>
      <c r="J375" s="94">
        <v>522795</v>
      </c>
      <c r="K375" s="36" t="s">
        <v>86</v>
      </c>
      <c r="L375" s="61">
        <v>45238</v>
      </c>
      <c r="M375" s="60" t="s">
        <v>87</v>
      </c>
      <c r="N375" s="16">
        <f t="shared" si="6"/>
        <v>10</v>
      </c>
      <c r="O375" s="47">
        <f t="shared" si="7"/>
        <v>2023</v>
      </c>
      <c r="P375" s="34"/>
      <c r="Q375" s="44"/>
      <c r="R375" s="44"/>
      <c r="S375" s="44"/>
      <c r="T375" s="44"/>
      <c r="U375" s="32"/>
      <c r="V375" s="23"/>
      <c r="W375" s="15"/>
      <c r="X375" s="15"/>
      <c r="Y375" s="15"/>
    </row>
    <row r="376" spans="1:25" ht="38.25" x14ac:dyDescent="0.2">
      <c r="A376" s="36">
        <v>1088005564</v>
      </c>
      <c r="B376" s="36" t="s">
        <v>969</v>
      </c>
      <c r="C376" s="46" t="s">
        <v>930</v>
      </c>
      <c r="D376" s="36" t="s">
        <v>82</v>
      </c>
      <c r="E376" s="99" t="s">
        <v>262</v>
      </c>
      <c r="F376" s="89">
        <v>45237</v>
      </c>
      <c r="G376" s="86" t="s">
        <v>970</v>
      </c>
      <c r="H376" s="86" t="s">
        <v>11</v>
      </c>
      <c r="I376" s="53" t="str">
        <f>VLOOKUP(H376,VALIDACIONES!$A$2:$B$138,2,0)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76" s="94">
        <v>522940</v>
      </c>
      <c r="K376" s="39" t="s">
        <v>86</v>
      </c>
      <c r="L376" s="57">
        <v>45286</v>
      </c>
      <c r="M376" s="60" t="s">
        <v>87</v>
      </c>
      <c r="N376" s="16">
        <f t="shared" si="6"/>
        <v>11</v>
      </c>
      <c r="O376" s="47">
        <f t="shared" si="7"/>
        <v>2023</v>
      </c>
      <c r="P376" s="17"/>
      <c r="Q376" s="17"/>
      <c r="R376" s="17"/>
      <c r="S376" s="17"/>
      <c r="T376" s="17"/>
      <c r="U376" s="17"/>
      <c r="V376" s="23"/>
      <c r="W376" s="15"/>
      <c r="X376" s="15"/>
      <c r="Y376" s="15"/>
    </row>
    <row r="377" spans="1:25" ht="12.75" x14ac:dyDescent="0.2">
      <c r="A377" s="36">
        <v>1020468954</v>
      </c>
      <c r="B377" s="36" t="s">
        <v>971</v>
      </c>
      <c r="C377" s="46" t="s">
        <v>950</v>
      </c>
      <c r="D377" s="36" t="s">
        <v>82</v>
      </c>
      <c r="E377" s="99" t="s">
        <v>83</v>
      </c>
      <c r="F377" s="90">
        <v>45238</v>
      </c>
      <c r="G377" s="91" t="s">
        <v>972</v>
      </c>
      <c r="H377" s="91" t="s">
        <v>8</v>
      </c>
      <c r="I377" s="53" t="str">
        <f>VLOOKUP(H377,VALIDACIONES!$A$2:$B$138,2,0)</f>
        <v>Conducir motocicleta sin observar las siguientes normas.(verlistadodesituaciones)</v>
      </c>
      <c r="J377" s="94">
        <v>522785</v>
      </c>
      <c r="K377" s="39" t="s">
        <v>86</v>
      </c>
      <c r="L377" s="57">
        <v>45286</v>
      </c>
      <c r="M377" s="60" t="s">
        <v>87</v>
      </c>
      <c r="N377" s="16">
        <f t="shared" si="6"/>
        <v>11</v>
      </c>
      <c r="O377" s="47">
        <f t="shared" si="7"/>
        <v>2023</v>
      </c>
      <c r="P377" s="17"/>
      <c r="Q377" s="17"/>
      <c r="R377" s="17"/>
      <c r="S377" s="17"/>
      <c r="T377" s="17"/>
      <c r="U377" s="17" t="s">
        <v>956</v>
      </c>
      <c r="V377" s="23"/>
      <c r="W377" s="15"/>
      <c r="X377" s="15"/>
      <c r="Y377" s="15"/>
    </row>
    <row r="378" spans="1:25" ht="12.75" x14ac:dyDescent="0.2">
      <c r="A378" s="36">
        <v>1020468954</v>
      </c>
      <c r="B378" s="36" t="s">
        <v>971</v>
      </c>
      <c r="C378" s="46" t="s">
        <v>950</v>
      </c>
      <c r="D378" s="36" t="s">
        <v>82</v>
      </c>
      <c r="E378" s="99" t="s">
        <v>83</v>
      </c>
      <c r="F378" s="90">
        <v>45250</v>
      </c>
      <c r="G378" s="91" t="s">
        <v>972</v>
      </c>
      <c r="H378" s="91" t="s">
        <v>8</v>
      </c>
      <c r="I378" s="53" t="str">
        <f>VLOOKUP(H378,VALIDACIONES!$A$2:$B$138,2,0)</f>
        <v>Conducir motocicleta sin observar las siguientes normas.(verlistadodesituaciones)</v>
      </c>
      <c r="J378" s="94">
        <v>522785</v>
      </c>
      <c r="K378" s="39" t="s">
        <v>86</v>
      </c>
      <c r="L378" s="57">
        <v>45286</v>
      </c>
      <c r="M378" s="60" t="s">
        <v>87</v>
      </c>
      <c r="N378" s="16">
        <f t="shared" si="6"/>
        <v>11</v>
      </c>
      <c r="O378" s="47">
        <f t="shared" si="7"/>
        <v>2023</v>
      </c>
      <c r="P378" s="17"/>
      <c r="Q378" s="17"/>
      <c r="R378" s="17"/>
      <c r="S378" s="17"/>
      <c r="T378" s="17"/>
      <c r="U378" s="17" t="s">
        <v>956</v>
      </c>
      <c r="V378" s="23"/>
      <c r="W378" s="15"/>
      <c r="X378" s="15"/>
      <c r="Y378" s="15"/>
    </row>
    <row r="379" spans="1:25" ht="12.75" x14ac:dyDescent="0.2">
      <c r="A379" s="36">
        <v>1020468954</v>
      </c>
      <c r="B379" s="36" t="s">
        <v>971</v>
      </c>
      <c r="C379" s="46" t="s">
        <v>950</v>
      </c>
      <c r="D379" s="36" t="s">
        <v>82</v>
      </c>
      <c r="E379" s="99" t="s">
        <v>83</v>
      </c>
      <c r="F379" s="90">
        <v>45259</v>
      </c>
      <c r="G379" s="91" t="s">
        <v>972</v>
      </c>
      <c r="H379" s="91" t="s">
        <v>8</v>
      </c>
      <c r="I379" s="53" t="str">
        <f>VLOOKUP(H379,VALIDACIONES!$A$2:$B$138,2,0)</f>
        <v>Conducir motocicleta sin observar las siguientes normas.(verlistadodesituaciones)</v>
      </c>
      <c r="J379" s="94">
        <v>522785</v>
      </c>
      <c r="K379" s="39" t="s">
        <v>86</v>
      </c>
      <c r="L379" s="57">
        <v>45286</v>
      </c>
      <c r="M379" s="60" t="s">
        <v>87</v>
      </c>
      <c r="N379" s="16">
        <f t="shared" si="6"/>
        <v>11</v>
      </c>
      <c r="O379" s="47">
        <f t="shared" si="7"/>
        <v>2023</v>
      </c>
      <c r="P379" s="17"/>
      <c r="Q379" s="17"/>
      <c r="R379" s="17"/>
      <c r="S379" s="17"/>
      <c r="T379" s="17"/>
      <c r="U379" s="17" t="s">
        <v>956</v>
      </c>
      <c r="V379" s="23"/>
      <c r="W379" s="15"/>
      <c r="X379" s="15"/>
      <c r="Y379" s="15"/>
    </row>
    <row r="380" spans="1:25" ht="12.75" x14ac:dyDescent="0.2">
      <c r="A380" s="36">
        <v>43907795</v>
      </c>
      <c r="B380" s="36" t="s">
        <v>973</v>
      </c>
      <c r="C380" s="46" t="s">
        <v>974</v>
      </c>
      <c r="D380" s="36" t="s">
        <v>135</v>
      </c>
      <c r="E380" s="99" t="s">
        <v>83</v>
      </c>
      <c r="F380" s="90">
        <v>45240</v>
      </c>
      <c r="G380" s="91" t="s">
        <v>138</v>
      </c>
      <c r="H380" s="91" t="s">
        <v>12</v>
      </c>
      <c r="I380" s="53" t="str">
        <f>VLOOKUP(H380,VALIDACIONES!$A$2:$B$138,2,0)</f>
        <v>ConducirsinportarelSeguroObligatoriodeAccidentesdetránsitoordenadoporlaley.Además,elvehículoseráinmovilizado.</v>
      </c>
      <c r="J380" s="94">
        <v>1045590</v>
      </c>
      <c r="K380" s="39" t="s">
        <v>86</v>
      </c>
      <c r="L380" s="57">
        <v>45286</v>
      </c>
      <c r="M380" s="60" t="s">
        <v>87</v>
      </c>
      <c r="N380" s="16">
        <f t="shared" si="6"/>
        <v>11</v>
      </c>
      <c r="O380" s="47">
        <f t="shared" si="7"/>
        <v>2023</v>
      </c>
      <c r="P380" s="34"/>
      <c r="Q380" s="34"/>
      <c r="R380" s="34"/>
      <c r="S380" s="34"/>
      <c r="T380" s="34"/>
      <c r="U380" s="17"/>
      <c r="V380" s="23"/>
      <c r="W380" s="15"/>
      <c r="X380" s="15"/>
      <c r="Y380" s="15"/>
    </row>
    <row r="381" spans="1:25" ht="25.5" x14ac:dyDescent="0.2">
      <c r="A381" s="36">
        <v>8156439</v>
      </c>
      <c r="B381" s="36" t="s">
        <v>967</v>
      </c>
      <c r="C381" s="46" t="s">
        <v>522</v>
      </c>
      <c r="D381" s="36" t="s">
        <v>82</v>
      </c>
      <c r="E381" s="99" t="s">
        <v>83</v>
      </c>
      <c r="F381" s="90">
        <v>45241</v>
      </c>
      <c r="G381" s="91" t="s">
        <v>975</v>
      </c>
      <c r="H381" s="91" t="s">
        <v>10</v>
      </c>
      <c r="I381" s="53" t="str">
        <f>VLOOKUP(H381,VALIDACIONES!$A$2:$B$138,2,0)</f>
        <v>Conducir un vehículo a velocidad superior a la máxima permitida, la cual deberá estar señalizada en forma sectorizada, no obstante esta no podrá ser superior a (verlistado)</v>
      </c>
      <c r="J381" s="94">
        <v>522795</v>
      </c>
      <c r="K381" s="39" t="s">
        <v>86</v>
      </c>
      <c r="L381" s="57">
        <v>45286</v>
      </c>
      <c r="M381" s="60" t="s">
        <v>87</v>
      </c>
      <c r="N381" s="16">
        <f t="shared" si="6"/>
        <v>11</v>
      </c>
      <c r="O381" s="47">
        <f t="shared" si="7"/>
        <v>2023</v>
      </c>
      <c r="P381" s="34"/>
      <c r="Q381" s="34"/>
      <c r="R381" s="34"/>
      <c r="S381" s="34"/>
      <c r="T381" s="34"/>
      <c r="U381" s="17"/>
      <c r="V381" s="23"/>
      <c r="W381" s="15"/>
      <c r="X381" s="15"/>
      <c r="Y381" s="15"/>
    </row>
    <row r="382" spans="1:25" ht="25.5" x14ac:dyDescent="0.2">
      <c r="A382" s="36">
        <v>8156439</v>
      </c>
      <c r="B382" s="36" t="s">
        <v>967</v>
      </c>
      <c r="C382" s="46" t="s">
        <v>522</v>
      </c>
      <c r="D382" s="36" t="s">
        <v>82</v>
      </c>
      <c r="E382" s="99" t="s">
        <v>83</v>
      </c>
      <c r="F382" s="90">
        <v>45241</v>
      </c>
      <c r="G382" s="91" t="s">
        <v>975</v>
      </c>
      <c r="H382" s="91" t="s">
        <v>10</v>
      </c>
      <c r="I382" s="53" t="str">
        <f>VLOOKUP(H382,VALIDACIONES!$A$2:$B$138,2,0)</f>
        <v>Conducir un vehículo a velocidad superior a la máxima permitida, la cual deberá estar señalizada en forma sectorizada, no obstante esta no podrá ser superior a (verlistado)</v>
      </c>
      <c r="J382" s="94">
        <v>522795</v>
      </c>
      <c r="K382" s="39" t="s">
        <v>86</v>
      </c>
      <c r="L382" s="57">
        <v>45286</v>
      </c>
      <c r="M382" s="60" t="s">
        <v>87</v>
      </c>
      <c r="N382" s="16">
        <f t="shared" si="6"/>
        <v>11</v>
      </c>
      <c r="O382" s="47">
        <f t="shared" si="7"/>
        <v>2023</v>
      </c>
      <c r="P382" s="34"/>
      <c r="Q382" s="34"/>
      <c r="R382" s="34"/>
      <c r="S382" s="34"/>
      <c r="T382" s="34"/>
      <c r="U382" s="17"/>
      <c r="V382" s="23"/>
      <c r="W382" s="15"/>
      <c r="X382" s="15"/>
      <c r="Y382" s="15"/>
    </row>
    <row r="383" spans="1:25" ht="25.5" x14ac:dyDescent="0.2">
      <c r="A383" s="36">
        <v>15433788</v>
      </c>
      <c r="B383" s="36" t="s">
        <v>976</v>
      </c>
      <c r="C383" s="46" t="s">
        <v>522</v>
      </c>
      <c r="D383" s="36" t="s">
        <v>82</v>
      </c>
      <c r="E383" s="99" t="s">
        <v>83</v>
      </c>
      <c r="F383" s="90">
        <v>45240</v>
      </c>
      <c r="G383" s="91" t="s">
        <v>93</v>
      </c>
      <c r="H383" s="91" t="s">
        <v>7</v>
      </c>
      <c r="I383" s="53" t="str">
        <f>VLOOKUP(H383,VALIDACIONES!$A$2:$B$138,2,0)</f>
        <v>Transitar por los siguientes sitios restringidos o en horas prohibidas por laautoridad competente. Además, el vehículo será inmovilizado.(verlistado)</v>
      </c>
      <c r="J383" s="100">
        <v>522940</v>
      </c>
      <c r="K383" s="39" t="s">
        <v>86</v>
      </c>
      <c r="L383" s="57">
        <v>45286</v>
      </c>
      <c r="M383" s="60" t="s">
        <v>87</v>
      </c>
      <c r="N383" s="16">
        <f t="shared" si="6"/>
        <v>11</v>
      </c>
      <c r="O383" s="47">
        <f t="shared" si="7"/>
        <v>2023</v>
      </c>
      <c r="P383" s="34"/>
      <c r="Q383" s="34"/>
      <c r="R383" s="34"/>
      <c r="S383" s="34"/>
      <c r="T383" s="34"/>
      <c r="U383" s="17"/>
      <c r="V383" s="23"/>
      <c r="W383" s="15"/>
      <c r="X383" s="15"/>
      <c r="Y383" s="15"/>
    </row>
    <row r="384" spans="1:25" ht="25.5" x14ac:dyDescent="0.2">
      <c r="A384" s="41">
        <v>80096218</v>
      </c>
      <c r="B384" s="41" t="s">
        <v>977</v>
      </c>
      <c r="C384" s="48" t="s">
        <v>953</v>
      </c>
      <c r="D384" s="41" t="s">
        <v>82</v>
      </c>
      <c r="E384" s="101" t="s">
        <v>83</v>
      </c>
      <c r="F384" s="92">
        <v>45253</v>
      </c>
      <c r="G384" s="88" t="s">
        <v>93</v>
      </c>
      <c r="H384" s="88" t="s">
        <v>10</v>
      </c>
      <c r="I384" s="54" t="str">
        <f>VLOOKUP(H384,VALIDACIONES!$A$2:$B$138,2,0)</f>
        <v>Conducir un vehículo a velocidad superior a la máxima permitida, la cual deberá estar señalizada en forma sectorizada, no obstante esta no podrá ser superior a (verlistado)</v>
      </c>
      <c r="J384" s="36">
        <v>522940</v>
      </c>
      <c r="K384" s="43" t="s">
        <v>86</v>
      </c>
      <c r="L384" s="61">
        <v>45286</v>
      </c>
      <c r="M384" s="60" t="s">
        <v>87</v>
      </c>
      <c r="N384" s="16">
        <f t="shared" si="6"/>
        <v>11</v>
      </c>
      <c r="O384" s="47">
        <f t="shared" si="7"/>
        <v>2023</v>
      </c>
      <c r="P384" s="32"/>
      <c r="Q384" s="32"/>
      <c r="R384" s="32"/>
      <c r="S384" s="32"/>
      <c r="T384" s="32"/>
      <c r="U384" s="32"/>
      <c r="V384" s="23"/>
      <c r="W384" s="15"/>
      <c r="X384" s="15"/>
      <c r="Y384" s="15"/>
    </row>
    <row r="385" spans="1:25" ht="25.5" x14ac:dyDescent="0.2">
      <c r="A385" s="36">
        <v>98632934</v>
      </c>
      <c r="B385" s="36" t="s">
        <v>978</v>
      </c>
      <c r="C385" s="37" t="s">
        <v>522</v>
      </c>
      <c r="D385" s="37" t="s">
        <v>82</v>
      </c>
      <c r="E385" s="37" t="s">
        <v>83</v>
      </c>
      <c r="F385" s="89">
        <v>45281</v>
      </c>
      <c r="G385" s="86" t="s">
        <v>103</v>
      </c>
      <c r="H385" s="86" t="s">
        <v>10</v>
      </c>
      <c r="I385" s="52" t="str">
        <f>VLOOKUP(H385,VALIDACIONES!$A$2:$B$138,2,0)</f>
        <v>Conducir un vehículo a velocidad superior a la máxima permitida, la cual deberá estar señalizada en forma sectorizada, no obstante esta no podrá ser superior a (verlistado)</v>
      </c>
      <c r="J385" s="36">
        <v>522795</v>
      </c>
      <c r="K385" s="43" t="s">
        <v>86</v>
      </c>
      <c r="L385" s="57">
        <v>45308</v>
      </c>
      <c r="M385" s="60" t="s">
        <v>87</v>
      </c>
      <c r="N385" s="16">
        <f t="shared" si="6"/>
        <v>12</v>
      </c>
      <c r="O385" s="47">
        <f t="shared" si="7"/>
        <v>2023</v>
      </c>
      <c r="P385" s="17"/>
      <c r="Q385" s="17"/>
      <c r="R385" s="17"/>
      <c r="S385" s="17"/>
      <c r="T385" s="17"/>
      <c r="U385" s="17"/>
      <c r="V385" s="23"/>
      <c r="W385" s="15"/>
      <c r="X385" s="15"/>
      <c r="Y385" s="15"/>
    </row>
    <row r="386" spans="1:25" ht="51" x14ac:dyDescent="0.2">
      <c r="A386" s="36">
        <v>1017157757</v>
      </c>
      <c r="B386" s="36" t="s">
        <v>979</v>
      </c>
      <c r="C386" s="37" t="s">
        <v>25</v>
      </c>
      <c r="D386" s="37" t="s">
        <v>25</v>
      </c>
      <c r="E386" s="40" t="s">
        <v>83</v>
      </c>
      <c r="F386" s="92">
        <v>45263</v>
      </c>
      <c r="G386" s="88" t="s">
        <v>93</v>
      </c>
      <c r="H386" s="91" t="s">
        <v>283</v>
      </c>
      <c r="I386" s="52" t="str">
        <f>VLOOKUP(H386,VALIDACIONES!$A$2:$B$138,2,0)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386" s="36">
        <v>278647</v>
      </c>
      <c r="K386" s="43" t="s">
        <v>86</v>
      </c>
      <c r="L386" s="57">
        <v>45308</v>
      </c>
      <c r="M386" s="60" t="s">
        <v>87</v>
      </c>
      <c r="N386" s="16">
        <f t="shared" ref="N386:N393" si="8">MONTH(F386)</f>
        <v>12</v>
      </c>
      <c r="O386" s="47">
        <f t="shared" ref="O386:O411" si="9">YEAR(F386)</f>
        <v>2023</v>
      </c>
      <c r="P386" s="17"/>
      <c r="Q386" s="17"/>
      <c r="R386" s="17"/>
      <c r="S386" s="17"/>
      <c r="T386" s="17"/>
      <c r="U386" s="17"/>
      <c r="V386" s="23"/>
      <c r="W386" s="15"/>
      <c r="X386" s="15"/>
      <c r="Y386" s="15"/>
    </row>
    <row r="387" spans="1:25" ht="25.5" x14ac:dyDescent="0.2">
      <c r="A387" s="41">
        <v>98545514</v>
      </c>
      <c r="B387" s="41" t="s">
        <v>980</v>
      </c>
      <c r="C387" s="40" t="s">
        <v>953</v>
      </c>
      <c r="D387" s="48" t="s">
        <v>82</v>
      </c>
      <c r="E387" s="37" t="s">
        <v>83</v>
      </c>
      <c r="F387" s="85">
        <v>45276</v>
      </c>
      <c r="G387" s="36" t="s">
        <v>93</v>
      </c>
      <c r="H387" s="97" t="s">
        <v>31</v>
      </c>
      <c r="I387" s="54" t="str">
        <f>VLOOKUP(H387,VALIDACIONES!$A$2:$B$138,2,0)</f>
        <v>Conducirunvehículoconvidriospolarizados,entintadosuoscurecidos,sinportarelpermisorespectivo,deacuerdoalareglamentaciónexistenteo,nollevarelvehículodeserviciopúblicocolectivourbanoconlosvidriostransparentes.</v>
      </c>
      <c r="J387" s="41">
        <v>278647</v>
      </c>
      <c r="K387" s="43" t="s">
        <v>86</v>
      </c>
      <c r="L387" s="60" t="s">
        <v>252</v>
      </c>
      <c r="M387" s="60"/>
      <c r="N387" s="16">
        <f t="shared" si="8"/>
        <v>12</v>
      </c>
      <c r="O387" s="47">
        <f t="shared" si="9"/>
        <v>2023</v>
      </c>
      <c r="P387" s="32"/>
      <c r="Q387" s="32"/>
      <c r="R387" s="32"/>
      <c r="S387" s="32"/>
      <c r="T387" s="32"/>
      <c r="U387" s="32" t="s">
        <v>981</v>
      </c>
      <c r="V387" s="23"/>
      <c r="W387" s="15"/>
      <c r="X387" s="15"/>
      <c r="Y387" s="15"/>
    </row>
    <row r="388" spans="1:25" ht="12.75" x14ac:dyDescent="0.2">
      <c r="A388" s="102">
        <v>91477750</v>
      </c>
      <c r="B388" s="102" t="s">
        <v>906</v>
      </c>
      <c r="C388" s="102" t="s">
        <v>818</v>
      </c>
      <c r="D388" s="103" t="s">
        <v>25</v>
      </c>
      <c r="E388" s="69" t="s">
        <v>83</v>
      </c>
      <c r="F388" s="104">
        <v>45311</v>
      </c>
      <c r="G388" s="69" t="s">
        <v>982</v>
      </c>
      <c r="H388" s="105" t="s">
        <v>12</v>
      </c>
      <c r="I388" s="106" t="str">
        <f>VLOOKUP(H388,VALIDACIONES!$A$2:$B$138,2,0)</f>
        <v>ConducirsinportarelSeguroObligatoriodeAccidentesdetránsitoordenadoporlaley.Además,elvehículoseráinmovilizado.</v>
      </c>
      <c r="J388" s="106">
        <v>1145040</v>
      </c>
      <c r="K388" s="106" t="s">
        <v>86</v>
      </c>
      <c r="L388" s="107">
        <v>45322</v>
      </c>
      <c r="M388" s="8" t="s">
        <v>87</v>
      </c>
      <c r="N388" s="16">
        <f t="shared" si="8"/>
        <v>1</v>
      </c>
      <c r="O388" s="47">
        <f t="shared" si="9"/>
        <v>2024</v>
      </c>
      <c r="P388" s="8"/>
      <c r="Q388" s="8"/>
      <c r="R388" s="8"/>
      <c r="S388" s="8"/>
      <c r="T388" s="8"/>
      <c r="U388" s="8" t="s">
        <v>983</v>
      </c>
      <c r="V388" s="64"/>
      <c r="W388" s="1"/>
      <c r="X388" s="1"/>
      <c r="Y388" s="1"/>
    </row>
    <row r="389" spans="1:25" ht="12.75" x14ac:dyDescent="0.2">
      <c r="A389" s="69">
        <v>1040759455</v>
      </c>
      <c r="B389" s="69" t="s">
        <v>984</v>
      </c>
      <c r="C389" s="8" t="s">
        <v>522</v>
      </c>
      <c r="D389" s="103" t="s">
        <v>82</v>
      </c>
      <c r="E389" s="8" t="s">
        <v>83</v>
      </c>
      <c r="F389" s="104">
        <v>45316</v>
      </c>
      <c r="G389" s="69" t="s">
        <v>93</v>
      </c>
      <c r="H389" s="108" t="s">
        <v>8</v>
      </c>
      <c r="I389" s="109" t="str">
        <f>VLOOKUP(H389,VALIDACIONES!$A$2:$B$138,2,0)</f>
        <v>Conducir motocicleta sin observar las siguientes normas.(verlistadodesituaciones)</v>
      </c>
      <c r="J389" s="69">
        <v>572628</v>
      </c>
      <c r="K389" s="69" t="s">
        <v>86</v>
      </c>
      <c r="L389" s="107">
        <v>45335</v>
      </c>
      <c r="M389" s="8" t="s">
        <v>87</v>
      </c>
      <c r="N389" s="16">
        <f t="shared" si="8"/>
        <v>1</v>
      </c>
      <c r="O389" s="47">
        <f t="shared" si="9"/>
        <v>2024</v>
      </c>
      <c r="P389" s="34"/>
      <c r="Q389" s="34"/>
      <c r="R389" s="34"/>
      <c r="S389" s="34"/>
      <c r="T389" s="34"/>
      <c r="U389" s="8"/>
      <c r="V389" s="64"/>
      <c r="W389" s="1"/>
      <c r="X389" s="1"/>
      <c r="Y389" s="1"/>
    </row>
    <row r="390" spans="1:25" ht="12.75" x14ac:dyDescent="0.2">
      <c r="A390" s="69">
        <v>98571366</v>
      </c>
      <c r="B390" s="69" t="s">
        <v>985</v>
      </c>
      <c r="C390" s="8" t="s">
        <v>664</v>
      </c>
      <c r="D390" s="110" t="s">
        <v>82</v>
      </c>
      <c r="E390" s="68" t="s">
        <v>83</v>
      </c>
      <c r="F390" s="111">
        <v>45292</v>
      </c>
      <c r="G390" s="112" t="s">
        <v>118</v>
      </c>
      <c r="H390" s="69" t="s">
        <v>12</v>
      </c>
      <c r="I390" s="109" t="str">
        <f>VLOOKUP(H390,VALIDACIONES!$A$2:$B$138,2,0)</f>
        <v>ConducirsinportarelSeguroObligatoriodeAccidentesdetránsitoordenadoporlaley.Además,elvehículoseráinmovilizado.</v>
      </c>
      <c r="J390" s="69">
        <v>429386</v>
      </c>
      <c r="K390" s="69" t="s">
        <v>86</v>
      </c>
      <c r="L390" s="107">
        <v>45335</v>
      </c>
      <c r="M390" s="8" t="s">
        <v>87</v>
      </c>
      <c r="N390" s="16">
        <f t="shared" si="8"/>
        <v>1</v>
      </c>
      <c r="O390" s="47">
        <f t="shared" si="9"/>
        <v>2024</v>
      </c>
      <c r="P390" s="34"/>
      <c r="Q390" s="34"/>
      <c r="R390" s="34"/>
      <c r="S390" s="34"/>
      <c r="T390" s="34"/>
      <c r="U390" s="8"/>
      <c r="V390" s="64"/>
      <c r="W390" s="1"/>
      <c r="X390" s="1"/>
      <c r="Y390" s="1"/>
    </row>
    <row r="391" spans="1:25" ht="12.75" x14ac:dyDescent="0.2">
      <c r="A391" s="69">
        <v>70813309</v>
      </c>
      <c r="B391" s="69" t="s">
        <v>986</v>
      </c>
      <c r="C391" s="8" t="s">
        <v>987</v>
      </c>
      <c r="D391" s="110" t="s">
        <v>82</v>
      </c>
      <c r="E391" s="110" t="s">
        <v>83</v>
      </c>
      <c r="F391" s="104">
        <v>45311</v>
      </c>
      <c r="G391" s="69" t="s">
        <v>118</v>
      </c>
      <c r="H391" s="69" t="s">
        <v>4</v>
      </c>
      <c r="I391" s="109" t="str">
        <f>VLOOKUP(H391,VALIDACIONES!$A$2:$B$138,2,0)</f>
        <v>Estacionar un vehículo en los sitios prohibidos por el Código Nacional de Tránsito, reglamentado por la Res.3027.</v>
      </c>
      <c r="J391" s="69">
        <v>322041</v>
      </c>
      <c r="K391" s="69" t="s">
        <v>86</v>
      </c>
      <c r="L391" s="107">
        <v>45335</v>
      </c>
      <c r="M391" s="8" t="s">
        <v>87</v>
      </c>
      <c r="N391" s="16">
        <f t="shared" si="8"/>
        <v>1</v>
      </c>
      <c r="O391" s="47">
        <f t="shared" si="9"/>
        <v>2024</v>
      </c>
      <c r="P391" s="34"/>
      <c r="Q391" s="34"/>
      <c r="R391" s="34"/>
      <c r="S391" s="34"/>
      <c r="T391" s="34"/>
      <c r="U391" s="8"/>
      <c r="V391" s="64"/>
      <c r="W391" s="1"/>
      <c r="X391" s="1"/>
      <c r="Y391" s="1"/>
    </row>
    <row r="392" spans="1:25" ht="12.75" x14ac:dyDescent="0.2">
      <c r="A392" s="69">
        <v>1020404294</v>
      </c>
      <c r="B392" s="102" t="s">
        <v>988</v>
      </c>
      <c r="C392" s="110" t="s">
        <v>953</v>
      </c>
      <c r="D392" s="110" t="s">
        <v>82</v>
      </c>
      <c r="E392" s="110" t="s">
        <v>83</v>
      </c>
      <c r="F392" s="113">
        <v>45321</v>
      </c>
      <c r="G392" s="102" t="s">
        <v>125</v>
      </c>
      <c r="H392" s="102" t="s">
        <v>4</v>
      </c>
      <c r="I392" s="109" t="str">
        <f>VLOOKUP(H392,VALIDACIONES!$A$2:$B$138,2,0)</f>
        <v>Estacionar un vehículo en los sitios prohibidos por el Código Nacional de Tránsito, reglamentado por la Res.3027.</v>
      </c>
      <c r="J392" s="69">
        <v>572498</v>
      </c>
      <c r="K392" s="69" t="s">
        <v>86</v>
      </c>
      <c r="L392" s="107">
        <v>45335</v>
      </c>
      <c r="M392" s="8" t="s">
        <v>87</v>
      </c>
      <c r="N392" s="16">
        <f t="shared" si="8"/>
        <v>1</v>
      </c>
      <c r="O392" s="47">
        <f t="shared" si="9"/>
        <v>2024</v>
      </c>
      <c r="P392" s="8"/>
      <c r="Q392" s="8"/>
      <c r="R392" s="8"/>
      <c r="S392" s="8"/>
      <c r="T392" s="8"/>
      <c r="U392" s="8"/>
      <c r="V392" s="64"/>
      <c r="W392" s="1"/>
      <c r="X392" s="1"/>
      <c r="Y392" s="1"/>
    </row>
    <row r="393" spans="1:25" ht="38.25" x14ac:dyDescent="0.2">
      <c r="A393" s="69">
        <v>98594680</v>
      </c>
      <c r="B393" s="69" t="s">
        <v>989</v>
      </c>
      <c r="C393" s="8" t="s">
        <v>25</v>
      </c>
      <c r="D393" s="8" t="s">
        <v>25</v>
      </c>
      <c r="E393" s="8" t="s">
        <v>83</v>
      </c>
      <c r="F393" s="113">
        <v>45329</v>
      </c>
      <c r="G393" s="8" t="s">
        <v>93</v>
      </c>
      <c r="H393" s="8" t="s">
        <v>14</v>
      </c>
      <c r="I393" s="114" t="str">
        <f>VLOOKUP(H393,VALIDACIONES!$A$2:$B$138,2,0)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393" s="69">
        <v>1144927</v>
      </c>
      <c r="K393" s="69" t="s">
        <v>86</v>
      </c>
      <c r="L393" s="115">
        <v>45357</v>
      </c>
      <c r="M393" s="8" t="s">
        <v>87</v>
      </c>
      <c r="N393" s="16">
        <f t="shared" si="8"/>
        <v>2</v>
      </c>
      <c r="O393" s="47">
        <f t="shared" si="9"/>
        <v>2024</v>
      </c>
      <c r="P393" s="110"/>
      <c r="Q393" s="110"/>
      <c r="R393" s="110"/>
      <c r="S393" s="110"/>
      <c r="T393" s="110"/>
      <c r="U393" s="110"/>
      <c r="V393" s="64"/>
      <c r="W393" s="1"/>
      <c r="X393" s="1"/>
      <c r="Y393" s="1"/>
    </row>
    <row r="394" spans="1:25" ht="12.75" x14ac:dyDescent="0.2">
      <c r="A394" s="116">
        <v>75072317</v>
      </c>
      <c r="B394" s="116" t="s">
        <v>990</v>
      </c>
      <c r="C394" s="116" t="s">
        <v>22</v>
      </c>
      <c r="D394" s="116" t="s">
        <v>82</v>
      </c>
      <c r="E394" s="116" t="s">
        <v>100</v>
      </c>
      <c r="F394" s="117">
        <v>45343</v>
      </c>
      <c r="G394" s="116" t="s">
        <v>101</v>
      </c>
      <c r="H394" s="116" t="s">
        <v>385</v>
      </c>
      <c r="I394" s="116" t="str">
        <f>VLOOKUP(H394,VALIDACIONES!$A$2:$B$138,2,0)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394" s="116">
        <v>572518</v>
      </c>
      <c r="K394" s="118" t="s">
        <v>86</v>
      </c>
      <c r="L394" s="119">
        <v>45357</v>
      </c>
      <c r="M394" s="8" t="s">
        <v>87</v>
      </c>
      <c r="N394" s="16">
        <f t="shared" ref="N394:N442" si="10">MONTH(F394)</f>
        <v>2</v>
      </c>
      <c r="O394" s="47">
        <f t="shared" si="9"/>
        <v>2024</v>
      </c>
      <c r="P394" s="8"/>
      <c r="Q394" s="8"/>
      <c r="R394" s="8"/>
      <c r="S394" s="8"/>
      <c r="T394" s="8"/>
      <c r="U394" s="8"/>
      <c r="V394" s="64"/>
      <c r="W394" s="1"/>
      <c r="X394" s="1"/>
      <c r="Y394" s="1"/>
    </row>
    <row r="395" spans="1:25" ht="12.75" x14ac:dyDescent="0.2">
      <c r="A395" s="69">
        <v>1047426491</v>
      </c>
      <c r="B395" s="69" t="s">
        <v>991</v>
      </c>
      <c r="C395" s="69" t="s">
        <v>953</v>
      </c>
      <c r="D395" s="69" t="s">
        <v>82</v>
      </c>
      <c r="E395" s="102" t="s">
        <v>83</v>
      </c>
      <c r="F395" s="113">
        <v>45323</v>
      </c>
      <c r="G395" s="102" t="s">
        <v>93</v>
      </c>
      <c r="H395" s="69" t="s">
        <v>7</v>
      </c>
      <c r="I395" s="69" t="str">
        <f>VLOOKUP(H395,VALIDACIONES!$A$2:$B$138,2,0)</f>
        <v>Transitar por los siguientes sitios restringidos o en horas prohibidas por laautoridad competente. Además, el vehículo será inmovilizado.(verlistado)</v>
      </c>
      <c r="J395" s="69">
        <v>527506</v>
      </c>
      <c r="K395" s="120" t="s">
        <v>86</v>
      </c>
      <c r="L395" s="107"/>
      <c r="M395" s="8" t="s">
        <v>87</v>
      </c>
      <c r="N395" s="16">
        <f t="shared" si="10"/>
        <v>2</v>
      </c>
      <c r="O395" s="47">
        <f t="shared" si="9"/>
        <v>2024</v>
      </c>
      <c r="P395" s="8"/>
      <c r="Q395" s="8"/>
      <c r="R395" s="8"/>
      <c r="S395" s="8"/>
      <c r="T395" s="8"/>
      <c r="U395" s="8"/>
      <c r="V395" s="64"/>
      <c r="W395" s="1"/>
      <c r="X395" s="1"/>
      <c r="Y395" s="1"/>
    </row>
    <row r="396" spans="1:25" ht="12.75" x14ac:dyDescent="0.2">
      <c r="A396" s="69">
        <v>71582706</v>
      </c>
      <c r="B396" s="69" t="s">
        <v>992</v>
      </c>
      <c r="C396" s="69" t="s">
        <v>950</v>
      </c>
      <c r="D396" s="120" t="s">
        <v>82</v>
      </c>
      <c r="E396" s="69" t="s">
        <v>83</v>
      </c>
      <c r="F396" s="104">
        <v>45349</v>
      </c>
      <c r="G396" s="69" t="s">
        <v>118</v>
      </c>
      <c r="H396" s="108" t="s">
        <v>7</v>
      </c>
      <c r="I396" s="69" t="str">
        <f>VLOOKUP(H396,VALIDACIONES!$A$2:$B$138,2,0)</f>
        <v>Transitar por los siguientes sitios restringidos o en horas prohibidas por laautoridad competente. Además, el vehículo será inmovilizado.(verlistado)</v>
      </c>
      <c r="J396" s="69">
        <v>572518</v>
      </c>
      <c r="K396" s="120" t="s">
        <v>86</v>
      </c>
      <c r="L396" s="8"/>
      <c r="M396" s="8" t="s">
        <v>87</v>
      </c>
      <c r="N396" s="16">
        <f t="shared" si="10"/>
        <v>2</v>
      </c>
      <c r="O396" s="47">
        <f t="shared" si="9"/>
        <v>2024</v>
      </c>
      <c r="P396" s="8"/>
      <c r="Q396" s="8"/>
      <c r="R396" s="8"/>
      <c r="S396" s="8"/>
      <c r="T396" s="8"/>
      <c r="U396" s="8"/>
      <c r="V396" s="64"/>
      <c r="W396" s="1"/>
      <c r="X396" s="1"/>
      <c r="Y396" s="1"/>
    </row>
    <row r="397" spans="1:25" ht="12.75" x14ac:dyDescent="0.2">
      <c r="A397" s="121">
        <v>1073323369</v>
      </c>
      <c r="B397" s="121" t="s">
        <v>993</v>
      </c>
      <c r="C397" s="121" t="s">
        <v>818</v>
      </c>
      <c r="D397" s="122" t="s">
        <v>82</v>
      </c>
      <c r="E397" s="121" t="s">
        <v>83</v>
      </c>
      <c r="F397" s="117">
        <v>45341</v>
      </c>
      <c r="G397" s="121" t="s">
        <v>138</v>
      </c>
      <c r="H397" s="123" t="s">
        <v>12</v>
      </c>
      <c r="I397" s="116" t="str">
        <f>VLOOKUP(H397,VALIDACIONES!$A$2:$B$138,2,0)</f>
        <v>ConducirsinportarelSeguroObligatoriodeAccidentesdetránsitoordenadoporlaley.Además,elvehículoseráinmovilizado.</v>
      </c>
      <c r="J397" s="116">
        <v>1048841</v>
      </c>
      <c r="K397" s="118" t="s">
        <v>86</v>
      </c>
      <c r="L397" s="124"/>
      <c r="M397" s="8" t="s">
        <v>87</v>
      </c>
      <c r="N397" s="16">
        <f t="shared" si="10"/>
        <v>2</v>
      </c>
      <c r="O397" s="47">
        <f t="shared" si="9"/>
        <v>2024</v>
      </c>
      <c r="P397" s="8"/>
      <c r="Q397" s="8"/>
      <c r="R397" s="8"/>
      <c r="S397" s="8"/>
      <c r="T397" s="8"/>
      <c r="U397" s="8"/>
      <c r="V397" s="64"/>
      <c r="W397" s="1"/>
      <c r="X397" s="1"/>
      <c r="Y397" s="1"/>
    </row>
    <row r="398" spans="1:25" ht="38.25" x14ac:dyDescent="0.2">
      <c r="A398" s="102">
        <v>71213197</v>
      </c>
      <c r="B398" s="102" t="s">
        <v>889</v>
      </c>
      <c r="C398" s="8" t="s">
        <v>987</v>
      </c>
      <c r="D398" s="110" t="s">
        <v>82</v>
      </c>
      <c r="E398" s="69" t="s">
        <v>83</v>
      </c>
      <c r="F398" s="117">
        <v>45362</v>
      </c>
      <c r="G398" s="69" t="s">
        <v>93</v>
      </c>
      <c r="H398" s="69" t="s">
        <v>11</v>
      </c>
      <c r="I398" s="125" t="str">
        <f>VLOOKUP(H398,VALIDACIONES!$A$2:$B$138,2,0)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398" s="126">
        <v>572628</v>
      </c>
      <c r="K398" s="120" t="s">
        <v>86</v>
      </c>
      <c r="L398" s="8"/>
      <c r="M398" s="8" t="s">
        <v>87</v>
      </c>
      <c r="N398" s="16">
        <f t="shared" si="10"/>
        <v>3</v>
      </c>
      <c r="O398" s="47">
        <f t="shared" si="9"/>
        <v>2024</v>
      </c>
      <c r="P398" s="8"/>
      <c r="Q398" s="8"/>
      <c r="R398" s="8"/>
      <c r="S398" s="8"/>
      <c r="T398" s="8"/>
      <c r="U398" s="8"/>
      <c r="V398" s="64"/>
      <c r="W398" s="1"/>
      <c r="X398" s="1"/>
      <c r="Y398" s="1"/>
    </row>
    <row r="399" spans="1:25" ht="25.5" x14ac:dyDescent="0.2">
      <c r="A399" s="127">
        <v>1017177118</v>
      </c>
      <c r="B399" s="9" t="s">
        <v>994</v>
      </c>
      <c r="C399" s="17" t="s">
        <v>950</v>
      </c>
      <c r="D399" s="17" t="s">
        <v>82</v>
      </c>
      <c r="E399" s="128" t="s">
        <v>83</v>
      </c>
      <c r="F399" s="117">
        <v>45356</v>
      </c>
      <c r="G399" s="9" t="s">
        <v>138</v>
      </c>
      <c r="H399" s="9" t="s">
        <v>7</v>
      </c>
      <c r="I399" s="63" t="str">
        <f>VLOOKUP(H399,VALIDACIONES!$A$2:$B$138,2,0)</f>
        <v>Transitar por los siguientes sitios restringidos o en horas prohibidas por laautoridad competente. Además, el vehículo será inmovilizado.(verlistado)</v>
      </c>
      <c r="J399" s="129">
        <v>526869</v>
      </c>
      <c r="K399" s="62" t="s">
        <v>86</v>
      </c>
      <c r="L399" s="55"/>
      <c r="M399" s="8" t="s">
        <v>87</v>
      </c>
      <c r="N399" s="16">
        <f t="shared" si="10"/>
        <v>3</v>
      </c>
      <c r="O399" s="47">
        <f t="shared" si="9"/>
        <v>2024</v>
      </c>
      <c r="P399" s="17"/>
      <c r="Q399" s="17"/>
      <c r="R399" s="17"/>
      <c r="S399" s="17"/>
      <c r="T399" s="17"/>
      <c r="U399" s="17"/>
      <c r="V399" s="23"/>
      <c r="W399" s="15"/>
      <c r="X399" s="15"/>
      <c r="Y399" s="15"/>
    </row>
    <row r="400" spans="1:25" ht="12.75" x14ac:dyDescent="0.2">
      <c r="A400" s="76">
        <v>1020493285</v>
      </c>
      <c r="B400" s="76" t="s">
        <v>995</v>
      </c>
      <c r="C400" s="17" t="s">
        <v>953</v>
      </c>
      <c r="D400" s="17" t="s">
        <v>82</v>
      </c>
      <c r="E400" s="128" t="s">
        <v>83</v>
      </c>
      <c r="F400" s="117">
        <v>45358</v>
      </c>
      <c r="G400" s="9" t="s">
        <v>118</v>
      </c>
      <c r="H400" s="9" t="s">
        <v>15</v>
      </c>
      <c r="I400" s="63" t="str">
        <f>VLOOKUP(H400,VALIDACIONES!$A$2:$B$138,2,0)</f>
        <v>Las demas conductas que constituyan infraccion a las normas de transito y que no se encuentren descritas en este acto administrativo.</v>
      </c>
      <c r="J400" s="21" t="s">
        <v>996</v>
      </c>
      <c r="K400" s="62" t="s">
        <v>86</v>
      </c>
      <c r="L400" s="55"/>
      <c r="M400" s="8" t="s">
        <v>87</v>
      </c>
      <c r="N400" s="16">
        <f t="shared" si="10"/>
        <v>3</v>
      </c>
      <c r="O400" s="47">
        <f t="shared" si="9"/>
        <v>2024</v>
      </c>
      <c r="P400" s="17"/>
      <c r="Q400" s="17"/>
      <c r="R400" s="17"/>
      <c r="S400" s="17"/>
      <c r="T400" s="17"/>
      <c r="U400" s="17"/>
      <c r="V400" s="23"/>
      <c r="W400" s="15"/>
      <c r="X400" s="15"/>
      <c r="Y400" s="15"/>
    </row>
    <row r="401" spans="1:25" ht="25.5" x14ac:dyDescent="0.2">
      <c r="A401" s="9">
        <v>71784416</v>
      </c>
      <c r="B401" s="9" t="s">
        <v>997</v>
      </c>
      <c r="C401" s="17" t="s">
        <v>998</v>
      </c>
      <c r="D401" s="17" t="s">
        <v>82</v>
      </c>
      <c r="E401" s="130" t="s">
        <v>83</v>
      </c>
      <c r="F401" s="117">
        <v>45352</v>
      </c>
      <c r="G401" s="131" t="s">
        <v>93</v>
      </c>
      <c r="H401" s="9" t="s">
        <v>10</v>
      </c>
      <c r="I401" s="63" t="str">
        <f>VLOOKUP(H401,VALIDACIONES!$A$2:$B$138,2,0)</f>
        <v>Conducir un vehículo a velocidad superior a la máxima permitida, la cual deberá estar señalizada en forma sectorizada, no obstante esta no podrá ser superior a (verlistado)</v>
      </c>
      <c r="J401" s="21">
        <v>572628</v>
      </c>
      <c r="K401" s="62" t="s">
        <v>86</v>
      </c>
      <c r="L401" s="55"/>
      <c r="M401" s="8" t="s">
        <v>87</v>
      </c>
      <c r="N401" s="16">
        <f t="shared" si="10"/>
        <v>3</v>
      </c>
      <c r="O401" s="47">
        <f t="shared" si="9"/>
        <v>2024</v>
      </c>
      <c r="P401" s="17"/>
      <c r="Q401" s="17"/>
      <c r="R401" s="17"/>
      <c r="S401" s="17"/>
      <c r="T401" s="17"/>
      <c r="U401" s="17"/>
      <c r="V401" s="23"/>
      <c r="W401" s="15"/>
      <c r="X401" s="15"/>
      <c r="Y401" s="15"/>
    </row>
    <row r="402" spans="1:25" ht="38.25" x14ac:dyDescent="0.2">
      <c r="A402" s="9">
        <v>15448350</v>
      </c>
      <c r="B402" s="9" t="s">
        <v>999</v>
      </c>
      <c r="C402" s="9" t="s">
        <v>974</v>
      </c>
      <c r="D402" s="17" t="s">
        <v>135</v>
      </c>
      <c r="E402" s="128" t="s">
        <v>83</v>
      </c>
      <c r="F402" s="117">
        <v>45364</v>
      </c>
      <c r="G402" s="9" t="s">
        <v>138</v>
      </c>
      <c r="H402" s="9" t="s">
        <v>11</v>
      </c>
      <c r="I402" s="63" t="str">
        <f>VLOOKUP(H402,VALIDACIONES!$A$2:$B$138,2,0)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402" s="21">
        <v>525562</v>
      </c>
      <c r="K402" s="62" t="s">
        <v>86</v>
      </c>
      <c r="L402" s="55"/>
      <c r="M402" s="8" t="s">
        <v>87</v>
      </c>
      <c r="N402" s="16">
        <f t="shared" si="10"/>
        <v>3</v>
      </c>
      <c r="O402" s="47">
        <f t="shared" si="9"/>
        <v>2024</v>
      </c>
      <c r="P402" s="17"/>
      <c r="Q402" s="17"/>
      <c r="R402" s="17"/>
      <c r="S402" s="17"/>
      <c r="T402" s="17"/>
      <c r="U402" s="17"/>
      <c r="V402" s="23"/>
      <c r="W402" s="15"/>
      <c r="X402" s="15"/>
      <c r="Y402" s="15"/>
    </row>
    <row r="403" spans="1:25" ht="12.75" x14ac:dyDescent="0.2">
      <c r="A403" s="69">
        <v>1007243522</v>
      </c>
      <c r="B403" s="9" t="s">
        <v>1000</v>
      </c>
      <c r="C403" s="9" t="s">
        <v>25</v>
      </c>
      <c r="D403" s="9" t="s">
        <v>25</v>
      </c>
      <c r="E403" s="108" t="s">
        <v>83</v>
      </c>
      <c r="F403" s="132">
        <v>45358</v>
      </c>
      <c r="G403" s="69" t="s">
        <v>118</v>
      </c>
      <c r="H403" s="69" t="s">
        <v>8</v>
      </c>
      <c r="I403" s="125" t="str">
        <f>VLOOKUP(H403,VALIDACIONES!$A$2:$B$138,2,0)</f>
        <v>Conducir motocicleta sin observar las siguientes normas.(verlistadodesituaciones)</v>
      </c>
      <c r="J403" s="133">
        <v>526542</v>
      </c>
      <c r="K403" s="120" t="s">
        <v>86</v>
      </c>
      <c r="L403" s="8"/>
      <c r="M403" s="8" t="s">
        <v>87</v>
      </c>
      <c r="N403" s="16">
        <f t="shared" si="10"/>
        <v>3</v>
      </c>
      <c r="O403" s="47">
        <f t="shared" si="9"/>
        <v>2024</v>
      </c>
      <c r="P403" s="8"/>
      <c r="Q403" s="8"/>
      <c r="R403" s="8"/>
      <c r="S403" s="8"/>
      <c r="T403" s="8"/>
      <c r="U403" s="8"/>
      <c r="V403" s="64"/>
      <c r="W403" s="1"/>
      <c r="X403" s="1"/>
      <c r="Y403" s="1"/>
    </row>
    <row r="404" spans="1:25" ht="25.5" x14ac:dyDescent="0.2">
      <c r="A404" s="9">
        <v>71266454</v>
      </c>
      <c r="B404" s="9" t="s">
        <v>1001</v>
      </c>
      <c r="C404" s="17" t="s">
        <v>1002</v>
      </c>
      <c r="D404" s="17" t="s">
        <v>82</v>
      </c>
      <c r="E404" s="128" t="s">
        <v>83</v>
      </c>
      <c r="F404" s="117">
        <v>45548</v>
      </c>
      <c r="G404" s="9" t="s">
        <v>93</v>
      </c>
      <c r="H404" s="9" t="s">
        <v>7</v>
      </c>
      <c r="I404" s="63" t="str">
        <f>VLOOKUP(H404,VALIDACIONES!$A$2:$B$138,2,0)</f>
        <v>Transitar por los siguientes sitios restringidos o en horas prohibidas por laautoridad competente. Además, el vehículo será inmovilizado.(verlistado)</v>
      </c>
      <c r="J404" s="21">
        <v>522940</v>
      </c>
      <c r="K404" s="62" t="s">
        <v>86</v>
      </c>
      <c r="L404" s="55"/>
      <c r="M404" s="8" t="s">
        <v>87</v>
      </c>
      <c r="N404" s="16">
        <f t="shared" si="10"/>
        <v>9</v>
      </c>
      <c r="O404" s="47">
        <f t="shared" si="9"/>
        <v>2024</v>
      </c>
      <c r="P404" s="17"/>
      <c r="Q404" s="17"/>
      <c r="R404" s="17"/>
      <c r="S404" s="17"/>
      <c r="T404" s="17"/>
      <c r="U404" s="17"/>
      <c r="V404" s="23"/>
      <c r="W404" s="15"/>
      <c r="X404" s="15"/>
      <c r="Y404" s="15"/>
    </row>
    <row r="405" spans="1:25" ht="12.75" x14ac:dyDescent="0.2">
      <c r="A405" s="9">
        <v>43562267</v>
      </c>
      <c r="B405" s="9" t="s">
        <v>948</v>
      </c>
      <c r="C405" s="17" t="s">
        <v>522</v>
      </c>
      <c r="D405" s="17" t="s">
        <v>82</v>
      </c>
      <c r="E405" s="128" t="s">
        <v>83</v>
      </c>
      <c r="F405" s="132">
        <v>45356</v>
      </c>
      <c r="G405" s="9" t="s">
        <v>138</v>
      </c>
      <c r="H405" s="9" t="s">
        <v>12</v>
      </c>
      <c r="I405" s="63" t="str">
        <f>VLOOKUP(H405,VALIDACIONES!$A$2:$B$138,2,0)</f>
        <v>ConducirsinportarelSeguroObligatoriodeAccidentesdetránsitoordenadoporlaley.Además,elvehículoseráinmovilizado.</v>
      </c>
      <c r="J405" s="21">
        <v>1054065</v>
      </c>
      <c r="K405" s="62" t="s">
        <v>86</v>
      </c>
      <c r="L405" s="55"/>
      <c r="M405" s="8" t="s">
        <v>87</v>
      </c>
      <c r="N405" s="16">
        <f t="shared" si="10"/>
        <v>3</v>
      </c>
      <c r="O405" s="47">
        <f t="shared" si="9"/>
        <v>2024</v>
      </c>
      <c r="P405" s="17"/>
      <c r="Q405" s="17"/>
      <c r="R405" s="17"/>
      <c r="S405" s="17"/>
      <c r="T405" s="17"/>
      <c r="U405" s="17"/>
      <c r="V405" s="23"/>
      <c r="W405" s="15"/>
      <c r="X405" s="15"/>
      <c r="Y405" s="15"/>
    </row>
    <row r="406" spans="1:25" ht="12.75" x14ac:dyDescent="0.2">
      <c r="A406" s="9">
        <v>71725637</v>
      </c>
      <c r="B406" s="9" t="s">
        <v>1003</v>
      </c>
      <c r="C406" s="17" t="s">
        <v>912</v>
      </c>
      <c r="D406" s="17" t="s">
        <v>82</v>
      </c>
      <c r="E406" s="128" t="s">
        <v>83</v>
      </c>
      <c r="F406" s="117">
        <v>45353</v>
      </c>
      <c r="G406" s="9" t="s">
        <v>142</v>
      </c>
      <c r="H406" s="24">
        <v>39</v>
      </c>
      <c r="I406" s="63" t="s">
        <v>1004</v>
      </c>
      <c r="J406" s="21">
        <v>178995</v>
      </c>
      <c r="K406" s="62" t="s">
        <v>86</v>
      </c>
      <c r="L406" s="55"/>
      <c r="M406" s="8" t="s">
        <v>87</v>
      </c>
      <c r="N406" s="16">
        <f t="shared" si="10"/>
        <v>3</v>
      </c>
      <c r="O406" s="47">
        <f t="shared" si="9"/>
        <v>2024</v>
      </c>
      <c r="P406" s="17"/>
      <c r="Q406" s="17"/>
      <c r="R406" s="17"/>
      <c r="S406" s="17"/>
      <c r="T406" s="17"/>
      <c r="U406" s="17"/>
      <c r="V406" s="23"/>
      <c r="W406" s="15"/>
      <c r="X406" s="15"/>
      <c r="Y406" s="15"/>
    </row>
    <row r="407" spans="1:25" ht="12.75" x14ac:dyDescent="0.2">
      <c r="A407" s="134">
        <v>1017154923</v>
      </c>
      <c r="B407" s="134" t="s">
        <v>1005</v>
      </c>
      <c r="C407" s="17" t="s">
        <v>974</v>
      </c>
      <c r="D407" s="17" t="s">
        <v>135</v>
      </c>
      <c r="E407" s="128" t="s">
        <v>83</v>
      </c>
      <c r="F407" s="135">
        <v>45364</v>
      </c>
      <c r="G407" s="9" t="s">
        <v>111</v>
      </c>
      <c r="H407" s="9" t="s">
        <v>8</v>
      </c>
      <c r="I407" s="63" t="str">
        <f>VLOOKUP(H407,VALIDACIONES!$A$2:$B$138,2,0)</f>
        <v>Conducir motocicleta sin observar las siguientes normas.(verlistadodesituaciones)</v>
      </c>
      <c r="J407" s="21">
        <v>572600</v>
      </c>
      <c r="K407" s="62" t="s">
        <v>86</v>
      </c>
      <c r="L407" s="55"/>
      <c r="M407" s="8" t="s">
        <v>87</v>
      </c>
      <c r="N407" s="16">
        <f t="shared" si="10"/>
        <v>3</v>
      </c>
      <c r="O407" s="47">
        <f t="shared" si="9"/>
        <v>2024</v>
      </c>
      <c r="P407" s="17"/>
      <c r="Q407" s="17"/>
      <c r="R407" s="17"/>
      <c r="S407" s="17"/>
      <c r="T407" s="17"/>
      <c r="U407" s="17"/>
      <c r="V407" s="23"/>
      <c r="W407" s="15"/>
      <c r="X407" s="15"/>
      <c r="Y407" s="15"/>
    </row>
    <row r="408" spans="1:25" ht="12.75" x14ac:dyDescent="0.2">
      <c r="A408" s="22">
        <v>1001367816</v>
      </c>
      <c r="B408" s="134" t="s">
        <v>1006</v>
      </c>
      <c r="C408" s="17" t="s">
        <v>522</v>
      </c>
      <c r="D408" s="17" t="s">
        <v>82</v>
      </c>
      <c r="E408" s="128" t="s">
        <v>83</v>
      </c>
      <c r="F408" s="135">
        <v>45368</v>
      </c>
      <c r="G408" s="9" t="s">
        <v>93</v>
      </c>
      <c r="H408" s="9" t="s">
        <v>4</v>
      </c>
      <c r="I408" s="63" t="str">
        <f>VLOOKUP(H408,VALIDACIONES!$A$2:$B$138,2,0)</f>
        <v>Estacionar un vehículo en los sitios prohibidos por el Código Nacional de Tránsito, reglamentado por la Res.3027.</v>
      </c>
      <c r="J408" s="21">
        <v>572628</v>
      </c>
      <c r="K408" s="62" t="s">
        <v>86</v>
      </c>
      <c r="L408" s="55"/>
      <c r="M408" s="8" t="s">
        <v>87</v>
      </c>
      <c r="N408" s="16">
        <f t="shared" si="10"/>
        <v>3</v>
      </c>
      <c r="O408" s="47">
        <f t="shared" si="9"/>
        <v>2024</v>
      </c>
      <c r="P408" s="17"/>
      <c r="Q408" s="17"/>
      <c r="R408" s="17"/>
      <c r="S408" s="17"/>
      <c r="T408" s="17"/>
      <c r="U408" s="17"/>
      <c r="V408" s="23"/>
      <c r="W408" s="15"/>
      <c r="X408" s="15"/>
      <c r="Y408" s="15"/>
    </row>
    <row r="409" spans="1:25" ht="12.75" x14ac:dyDescent="0.2">
      <c r="A409" s="22">
        <v>1001367816</v>
      </c>
      <c r="B409" s="134" t="s">
        <v>1006</v>
      </c>
      <c r="C409" s="17" t="s">
        <v>522</v>
      </c>
      <c r="D409" s="17" t="s">
        <v>82</v>
      </c>
      <c r="E409" s="128" t="s">
        <v>83</v>
      </c>
      <c r="F409" s="135">
        <v>45368</v>
      </c>
      <c r="G409" s="9" t="s">
        <v>93</v>
      </c>
      <c r="H409" s="9" t="s">
        <v>6</v>
      </c>
      <c r="I409" s="63" t="str">
        <f>VLOOKUP(H409,VALIDACIONES!$A$2:$B$138,2,0)</f>
        <v>Noportarcomomínimoelsiguienteequipodeprevenciónyseguridad.(verlistado)</v>
      </c>
      <c r="J409" s="21">
        <v>572628</v>
      </c>
      <c r="K409" s="62" t="s">
        <v>86</v>
      </c>
      <c r="L409" s="55"/>
      <c r="M409" s="8" t="s">
        <v>87</v>
      </c>
      <c r="N409" s="16">
        <f t="shared" si="10"/>
        <v>3</v>
      </c>
      <c r="O409" s="47">
        <f t="shared" si="9"/>
        <v>2024</v>
      </c>
      <c r="P409" s="17"/>
      <c r="Q409" s="17"/>
      <c r="R409" s="17"/>
      <c r="S409" s="17"/>
      <c r="T409" s="17"/>
      <c r="U409" s="17"/>
      <c r="V409" s="23"/>
      <c r="W409" s="15"/>
      <c r="X409" s="15"/>
      <c r="Y409" s="15"/>
    </row>
    <row r="410" spans="1:25" ht="12.75" x14ac:dyDescent="0.2">
      <c r="A410" s="22">
        <v>1001367816</v>
      </c>
      <c r="B410" s="134" t="s">
        <v>1006</v>
      </c>
      <c r="C410" s="17" t="s">
        <v>522</v>
      </c>
      <c r="D410" s="17" t="s">
        <v>82</v>
      </c>
      <c r="E410" s="128" t="s">
        <v>83</v>
      </c>
      <c r="F410" s="135">
        <v>45368</v>
      </c>
      <c r="G410" s="9" t="s">
        <v>93</v>
      </c>
      <c r="H410" s="9" t="s">
        <v>32</v>
      </c>
      <c r="I410" s="63" t="str">
        <f>VLOOKUP(H410,VALIDACIONES!$A$2:$B$138,2,0)</f>
        <v>No acatar las señales o requerimientos impartidos por los agentes de Tránsito.</v>
      </c>
      <c r="J410" s="21">
        <v>572628</v>
      </c>
      <c r="K410" s="62" t="s">
        <v>86</v>
      </c>
      <c r="L410" s="55"/>
      <c r="M410" s="8" t="s">
        <v>87</v>
      </c>
      <c r="N410" s="16">
        <f t="shared" si="10"/>
        <v>3</v>
      </c>
      <c r="O410" s="47">
        <f t="shared" si="9"/>
        <v>2024</v>
      </c>
      <c r="P410" s="17"/>
      <c r="Q410" s="17"/>
      <c r="R410" s="17"/>
      <c r="S410" s="17"/>
      <c r="T410" s="17"/>
      <c r="U410" s="17"/>
      <c r="V410" s="23"/>
      <c r="W410" s="15"/>
      <c r="X410" s="15"/>
      <c r="Y410" s="15"/>
    </row>
    <row r="411" spans="1:25" ht="12.75" x14ac:dyDescent="0.2">
      <c r="A411" s="127">
        <v>71730095</v>
      </c>
      <c r="B411" s="20" t="s">
        <v>1007</v>
      </c>
      <c r="C411" s="64" t="s">
        <v>921</v>
      </c>
      <c r="D411" s="17" t="s">
        <v>82</v>
      </c>
      <c r="E411" s="64" t="s">
        <v>83</v>
      </c>
      <c r="F411" s="136">
        <v>45408</v>
      </c>
      <c r="G411" s="127" t="s">
        <v>187</v>
      </c>
      <c r="H411" s="137" t="s">
        <v>180</v>
      </c>
      <c r="I411" s="138" t="str">
        <f>VLOOKUP(H411,VALIDACIONES!$A$2:$B$138,2,0)</f>
        <v>Bloquearunacalzadaointersecciónconunvehículo,salvocuandoelbloqueoobedezcaalaocurrenciadeunaccidente.</v>
      </c>
      <c r="J411" s="126">
        <v>572518</v>
      </c>
      <c r="K411" s="120" t="s">
        <v>86</v>
      </c>
      <c r="L411" s="8"/>
      <c r="M411" s="8" t="s">
        <v>87</v>
      </c>
      <c r="N411" s="16">
        <f t="shared" si="10"/>
        <v>4</v>
      </c>
      <c r="O411" s="47">
        <f t="shared" si="9"/>
        <v>2024</v>
      </c>
      <c r="P411" s="8"/>
      <c r="Q411" s="8"/>
      <c r="R411" s="8"/>
      <c r="S411" s="8"/>
      <c r="T411" s="8"/>
      <c r="U411" s="8"/>
      <c r="V411" s="64"/>
      <c r="W411" s="1"/>
      <c r="X411" s="1"/>
      <c r="Y411" s="1"/>
    </row>
    <row r="412" spans="1:25" ht="25.5" x14ac:dyDescent="0.2">
      <c r="A412" s="139">
        <v>1036960249</v>
      </c>
      <c r="B412" s="21" t="s">
        <v>1008</v>
      </c>
      <c r="C412" s="9" t="s">
        <v>664</v>
      </c>
      <c r="D412" s="17" t="s">
        <v>82</v>
      </c>
      <c r="E412" s="8" t="s">
        <v>83</v>
      </c>
      <c r="F412" s="140">
        <v>45388</v>
      </c>
      <c r="G412" s="139" t="s">
        <v>846</v>
      </c>
      <c r="H412" s="141" t="s">
        <v>385</v>
      </c>
      <c r="I412" s="125" t="str">
        <f>VLOOKUP(H412,VALIDACIONES!$A$2:$B$138,2,0)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412" s="142">
        <v>572520</v>
      </c>
      <c r="K412" s="118" t="s">
        <v>86</v>
      </c>
      <c r="L412" s="124"/>
      <c r="M412" s="8" t="s">
        <v>87</v>
      </c>
      <c r="N412" s="16">
        <f t="shared" si="10"/>
        <v>4</v>
      </c>
      <c r="O412" s="47">
        <f t="shared" ref="O412:O416" si="11">YEAR(F412)</f>
        <v>2024</v>
      </c>
      <c r="P412" s="8"/>
      <c r="Q412" s="8"/>
      <c r="R412" s="8"/>
      <c r="S412" s="8"/>
      <c r="T412" s="8"/>
      <c r="U412" s="8" t="s">
        <v>1009</v>
      </c>
      <c r="V412" s="64"/>
      <c r="W412" s="1"/>
      <c r="X412" s="1"/>
      <c r="Y412" s="1"/>
    </row>
    <row r="413" spans="1:25" ht="25.5" x14ac:dyDescent="0.2">
      <c r="A413" s="139">
        <v>1039686676</v>
      </c>
      <c r="B413" s="21" t="s">
        <v>1010</v>
      </c>
      <c r="C413" s="143" t="s">
        <v>818</v>
      </c>
      <c r="D413" s="17" t="s">
        <v>25</v>
      </c>
      <c r="E413" s="8" t="s">
        <v>83</v>
      </c>
      <c r="F413" s="104">
        <v>45406</v>
      </c>
      <c r="G413" s="139" t="s">
        <v>93</v>
      </c>
      <c r="H413" s="69" t="s">
        <v>7</v>
      </c>
      <c r="I413" s="125" t="str">
        <f>VLOOKUP(H413,VALIDACIONES!$A$2:$B$138,2,0)</f>
        <v>Transitar por los siguientes sitios restringidos o en horas prohibidas por laautoridad competente. Además, el vehículo será inmovilizado.(verlistado)</v>
      </c>
      <c r="J413" s="133">
        <v>572628</v>
      </c>
      <c r="K413" s="120" t="s">
        <v>86</v>
      </c>
      <c r="L413" s="8"/>
      <c r="M413" s="8" t="s">
        <v>87</v>
      </c>
      <c r="N413" s="16">
        <f t="shared" si="10"/>
        <v>4</v>
      </c>
      <c r="O413" s="47">
        <f t="shared" si="11"/>
        <v>2024</v>
      </c>
      <c r="P413" s="8"/>
      <c r="Q413" s="8"/>
      <c r="R413" s="8"/>
      <c r="S413" s="8"/>
      <c r="T413" s="8"/>
      <c r="U413" s="8"/>
      <c r="V413" s="64"/>
      <c r="W413" s="1"/>
      <c r="X413" s="1"/>
      <c r="Y413" s="1"/>
    </row>
    <row r="414" spans="1:25" ht="12.75" x14ac:dyDescent="0.2">
      <c r="A414" s="139">
        <v>10273687</v>
      </c>
      <c r="B414" s="21" t="s">
        <v>1011</v>
      </c>
      <c r="C414" s="9" t="s">
        <v>22</v>
      </c>
      <c r="D414" s="17" t="s">
        <v>82</v>
      </c>
      <c r="E414" s="8" t="s">
        <v>100</v>
      </c>
      <c r="F414" s="140">
        <v>45411</v>
      </c>
      <c r="G414" s="139" t="s">
        <v>875</v>
      </c>
      <c r="H414" s="141" t="s">
        <v>4</v>
      </c>
      <c r="I414" s="125" t="str">
        <f>VLOOKUP(H414,VALIDACIONES!$A$2:$B$138,2,0)</f>
        <v>Estacionar un vehículo en los sitios prohibidos por el Código Nacional de Tránsito, reglamentado por la Res.3027.</v>
      </c>
      <c r="J414" s="142">
        <v>572515</v>
      </c>
      <c r="K414" s="118" t="s">
        <v>86</v>
      </c>
      <c r="L414" s="119">
        <v>45460</v>
      </c>
      <c r="M414" s="8" t="s">
        <v>87</v>
      </c>
      <c r="N414" s="16">
        <f t="shared" si="10"/>
        <v>4</v>
      </c>
      <c r="O414" s="47">
        <f t="shared" si="11"/>
        <v>2024</v>
      </c>
      <c r="P414" s="8" t="s">
        <v>94</v>
      </c>
      <c r="Q414" s="8" t="s">
        <v>89</v>
      </c>
      <c r="R414" s="8" t="s">
        <v>91</v>
      </c>
      <c r="S414" s="8"/>
      <c r="T414" s="8"/>
      <c r="U414" s="8"/>
      <c r="V414" s="64"/>
      <c r="W414" s="1"/>
      <c r="X414" s="1"/>
      <c r="Y414" s="1"/>
    </row>
    <row r="415" spans="1:25" ht="38.25" x14ac:dyDescent="0.2">
      <c r="A415" s="139">
        <v>1039457905</v>
      </c>
      <c r="B415" s="21" t="s">
        <v>1012</v>
      </c>
      <c r="C415" s="143" t="s">
        <v>921</v>
      </c>
      <c r="D415" s="17" t="s">
        <v>82</v>
      </c>
      <c r="E415" s="8" t="s">
        <v>83</v>
      </c>
      <c r="F415" s="140">
        <v>45388</v>
      </c>
      <c r="G415" s="139" t="s">
        <v>846</v>
      </c>
      <c r="H415" s="141" t="s">
        <v>11</v>
      </c>
      <c r="I415" s="125" t="str">
        <f>VLOOKUP(H415,VALIDACIONES!$A$2:$B$138,2,0)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415" s="142">
        <v>572520</v>
      </c>
      <c r="K415" s="118" t="s">
        <v>86</v>
      </c>
      <c r="L415" s="119">
        <v>45455</v>
      </c>
      <c r="M415" s="8" t="s">
        <v>87</v>
      </c>
      <c r="N415" s="16">
        <f t="shared" si="10"/>
        <v>4</v>
      </c>
      <c r="O415" s="47">
        <f t="shared" si="11"/>
        <v>2024</v>
      </c>
      <c r="P415" s="8"/>
      <c r="Q415" s="8"/>
      <c r="R415" s="8"/>
      <c r="S415" s="8"/>
      <c r="T415" s="8"/>
      <c r="U415" s="8"/>
      <c r="V415" s="64"/>
      <c r="W415" s="1"/>
      <c r="X415" s="1"/>
      <c r="Y415" s="1"/>
    </row>
    <row r="416" spans="1:25" ht="12.75" x14ac:dyDescent="0.2">
      <c r="A416" s="139">
        <v>1039457905</v>
      </c>
      <c r="B416" s="21" t="s">
        <v>1012</v>
      </c>
      <c r="C416" s="143" t="s">
        <v>921</v>
      </c>
      <c r="D416" s="17" t="s">
        <v>82</v>
      </c>
      <c r="E416" s="8" t="s">
        <v>83</v>
      </c>
      <c r="F416" s="140">
        <v>45388</v>
      </c>
      <c r="G416" s="139" t="s">
        <v>846</v>
      </c>
      <c r="H416" s="141" t="s">
        <v>12</v>
      </c>
      <c r="I416" s="125" t="str">
        <f>VLOOKUP(H416,VALIDACIONES!$A$2:$B$138,2,0)</f>
        <v>ConducirsinportarelSeguroObligatoriodeAccidentesdetránsitoordenadoporlaley.Además,elvehículoseráinmovilizado.</v>
      </c>
      <c r="J416" s="142">
        <v>1145040</v>
      </c>
      <c r="K416" s="118" t="s">
        <v>86</v>
      </c>
      <c r="L416" s="119">
        <v>45455</v>
      </c>
      <c r="M416" s="8" t="s">
        <v>87</v>
      </c>
      <c r="N416" s="16">
        <f t="shared" si="10"/>
        <v>4</v>
      </c>
      <c r="O416" s="47">
        <f t="shared" si="11"/>
        <v>2024</v>
      </c>
      <c r="P416" s="8"/>
      <c r="Q416" s="8"/>
      <c r="R416" s="8"/>
      <c r="S416" s="8"/>
      <c r="T416" s="8"/>
      <c r="U416" s="8"/>
      <c r="V416" s="64"/>
      <c r="W416" s="1"/>
      <c r="X416" s="1"/>
      <c r="Y416" s="1"/>
    </row>
    <row r="417" spans="1:25" ht="12.75" x14ac:dyDescent="0.2">
      <c r="A417" s="139">
        <v>91179430</v>
      </c>
      <c r="B417" s="21" t="s">
        <v>1013</v>
      </c>
      <c r="C417" s="143" t="s">
        <v>818</v>
      </c>
      <c r="D417" s="17" t="s">
        <v>25</v>
      </c>
      <c r="E417" s="8" t="s">
        <v>83</v>
      </c>
      <c r="F417" s="140">
        <v>45412</v>
      </c>
      <c r="G417" s="139" t="s">
        <v>1014</v>
      </c>
      <c r="H417" s="141" t="s">
        <v>8</v>
      </c>
      <c r="I417" s="125" t="str">
        <f>VLOOKUP(H417,VALIDACIONES!$A$2:$B$138,2,0)</f>
        <v>Conducir motocicleta sin observar las siguientes normas.(verlistadodesituaciones)</v>
      </c>
      <c r="J417" s="142">
        <v>572520</v>
      </c>
      <c r="K417" s="118" t="s">
        <v>86</v>
      </c>
      <c r="L417" s="124"/>
      <c r="M417" s="8" t="s">
        <v>87</v>
      </c>
      <c r="N417" s="16">
        <f t="shared" si="10"/>
        <v>4</v>
      </c>
      <c r="O417" s="47">
        <f t="shared" ref="O417:O427" si="12">YEAR(F417)</f>
        <v>2024</v>
      </c>
      <c r="P417" s="8"/>
      <c r="Q417" s="8"/>
      <c r="R417" s="8"/>
      <c r="S417" s="8"/>
      <c r="T417" s="8"/>
      <c r="U417" s="8"/>
      <c r="V417" s="64"/>
      <c r="W417" s="1"/>
      <c r="X417" s="1"/>
      <c r="Y417" s="1"/>
    </row>
    <row r="418" spans="1:25" ht="25.5" x14ac:dyDescent="0.2">
      <c r="A418" s="139">
        <v>1007291221</v>
      </c>
      <c r="B418" s="21" t="s">
        <v>1015</v>
      </c>
      <c r="C418" s="9" t="s">
        <v>522</v>
      </c>
      <c r="D418" s="17" t="s">
        <v>82</v>
      </c>
      <c r="E418" s="8" t="s">
        <v>83</v>
      </c>
      <c r="F418" s="140">
        <v>45403</v>
      </c>
      <c r="G418" s="139" t="s">
        <v>118</v>
      </c>
      <c r="H418" s="141" t="s">
        <v>15</v>
      </c>
      <c r="I418" s="125" t="str">
        <f>VLOOKUP(H418,VALIDACIONES!$A$2:$B$138,2,0)</f>
        <v>Las demas conductas que constituyan infraccion a las normas de transito y que no se encuentren descritas en este acto administrativo.</v>
      </c>
      <c r="J418" s="142" t="s">
        <v>1016</v>
      </c>
      <c r="K418" s="118" t="s">
        <v>86</v>
      </c>
      <c r="L418" s="124"/>
      <c r="M418" s="8" t="s">
        <v>87</v>
      </c>
      <c r="N418" s="16">
        <f t="shared" si="10"/>
        <v>4</v>
      </c>
      <c r="O418" s="47">
        <f t="shared" si="12"/>
        <v>2024</v>
      </c>
      <c r="P418" s="8"/>
      <c r="Q418" s="8"/>
      <c r="R418" s="8"/>
      <c r="S418" s="8"/>
      <c r="T418" s="8"/>
      <c r="U418" s="8" t="s">
        <v>1009</v>
      </c>
      <c r="V418" s="64"/>
      <c r="W418" s="1"/>
      <c r="X418" s="1"/>
      <c r="Y418" s="1"/>
    </row>
    <row r="419" spans="1:25" ht="25.5" x14ac:dyDescent="0.2">
      <c r="A419" s="139">
        <v>71798982</v>
      </c>
      <c r="B419" s="21" t="s">
        <v>55</v>
      </c>
      <c r="C419" s="110" t="s">
        <v>664</v>
      </c>
      <c r="D419" s="17" t="s">
        <v>82</v>
      </c>
      <c r="E419" s="8" t="s">
        <v>83</v>
      </c>
      <c r="F419" s="104">
        <v>45396</v>
      </c>
      <c r="G419" s="139" t="s">
        <v>1017</v>
      </c>
      <c r="H419" s="69" t="s">
        <v>10</v>
      </c>
      <c r="I419" s="125" t="str">
        <f>VLOOKUP(H419,VALIDACIONES!$A$2:$B$138,2,0)</f>
        <v>Conducir un vehículo a velocidad superior a la máxima permitida, la cual deberá estar señalizada en forma sectorizada, no obstante esta no podrá ser superior a (verlistado)</v>
      </c>
      <c r="J419" s="133">
        <v>572498</v>
      </c>
      <c r="K419" s="120" t="s">
        <v>86</v>
      </c>
      <c r="L419" s="8"/>
      <c r="M419" s="8" t="s">
        <v>87</v>
      </c>
      <c r="N419" s="16">
        <f t="shared" si="10"/>
        <v>4</v>
      </c>
      <c r="O419" s="47">
        <f t="shared" si="12"/>
        <v>2024</v>
      </c>
      <c r="P419" s="8"/>
      <c r="Q419" s="8"/>
      <c r="R419" s="8"/>
      <c r="S419" s="8"/>
      <c r="T419" s="8"/>
      <c r="U419" s="8"/>
      <c r="V419" s="64"/>
      <c r="W419" s="1"/>
      <c r="X419" s="1"/>
      <c r="Y419" s="1"/>
    </row>
    <row r="420" spans="1:25" ht="25.5" x14ac:dyDescent="0.2">
      <c r="A420" s="21">
        <v>71715834</v>
      </c>
      <c r="B420" s="69" t="s">
        <v>1018</v>
      </c>
      <c r="C420" s="9" t="s">
        <v>953</v>
      </c>
      <c r="D420" s="17" t="s">
        <v>82</v>
      </c>
      <c r="E420" s="65" t="s">
        <v>83</v>
      </c>
      <c r="F420" s="144">
        <v>45441</v>
      </c>
      <c r="G420" s="126" t="s">
        <v>125</v>
      </c>
      <c r="H420" s="126" t="s">
        <v>385</v>
      </c>
      <c r="I420" s="138" t="str">
        <f>VLOOKUP(H420,VALIDACIONES!$A$2:$B$138,2,0)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420" s="133">
        <v>572520</v>
      </c>
      <c r="K420" s="120" t="s">
        <v>86</v>
      </c>
      <c r="L420" s="107">
        <v>45450</v>
      </c>
      <c r="M420" s="8" t="s">
        <v>87</v>
      </c>
      <c r="N420" s="16">
        <f t="shared" si="10"/>
        <v>5</v>
      </c>
      <c r="O420" s="47">
        <f t="shared" si="12"/>
        <v>2024</v>
      </c>
      <c r="P420" s="8"/>
      <c r="Q420" s="8"/>
      <c r="R420" s="8"/>
      <c r="S420" s="8"/>
      <c r="T420" s="8"/>
      <c r="U420" s="8"/>
      <c r="V420" s="64"/>
      <c r="W420" s="1"/>
      <c r="X420" s="1"/>
      <c r="Y420" s="1"/>
    </row>
    <row r="421" spans="1:25" ht="63.75" x14ac:dyDescent="0.2">
      <c r="A421" s="145">
        <v>8037974</v>
      </c>
      <c r="B421" s="69" t="s">
        <v>1019</v>
      </c>
      <c r="C421" s="8" t="s">
        <v>522</v>
      </c>
      <c r="D421" s="17" t="s">
        <v>82</v>
      </c>
      <c r="E421" s="183" t="s">
        <v>83</v>
      </c>
      <c r="F421" s="146">
        <v>45434</v>
      </c>
      <c r="G421" s="142" t="s">
        <v>149</v>
      </c>
      <c r="H421" s="142" t="s">
        <v>283</v>
      </c>
      <c r="I421" s="138" t="str">
        <f>VLOOKUP(H421,VALIDACIONES!$A$2:$B$138,2,0)</f>
        <v>Conducir un vehículo sin placas, no portar la senel extremo delantero o trasero, portarlas con obstáculos o encondiciones que dificulten su plena identificación, portar en el lugar destinado a las placas, distintivos similares a éstas o que la imiten o que correspondan a placas de otros países o, sin el permiso vigente expedido por autoridad de tránsito. Realizar cambio en las características que identifican un vehículo automotor, cambiar, modificar o adulterar los números de identificación del motor, chasis o serie de un vehículo.</v>
      </c>
      <c r="J421" s="142">
        <v>305344</v>
      </c>
      <c r="K421" s="118" t="s">
        <v>86</v>
      </c>
      <c r="L421" s="147">
        <v>45455</v>
      </c>
      <c r="M421" s="8" t="s">
        <v>87</v>
      </c>
      <c r="N421" s="16">
        <f t="shared" si="10"/>
        <v>5</v>
      </c>
      <c r="O421" s="47">
        <f t="shared" si="12"/>
        <v>2024</v>
      </c>
      <c r="P421" s="8"/>
      <c r="Q421" s="8"/>
      <c r="R421" s="8"/>
      <c r="S421" s="8"/>
      <c r="T421" s="8"/>
      <c r="U421" s="8"/>
      <c r="V421" s="64"/>
      <c r="W421" s="1"/>
      <c r="X421" s="1"/>
      <c r="Y421" s="1"/>
    </row>
    <row r="422" spans="1:25" ht="25.5" x14ac:dyDescent="0.2">
      <c r="A422" s="148">
        <v>10549212</v>
      </c>
      <c r="B422" s="69" t="s">
        <v>1020</v>
      </c>
      <c r="C422" s="9" t="s">
        <v>22</v>
      </c>
      <c r="D422" s="17" t="s">
        <v>82</v>
      </c>
      <c r="E422" s="183" t="s">
        <v>83</v>
      </c>
      <c r="F422" s="149">
        <v>45433</v>
      </c>
      <c r="G422" s="133" t="s">
        <v>103</v>
      </c>
      <c r="H422" s="133" t="s">
        <v>10</v>
      </c>
      <c r="I422" s="138" t="str">
        <f>VLOOKUP(H422,VALIDACIONES!$A$2:$B$138,2,0)</f>
        <v>Conducir un vehículo a velocidad superior a la máxima permitida, la cual deberá estar señalizada en forma sectorizada, no obstante esta no podrá ser superior a (verlistado)</v>
      </c>
      <c r="J422" s="133">
        <v>572520</v>
      </c>
      <c r="K422" s="120" t="s">
        <v>86</v>
      </c>
      <c r="L422" s="150">
        <v>45455</v>
      </c>
      <c r="M422" s="8" t="s">
        <v>87</v>
      </c>
      <c r="N422" s="16">
        <f t="shared" si="10"/>
        <v>5</v>
      </c>
      <c r="O422" s="47">
        <f t="shared" si="12"/>
        <v>2024</v>
      </c>
      <c r="P422" s="8"/>
      <c r="Q422" s="8"/>
      <c r="R422" s="8"/>
      <c r="S422" s="8"/>
      <c r="T422" s="8"/>
      <c r="U422" s="8"/>
      <c r="V422" s="64"/>
      <c r="W422" s="1"/>
      <c r="X422" s="1"/>
      <c r="Y422" s="1"/>
    </row>
    <row r="423" spans="1:25" ht="25.5" x14ac:dyDescent="0.2">
      <c r="A423" s="145">
        <v>1036601515</v>
      </c>
      <c r="B423" s="69" t="s">
        <v>1021</v>
      </c>
      <c r="C423" s="8" t="s">
        <v>953</v>
      </c>
      <c r="D423" s="17" t="s">
        <v>82</v>
      </c>
      <c r="E423" s="183" t="s">
        <v>83</v>
      </c>
      <c r="F423" s="146">
        <v>45431</v>
      </c>
      <c r="G423" s="142" t="s">
        <v>93</v>
      </c>
      <c r="H423" s="142" t="s">
        <v>10</v>
      </c>
      <c r="I423" s="138" t="str">
        <f>VLOOKUP(H423,VALIDACIONES!$A$2:$B$138,2,0)</f>
        <v>Conducir un vehículo a velocidad superior a la máxima permitida, la cual deberá estar señalizada en forma sectorizada, no obstante esta no podrá ser superior a (verlistado)</v>
      </c>
      <c r="J423" s="142">
        <v>572628</v>
      </c>
      <c r="K423" s="118" t="s">
        <v>86</v>
      </c>
      <c r="L423" s="150">
        <v>45455</v>
      </c>
      <c r="M423" s="124" t="s">
        <v>87</v>
      </c>
      <c r="N423" s="16">
        <f t="shared" si="10"/>
        <v>5</v>
      </c>
      <c r="O423" s="47">
        <f t="shared" si="12"/>
        <v>2024</v>
      </c>
      <c r="P423" s="8"/>
      <c r="Q423" s="8"/>
      <c r="R423" s="8"/>
      <c r="S423" s="8"/>
      <c r="T423" s="8"/>
      <c r="U423" s="8"/>
      <c r="V423" s="64"/>
      <c r="W423" s="1"/>
      <c r="X423" s="1"/>
      <c r="Y423" s="1"/>
    </row>
    <row r="424" spans="1:25" ht="25.5" x14ac:dyDescent="0.2">
      <c r="A424" s="148">
        <v>71382268</v>
      </c>
      <c r="B424" s="69" t="s">
        <v>916</v>
      </c>
      <c r="C424" s="9" t="s">
        <v>917</v>
      </c>
      <c r="D424" s="17" t="s">
        <v>82</v>
      </c>
      <c r="E424" s="183" t="s">
        <v>83</v>
      </c>
      <c r="F424" s="149">
        <v>45431</v>
      </c>
      <c r="G424" s="133" t="s">
        <v>1022</v>
      </c>
      <c r="H424" s="133" t="s">
        <v>10</v>
      </c>
      <c r="I424" s="138" t="str">
        <f>VLOOKUP(H424,VALIDACIONES!$A$2:$B$138,2,0)</f>
        <v>Conducir un vehículo a velocidad superior a la máxima permitida, la cual deberá estar señalizada en forma sectorizada, no obstante esta no podrá ser superior a (verlistado)</v>
      </c>
      <c r="J424" s="133">
        <v>572520</v>
      </c>
      <c r="K424" s="173" t="s">
        <v>86</v>
      </c>
      <c r="L424" s="174">
        <v>45455</v>
      </c>
      <c r="M424" s="8" t="s">
        <v>87</v>
      </c>
      <c r="N424" s="16">
        <f t="shared" si="10"/>
        <v>5</v>
      </c>
      <c r="O424" s="47">
        <f t="shared" si="12"/>
        <v>2024</v>
      </c>
      <c r="P424" s="8"/>
      <c r="Q424" s="8"/>
      <c r="R424" s="8"/>
      <c r="S424" s="8"/>
      <c r="T424" s="8"/>
      <c r="U424" s="8"/>
      <c r="V424" s="64"/>
      <c r="W424" s="1"/>
      <c r="X424" s="1"/>
      <c r="Y424" s="1"/>
    </row>
    <row r="425" spans="1:25" ht="25.5" x14ac:dyDescent="0.2">
      <c r="A425" s="145">
        <v>70128434</v>
      </c>
      <c r="B425" s="102" t="s">
        <v>959</v>
      </c>
      <c r="C425" s="9" t="s">
        <v>901</v>
      </c>
      <c r="D425" s="17" t="s">
        <v>82</v>
      </c>
      <c r="E425" s="184" t="s">
        <v>83</v>
      </c>
      <c r="F425" s="146">
        <v>45414</v>
      </c>
      <c r="G425" s="142" t="s">
        <v>118</v>
      </c>
      <c r="H425" s="142" t="s">
        <v>10</v>
      </c>
      <c r="I425" s="138" t="str">
        <f>VLOOKUP(H425,VALIDACIONES!$A$2:$B$138,2,0)</f>
        <v>Conducir un vehículo a velocidad superior a la máxima permitida, la cual deberá estar señalizada en forma sectorizada, no obstante esta no podrá ser superior a (verlistado)</v>
      </c>
      <c r="J425" s="171">
        <v>572515</v>
      </c>
      <c r="K425" s="175" t="s">
        <v>86</v>
      </c>
      <c r="L425" s="147">
        <v>45455</v>
      </c>
      <c r="M425" s="172" t="s">
        <v>87</v>
      </c>
      <c r="N425" s="16">
        <f t="shared" si="10"/>
        <v>5</v>
      </c>
      <c r="O425" s="47">
        <f t="shared" si="12"/>
        <v>2024</v>
      </c>
      <c r="P425" s="110"/>
      <c r="Q425" s="110"/>
      <c r="R425" s="110"/>
      <c r="S425" s="110"/>
      <c r="T425" s="110"/>
      <c r="U425" s="110"/>
      <c r="V425" s="64"/>
      <c r="W425" s="1"/>
      <c r="X425" s="1"/>
      <c r="Y425" s="1"/>
    </row>
    <row r="426" spans="1:25" ht="12.75" x14ac:dyDescent="0.2">
      <c r="A426" s="151">
        <v>98638694</v>
      </c>
      <c r="B426" s="9" t="s">
        <v>1023</v>
      </c>
      <c r="C426" s="8" t="s">
        <v>25</v>
      </c>
      <c r="D426" s="17" t="s">
        <v>25</v>
      </c>
      <c r="E426" s="181" t="s">
        <v>83</v>
      </c>
      <c r="F426" s="152">
        <v>45470</v>
      </c>
      <c r="G426" s="20" t="s">
        <v>913</v>
      </c>
      <c r="H426" s="20" t="s">
        <v>4</v>
      </c>
      <c r="I426" s="138" t="str">
        <f>VLOOKUP(H426,VALIDACIONES!$A$2:$B$138,2,0)</f>
        <v>Estacionar un vehículo en los sitios prohibidos por el Código Nacional de Tránsito, reglamentado por la Res.3027.</v>
      </c>
      <c r="J426" s="138">
        <v>572520</v>
      </c>
      <c r="K426" s="175" t="s">
        <v>86</v>
      </c>
      <c r="L426" s="176">
        <v>45483</v>
      </c>
      <c r="M426" s="172" t="s">
        <v>87</v>
      </c>
      <c r="N426" s="16">
        <f t="shared" si="10"/>
        <v>6</v>
      </c>
      <c r="O426" s="47">
        <f t="shared" si="12"/>
        <v>2024</v>
      </c>
      <c r="P426" s="177"/>
      <c r="Q426" s="177"/>
      <c r="R426" s="177"/>
      <c r="S426" s="177"/>
      <c r="T426" s="177"/>
      <c r="U426" s="177"/>
      <c r="V426" s="1"/>
      <c r="W426" s="1"/>
      <c r="X426" s="1"/>
      <c r="Y426" s="1"/>
    </row>
    <row r="427" spans="1:25" ht="25.5" x14ac:dyDescent="0.2">
      <c r="A427" s="153">
        <v>75098062</v>
      </c>
      <c r="B427" s="9" t="s">
        <v>1024</v>
      </c>
      <c r="C427" s="9" t="s">
        <v>22</v>
      </c>
      <c r="D427" s="17" t="s">
        <v>82</v>
      </c>
      <c r="E427" s="181" t="s">
        <v>100</v>
      </c>
      <c r="F427" s="154">
        <v>45466</v>
      </c>
      <c r="G427" s="21" t="s">
        <v>1025</v>
      </c>
      <c r="H427" s="21" t="s">
        <v>15</v>
      </c>
      <c r="I427" s="138" t="str">
        <f>VLOOKUP(H427,VALIDACIONES!$A$2:$B$138,2,0)</f>
        <v>Las demas conductas que constituyan infraccion a las normas de transito y que no se encuentren descritas en este acto administrativo.</v>
      </c>
      <c r="J427" s="171">
        <v>190876</v>
      </c>
      <c r="K427" s="175" t="s">
        <v>86</v>
      </c>
      <c r="L427" s="176">
        <v>45483</v>
      </c>
      <c r="M427" s="172" t="s">
        <v>87</v>
      </c>
      <c r="N427" s="16">
        <f t="shared" si="10"/>
        <v>6</v>
      </c>
      <c r="O427" s="47">
        <f t="shared" si="12"/>
        <v>2024</v>
      </c>
      <c r="P427" s="177" t="s">
        <v>94</v>
      </c>
      <c r="Q427" s="177" t="s">
        <v>89</v>
      </c>
      <c r="R427" s="177" t="s">
        <v>91</v>
      </c>
      <c r="S427" s="177" t="s">
        <v>91</v>
      </c>
      <c r="T427" s="177"/>
      <c r="U427" s="177"/>
      <c r="V427" s="1"/>
      <c r="W427" s="1"/>
      <c r="X427" s="1"/>
      <c r="Y427" s="1"/>
    </row>
    <row r="428" spans="1:25" ht="25.5" x14ac:dyDescent="0.2">
      <c r="A428" s="153">
        <v>71662299</v>
      </c>
      <c r="B428" s="9" t="s">
        <v>1026</v>
      </c>
      <c r="C428" s="9" t="s">
        <v>664</v>
      </c>
      <c r="D428" s="17" t="s">
        <v>82</v>
      </c>
      <c r="E428" s="181" t="s">
        <v>83</v>
      </c>
      <c r="F428" s="154">
        <v>45458</v>
      </c>
      <c r="G428" s="21" t="s">
        <v>909</v>
      </c>
      <c r="H428" s="21" t="s">
        <v>10</v>
      </c>
      <c r="I428" s="138" t="str">
        <f>VLOOKUP(H428,VALIDACIONES!$A$2:$B$138,2,0)</f>
        <v>Conducir un vehículo a velocidad superior a la máxima permitida, la cual deberá estar señalizada en forma sectorizada, no obstante esta no podrá ser superior a (verlistado)</v>
      </c>
      <c r="J428" s="138">
        <v>572628</v>
      </c>
      <c r="K428" s="175" t="s">
        <v>86</v>
      </c>
      <c r="L428" s="176">
        <v>45491</v>
      </c>
      <c r="M428" s="172" t="s">
        <v>87</v>
      </c>
      <c r="N428" s="16">
        <f t="shared" si="10"/>
        <v>6</v>
      </c>
      <c r="O428" s="47">
        <f t="shared" ref="O428:O455" si="13">YEAR(F428)</f>
        <v>2024</v>
      </c>
      <c r="P428" s="177"/>
      <c r="Q428" s="177"/>
      <c r="R428" s="177"/>
      <c r="S428" s="177"/>
      <c r="T428" s="177"/>
      <c r="U428" s="177"/>
      <c r="V428" s="1"/>
      <c r="W428" s="1"/>
      <c r="X428" s="1"/>
      <c r="Y428" s="1"/>
    </row>
    <row r="429" spans="1:25" ht="25.5" x14ac:dyDescent="0.2">
      <c r="A429" s="153">
        <v>1121335752</v>
      </c>
      <c r="B429" s="9" t="s">
        <v>1027</v>
      </c>
      <c r="C429" s="9" t="s">
        <v>901</v>
      </c>
      <c r="D429" s="17" t="s">
        <v>82</v>
      </c>
      <c r="E429" s="181" t="s">
        <v>83</v>
      </c>
      <c r="F429" s="154">
        <v>45448</v>
      </c>
      <c r="G429" s="21" t="s">
        <v>928</v>
      </c>
      <c r="H429" s="21" t="s">
        <v>10</v>
      </c>
      <c r="I429" s="138" t="str">
        <f>VLOOKUP(H429,VALIDACIONES!$A$2:$B$138,2,0)</f>
        <v>Conducir un vehículo a velocidad superior a la máxima permitida, la cual deberá estar señalizada en forma sectorizada, no obstante esta no podrá ser superior a (verlistado)</v>
      </c>
      <c r="J429" s="171">
        <v>572520</v>
      </c>
      <c r="K429" s="175" t="s">
        <v>86</v>
      </c>
      <c r="L429" s="176">
        <v>45483</v>
      </c>
      <c r="M429" s="172" t="s">
        <v>87</v>
      </c>
      <c r="N429" s="16">
        <f t="shared" si="10"/>
        <v>6</v>
      </c>
      <c r="O429" s="47">
        <f t="shared" si="13"/>
        <v>2024</v>
      </c>
      <c r="P429" s="177"/>
      <c r="Q429" s="177"/>
      <c r="R429" s="177"/>
      <c r="S429" s="177"/>
      <c r="T429" s="177"/>
      <c r="U429" s="177"/>
      <c r="V429" s="1"/>
      <c r="W429" s="1"/>
      <c r="X429" s="1"/>
      <c r="Y429" s="1"/>
    </row>
    <row r="430" spans="1:25" ht="25.5" x14ac:dyDescent="0.2">
      <c r="A430" s="155">
        <v>16770904</v>
      </c>
      <c r="B430" s="9" t="s">
        <v>1028</v>
      </c>
      <c r="C430" s="9" t="s">
        <v>22</v>
      </c>
      <c r="D430" s="17" t="s">
        <v>82</v>
      </c>
      <c r="E430" s="181" t="s">
        <v>262</v>
      </c>
      <c r="F430" s="154">
        <v>45445</v>
      </c>
      <c r="G430" s="21" t="s">
        <v>1029</v>
      </c>
      <c r="H430" s="21" t="s">
        <v>10</v>
      </c>
      <c r="I430" s="138" t="str">
        <f>VLOOKUP(H430,VALIDACIONES!$A$2:$B$138,2,0)</f>
        <v>Conducir un vehículo a velocidad superior a la máxima permitida, la cual deberá estar señalizada en forma sectorizada, no obstante esta no podrá ser superior a (verlistado)</v>
      </c>
      <c r="J430" s="138">
        <v>572520</v>
      </c>
      <c r="K430" s="175" t="s">
        <v>86</v>
      </c>
      <c r="L430" s="176">
        <v>45485</v>
      </c>
      <c r="M430" s="172" t="s">
        <v>87</v>
      </c>
      <c r="N430" s="16">
        <f t="shared" si="10"/>
        <v>6</v>
      </c>
      <c r="O430" s="47">
        <f t="shared" si="13"/>
        <v>2024</v>
      </c>
      <c r="P430" s="177"/>
      <c r="Q430" s="177"/>
      <c r="R430" s="177"/>
      <c r="S430" s="177"/>
      <c r="T430" s="177"/>
      <c r="U430" s="177"/>
      <c r="V430" s="1"/>
      <c r="W430" s="1"/>
      <c r="X430" s="1"/>
      <c r="Y430" s="1"/>
    </row>
    <row r="431" spans="1:25" ht="12.75" x14ac:dyDescent="0.2">
      <c r="A431" s="9">
        <v>1152708795</v>
      </c>
      <c r="B431" s="156" t="s">
        <v>1030</v>
      </c>
      <c r="C431" s="9" t="s">
        <v>901</v>
      </c>
      <c r="D431" s="17" t="s">
        <v>82</v>
      </c>
      <c r="E431" s="181" t="s">
        <v>83</v>
      </c>
      <c r="F431" s="154">
        <v>45467</v>
      </c>
      <c r="G431" s="21" t="s">
        <v>909</v>
      </c>
      <c r="H431" s="21" t="s">
        <v>8</v>
      </c>
      <c r="I431" s="138" t="str">
        <f>VLOOKUP(H431,VALIDACIONES!$A$2:$B$138,2,0)</f>
        <v>Conducir motocicleta sin observar las siguientes normas.(verlistadodesituaciones)</v>
      </c>
      <c r="J431" s="171">
        <v>572628</v>
      </c>
      <c r="K431" s="175" t="s">
        <v>86</v>
      </c>
      <c r="L431" s="176">
        <v>45491</v>
      </c>
      <c r="M431" s="172" t="s">
        <v>87</v>
      </c>
      <c r="N431" s="16">
        <f t="shared" si="10"/>
        <v>6</v>
      </c>
      <c r="O431" s="47">
        <f t="shared" si="13"/>
        <v>2024</v>
      </c>
      <c r="P431" s="177"/>
      <c r="Q431" s="177"/>
      <c r="R431" s="177"/>
      <c r="S431" s="177"/>
      <c r="T431" s="177"/>
      <c r="U431" s="177"/>
      <c r="V431" s="1"/>
      <c r="W431" s="1"/>
      <c r="X431" s="1"/>
      <c r="Y431" s="1"/>
    </row>
    <row r="432" spans="1:25" ht="12.75" x14ac:dyDescent="0.2">
      <c r="A432" s="9">
        <v>98694787</v>
      </c>
      <c r="B432" s="157" t="s">
        <v>1031</v>
      </c>
      <c r="C432" s="9" t="s">
        <v>953</v>
      </c>
      <c r="D432" s="17" t="s">
        <v>82</v>
      </c>
      <c r="E432" s="182" t="s">
        <v>83</v>
      </c>
      <c r="F432" s="158">
        <v>45468</v>
      </c>
      <c r="G432" s="21" t="s">
        <v>909</v>
      </c>
      <c r="H432" s="21" t="s">
        <v>4</v>
      </c>
      <c r="I432" s="138" t="str">
        <f>VLOOKUP(H432,VALIDACIONES!$A$2:$B$138,2,0)</f>
        <v>Estacionar un vehículo en los sitios prohibidos por el Código Nacional de Tránsito, reglamentado por la Res.3027.</v>
      </c>
      <c r="J432" s="138">
        <v>572628</v>
      </c>
      <c r="K432" s="175" t="s">
        <v>86</v>
      </c>
      <c r="L432" s="176">
        <v>45491</v>
      </c>
      <c r="M432" s="172" t="s">
        <v>87</v>
      </c>
      <c r="N432" s="16">
        <f t="shared" si="10"/>
        <v>6</v>
      </c>
      <c r="O432" s="47">
        <f t="shared" si="13"/>
        <v>2024</v>
      </c>
      <c r="P432" s="177" t="s">
        <v>94</v>
      </c>
      <c r="Q432" s="177" t="s">
        <v>89</v>
      </c>
      <c r="R432" s="177" t="s">
        <v>91</v>
      </c>
      <c r="S432" s="177" t="s">
        <v>91</v>
      </c>
      <c r="T432" s="177"/>
      <c r="U432" s="177"/>
      <c r="V432" s="1"/>
      <c r="W432" s="1"/>
      <c r="X432" s="1"/>
      <c r="Y432" s="1"/>
    </row>
    <row r="433" spans="1:26" ht="25.5" x14ac:dyDescent="0.2">
      <c r="A433" s="9">
        <v>94317941</v>
      </c>
      <c r="B433" s="156" t="s">
        <v>1032</v>
      </c>
      <c r="C433" s="9" t="s">
        <v>522</v>
      </c>
      <c r="D433" s="17" t="s">
        <v>82</v>
      </c>
      <c r="E433" s="181" t="s">
        <v>83</v>
      </c>
      <c r="F433" s="159">
        <v>45503</v>
      </c>
      <c r="G433" s="78" t="s">
        <v>846</v>
      </c>
      <c r="H433" s="20" t="s">
        <v>10</v>
      </c>
      <c r="I433" s="106" t="str">
        <f>VLOOKUP(H433,VALIDACIONES!$A$2:$B$138,2,0)</f>
        <v>Conducir un vehículo a velocidad superior a la máxima permitida, la cual deberá estar señalizada en forma sectorizada, no obstante esta no podrá ser superior a (verlistado)</v>
      </c>
      <c r="J433" s="171">
        <v>572520</v>
      </c>
      <c r="K433" s="175" t="s">
        <v>86</v>
      </c>
      <c r="L433" s="176">
        <v>45524</v>
      </c>
      <c r="M433" s="172" t="s">
        <v>87</v>
      </c>
      <c r="N433" s="16">
        <f t="shared" si="10"/>
        <v>7</v>
      </c>
      <c r="O433" s="47">
        <f t="shared" si="13"/>
        <v>2024</v>
      </c>
      <c r="P433" s="177" t="s">
        <v>88</v>
      </c>
      <c r="Q433" s="177" t="s">
        <v>89</v>
      </c>
      <c r="R433" s="177" t="s">
        <v>91</v>
      </c>
      <c r="S433" s="177" t="s">
        <v>91</v>
      </c>
      <c r="T433" s="177" t="s">
        <v>91</v>
      </c>
      <c r="U433" s="177" t="s">
        <v>1033</v>
      </c>
      <c r="V433" s="1"/>
      <c r="W433" s="1"/>
      <c r="X433" s="1"/>
      <c r="Y433" s="1"/>
    </row>
    <row r="434" spans="1:26" ht="25.5" x14ac:dyDescent="0.2">
      <c r="A434" s="31">
        <v>18005021</v>
      </c>
      <c r="B434" s="157" t="s">
        <v>1034</v>
      </c>
      <c r="C434" s="9" t="s">
        <v>22</v>
      </c>
      <c r="D434" s="17" t="s">
        <v>82</v>
      </c>
      <c r="E434" s="182" t="s">
        <v>83</v>
      </c>
      <c r="F434" s="160">
        <v>45490</v>
      </c>
      <c r="G434" s="82" t="s">
        <v>103</v>
      </c>
      <c r="H434" s="153" t="s">
        <v>10</v>
      </c>
      <c r="I434" s="109" t="str">
        <f>VLOOKUP(H434,VALIDACIONES!$A$2:$B$138,2,0)</f>
        <v>Conducir un vehículo a velocidad superior a la máxima permitida, la cual deberá estar señalizada en forma sectorizada, no obstante esta no podrá ser superior a (verlistado)</v>
      </c>
      <c r="J434" s="138">
        <v>572520</v>
      </c>
      <c r="K434" s="175" t="s">
        <v>86</v>
      </c>
      <c r="L434" s="176">
        <v>45524</v>
      </c>
      <c r="M434" s="172" t="s">
        <v>87</v>
      </c>
      <c r="N434" s="16">
        <f t="shared" si="10"/>
        <v>7</v>
      </c>
      <c r="O434" s="47">
        <f t="shared" si="13"/>
        <v>2024</v>
      </c>
      <c r="P434" s="177" t="s">
        <v>94</v>
      </c>
      <c r="Q434" s="177" t="s">
        <v>89</v>
      </c>
      <c r="R434" s="177" t="s">
        <v>91</v>
      </c>
      <c r="S434" s="177" t="s">
        <v>91</v>
      </c>
      <c r="T434" s="177" t="s">
        <v>91</v>
      </c>
      <c r="U434" s="177"/>
      <c r="V434" s="1"/>
      <c r="W434" s="1"/>
      <c r="X434" s="1"/>
      <c r="Y434" s="1"/>
    </row>
    <row r="435" spans="1:26" ht="25.5" x14ac:dyDescent="0.2">
      <c r="A435" s="9">
        <v>98588168</v>
      </c>
      <c r="B435" s="9" t="s">
        <v>1035</v>
      </c>
      <c r="C435" s="9" t="s">
        <v>522</v>
      </c>
      <c r="D435" s="17" t="s">
        <v>82</v>
      </c>
      <c r="E435" s="181" t="s">
        <v>83</v>
      </c>
      <c r="F435" s="159">
        <v>45529</v>
      </c>
      <c r="G435" s="156" t="s">
        <v>1036</v>
      </c>
      <c r="H435" s="161" t="s">
        <v>10</v>
      </c>
      <c r="I435" s="109" t="str">
        <f>VLOOKUP(H435,VALIDACIONES!$A$2:$B$138,2,0)</f>
        <v>Conducir un vehículo a velocidad superior a la máxima permitida, la cual deberá estar señalizada en forma sectorizada, no obstante esta no podrá ser superior a (verlistado)</v>
      </c>
      <c r="J435" s="171">
        <v>572520</v>
      </c>
      <c r="K435" s="175" t="s">
        <v>86</v>
      </c>
      <c r="L435" s="176">
        <v>45547</v>
      </c>
      <c r="M435" s="172" t="s">
        <v>87</v>
      </c>
      <c r="N435" s="16">
        <f t="shared" si="10"/>
        <v>8</v>
      </c>
      <c r="O435" s="47">
        <f t="shared" si="13"/>
        <v>2024</v>
      </c>
      <c r="P435" s="177" t="s">
        <v>94</v>
      </c>
      <c r="Q435" s="177" t="s">
        <v>145</v>
      </c>
      <c r="R435" s="177" t="s">
        <v>91</v>
      </c>
      <c r="S435" s="177" t="s">
        <v>91</v>
      </c>
      <c r="T435" s="177" t="s">
        <v>90</v>
      </c>
      <c r="U435" s="177" t="s">
        <v>1037</v>
      </c>
      <c r="V435" s="1"/>
      <c r="W435" s="1"/>
      <c r="X435" s="1"/>
      <c r="Y435" s="1"/>
    </row>
    <row r="436" spans="1:26" ht="15.75" customHeight="1" x14ac:dyDescent="0.2">
      <c r="A436" s="9">
        <v>1036838584</v>
      </c>
      <c r="B436" s="9" t="s">
        <v>1038</v>
      </c>
      <c r="C436" s="9" t="s">
        <v>25</v>
      </c>
      <c r="D436" s="17" t="s">
        <v>25</v>
      </c>
      <c r="E436" s="181" t="s">
        <v>83</v>
      </c>
      <c r="F436" s="159">
        <v>45517</v>
      </c>
      <c r="G436" s="156" t="s">
        <v>859</v>
      </c>
      <c r="H436" s="162" t="s">
        <v>4</v>
      </c>
      <c r="I436" s="109" t="str">
        <f>VLOOKUP(H436,VALIDACIONES!$A$2:$B$138,2,0)</f>
        <v>Estacionar un vehículo en los sitios prohibidos por el Código Nacional de Tránsito, reglamentado por la Res.3027.</v>
      </c>
      <c r="J436" s="138">
        <v>572518</v>
      </c>
      <c r="K436" s="175" t="s">
        <v>86</v>
      </c>
      <c r="L436" s="176">
        <v>45547</v>
      </c>
      <c r="M436" s="172" t="s">
        <v>87</v>
      </c>
      <c r="N436" s="35">
        <f t="shared" si="10"/>
        <v>8</v>
      </c>
      <c r="O436" s="47">
        <f t="shared" si="13"/>
        <v>2024</v>
      </c>
      <c r="P436" s="179" t="s">
        <v>94</v>
      </c>
      <c r="Q436" s="177" t="s">
        <v>89</v>
      </c>
      <c r="R436" s="177" t="s">
        <v>91</v>
      </c>
      <c r="S436" s="177" t="s">
        <v>91</v>
      </c>
      <c r="T436" s="177" t="s">
        <v>90</v>
      </c>
      <c r="U436" s="177"/>
      <c r="V436" s="1"/>
      <c r="W436" s="1"/>
      <c r="X436" s="1"/>
      <c r="Y436" s="1"/>
    </row>
    <row r="437" spans="1:26" ht="27" customHeight="1" x14ac:dyDescent="0.2">
      <c r="A437" s="9">
        <v>1020488835</v>
      </c>
      <c r="B437" s="9" t="s">
        <v>1039</v>
      </c>
      <c r="C437" s="31" t="s">
        <v>953</v>
      </c>
      <c r="D437" s="32" t="s">
        <v>82</v>
      </c>
      <c r="E437" s="182" t="s">
        <v>83</v>
      </c>
      <c r="F437" s="159">
        <v>45518</v>
      </c>
      <c r="G437" s="156" t="s">
        <v>93</v>
      </c>
      <c r="H437" s="162" t="s">
        <v>385</v>
      </c>
      <c r="I437" s="109" t="str">
        <f>VLOOKUP(H437,VALIDACIONES!$A$2:$B$138,2,0)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437" s="171">
        <v>572628</v>
      </c>
      <c r="K437" s="175" t="s">
        <v>86</v>
      </c>
      <c r="L437" s="176">
        <v>45547</v>
      </c>
      <c r="M437" s="178" t="s">
        <v>87</v>
      </c>
      <c r="N437" s="180">
        <f t="shared" si="10"/>
        <v>8</v>
      </c>
      <c r="O437" s="180">
        <f t="shared" si="13"/>
        <v>2024</v>
      </c>
      <c r="P437" s="177" t="s">
        <v>88</v>
      </c>
      <c r="Q437" s="179" t="s">
        <v>89</v>
      </c>
      <c r="R437" s="179" t="s">
        <v>91</v>
      </c>
      <c r="S437" s="179" t="s">
        <v>91</v>
      </c>
      <c r="T437" s="179" t="s">
        <v>91</v>
      </c>
      <c r="U437" s="211" t="s">
        <v>1040</v>
      </c>
      <c r="V437" s="1"/>
      <c r="W437" s="1"/>
      <c r="X437" s="1"/>
      <c r="Y437" s="1"/>
    </row>
    <row r="438" spans="1:26" ht="26.25" x14ac:dyDescent="0.25">
      <c r="A438" s="21">
        <v>98480642</v>
      </c>
      <c r="B438" s="162" t="s">
        <v>1041</v>
      </c>
      <c r="C438" s="193" t="s">
        <v>522</v>
      </c>
      <c r="D438" s="181" t="s">
        <v>82</v>
      </c>
      <c r="E438" s="181" t="s">
        <v>83</v>
      </c>
      <c r="F438" s="188">
        <v>45550</v>
      </c>
      <c r="G438" s="185" t="s">
        <v>93</v>
      </c>
      <c r="H438" s="185" t="s">
        <v>10</v>
      </c>
      <c r="I438" s="138" t="str">
        <f>VLOOKUP(H438,VALIDACIONES!$A$2:$B$138,2,0)</f>
        <v>Conducir un vehículo a velocidad superior a la máxima permitida, la cual deberá estar señalizada en forma sectorizada, no obstante esta no podrá ser superior a (verlistado)</v>
      </c>
      <c r="J438" s="185">
        <v>572628</v>
      </c>
      <c r="K438" s="175" t="s">
        <v>86</v>
      </c>
      <c r="L438" s="176">
        <v>45583</v>
      </c>
      <c r="M438" s="64" t="s">
        <v>87</v>
      </c>
      <c r="N438" s="180">
        <f t="shared" si="10"/>
        <v>9</v>
      </c>
      <c r="O438" s="180">
        <f t="shared" si="13"/>
        <v>2024</v>
      </c>
      <c r="P438" s="204" t="s">
        <v>88</v>
      </c>
      <c r="Q438" s="8" t="s">
        <v>145</v>
      </c>
      <c r="R438" s="8"/>
      <c r="S438" s="8"/>
      <c r="T438" s="8"/>
      <c r="U438" s="8" t="s">
        <v>1042</v>
      </c>
      <c r="V438" s="64"/>
      <c r="W438" s="1"/>
      <c r="X438" s="1"/>
      <c r="Y438" s="1"/>
      <c r="Z438" s="1"/>
    </row>
    <row r="439" spans="1:26" ht="28.5" customHeight="1" x14ac:dyDescent="0.25">
      <c r="A439" s="84">
        <v>75033190</v>
      </c>
      <c r="B439" s="187" t="s">
        <v>1043</v>
      </c>
      <c r="C439" s="194" t="s">
        <v>953</v>
      </c>
      <c r="D439" s="182" t="s">
        <v>82</v>
      </c>
      <c r="E439" s="110" t="s">
        <v>83</v>
      </c>
      <c r="F439" s="191">
        <v>45559</v>
      </c>
      <c r="G439" s="192" t="s">
        <v>118</v>
      </c>
      <c r="H439" s="192" t="s">
        <v>4</v>
      </c>
      <c r="I439" s="106" t="str">
        <f>VLOOKUP(H439,VALIDACIONES!$A$2:$B$138,2,0)</f>
        <v>Estacionar un vehículo en los sitios prohibidos por el Código Nacional de Tránsito, reglamentado por la Res.3027.</v>
      </c>
      <c r="J439" s="186">
        <v>572518</v>
      </c>
      <c r="K439" s="175" t="s">
        <v>86</v>
      </c>
      <c r="L439" s="176">
        <v>45583</v>
      </c>
      <c r="M439" s="64" t="s">
        <v>87</v>
      </c>
      <c r="N439" s="180">
        <f t="shared" si="10"/>
        <v>9</v>
      </c>
      <c r="O439" s="180">
        <f t="shared" si="13"/>
        <v>2024</v>
      </c>
      <c r="P439" s="204" t="s">
        <v>88</v>
      </c>
      <c r="Q439" s="8" t="s">
        <v>89</v>
      </c>
      <c r="R439" s="8" t="s">
        <v>91</v>
      </c>
      <c r="S439" s="8" t="s">
        <v>91</v>
      </c>
      <c r="T439" s="8" t="s">
        <v>90</v>
      </c>
      <c r="U439" s="243" t="s">
        <v>1044</v>
      </c>
      <c r="V439" s="64"/>
      <c r="W439" s="1"/>
      <c r="X439" s="1"/>
      <c r="Y439" s="1"/>
      <c r="Z439" s="1"/>
    </row>
    <row r="440" spans="1:26" ht="26.25" x14ac:dyDescent="0.25">
      <c r="A440" s="9">
        <v>18400097</v>
      </c>
      <c r="B440" s="9" t="s">
        <v>1045</v>
      </c>
      <c r="C440" s="193" t="s">
        <v>930</v>
      </c>
      <c r="D440" s="181" t="s">
        <v>82</v>
      </c>
      <c r="E440" s="8" t="s">
        <v>262</v>
      </c>
      <c r="F440" s="189">
        <v>45550</v>
      </c>
      <c r="G440" s="190" t="s">
        <v>1046</v>
      </c>
      <c r="H440" s="190" t="s">
        <v>10</v>
      </c>
      <c r="I440" s="109" t="str">
        <f>VLOOKUP(H440,VALIDACIONES!$A$2:$B$138,2,0)</f>
        <v>Conducir un vehículo a velocidad superior a la máxima permitida, la cual deberá estar señalizada en forma sectorizada, no obstante esta no podrá ser superior a (verlistado)</v>
      </c>
      <c r="J440" s="186">
        <v>572520</v>
      </c>
      <c r="K440" s="175" t="s">
        <v>86</v>
      </c>
      <c r="L440" s="197">
        <v>45583</v>
      </c>
      <c r="M440" s="64" t="s">
        <v>87</v>
      </c>
      <c r="N440" s="198">
        <f t="shared" si="10"/>
        <v>9</v>
      </c>
      <c r="O440" s="198">
        <f t="shared" si="13"/>
        <v>2024</v>
      </c>
      <c r="P440" s="204" t="s">
        <v>94</v>
      </c>
      <c r="Q440" s="8" t="s">
        <v>89</v>
      </c>
      <c r="R440" s="8" t="s">
        <v>91</v>
      </c>
      <c r="S440" s="8" t="s">
        <v>91</v>
      </c>
      <c r="T440" s="8" t="s">
        <v>91</v>
      </c>
      <c r="U440" s="8"/>
      <c r="V440" s="64"/>
      <c r="W440" s="1"/>
      <c r="X440" s="1"/>
      <c r="Y440" s="1"/>
      <c r="Z440" s="1"/>
    </row>
    <row r="441" spans="1:26" ht="15" x14ac:dyDescent="0.25">
      <c r="A441" s="9">
        <v>98628624</v>
      </c>
      <c r="B441" s="9" t="s">
        <v>1047</v>
      </c>
      <c r="C441" s="193" t="s">
        <v>953</v>
      </c>
      <c r="D441" s="181" t="s">
        <v>82</v>
      </c>
      <c r="E441" s="8" t="s">
        <v>83</v>
      </c>
      <c r="F441" s="189">
        <v>45565</v>
      </c>
      <c r="G441" s="190" t="s">
        <v>138</v>
      </c>
      <c r="H441" s="190" t="s">
        <v>4</v>
      </c>
      <c r="I441" s="109" t="str">
        <f>VLOOKUP(H441,VALIDACIONES!$A$2:$B$138,2,0)</f>
        <v>Estacionar un vehículo en los sitios prohibidos por el Código Nacional de Tránsito, reglamentado por la Res.3027.</v>
      </c>
      <c r="J441" s="186">
        <v>572520</v>
      </c>
      <c r="K441" s="195" t="s">
        <v>86</v>
      </c>
      <c r="L441" s="107">
        <v>45583</v>
      </c>
      <c r="M441" s="8" t="s">
        <v>87</v>
      </c>
      <c r="N441" s="16">
        <f t="shared" si="10"/>
        <v>9</v>
      </c>
      <c r="O441" s="16">
        <f t="shared" si="13"/>
        <v>2024</v>
      </c>
      <c r="P441" s="204" t="s">
        <v>88</v>
      </c>
      <c r="Q441" s="8" t="s">
        <v>89</v>
      </c>
      <c r="R441" s="8"/>
      <c r="S441" s="8"/>
      <c r="T441" s="8"/>
      <c r="U441" s="8"/>
      <c r="V441" s="64"/>
      <c r="W441" s="1"/>
      <c r="X441" s="1"/>
      <c r="Y441" s="1"/>
      <c r="Z441" s="1"/>
    </row>
    <row r="442" spans="1:26" ht="24" customHeight="1" x14ac:dyDescent="0.25">
      <c r="A442" s="9">
        <v>98547865</v>
      </c>
      <c r="B442" s="9" t="s">
        <v>1048</v>
      </c>
      <c r="C442" s="193" t="s">
        <v>522</v>
      </c>
      <c r="D442" s="181" t="s">
        <v>82</v>
      </c>
      <c r="E442" s="8" t="s">
        <v>83</v>
      </c>
      <c r="F442" s="189">
        <v>45564</v>
      </c>
      <c r="G442" s="190" t="s">
        <v>1049</v>
      </c>
      <c r="H442" s="190" t="s">
        <v>397</v>
      </c>
      <c r="I442" s="109" t="str">
        <f>VLOOKUP(H442,VALIDACIONES!$A$2:$B$138,2,0)</f>
        <v>Adelantaraotrovehículoenberma,túnel,puente,curva,pasosanivelycrucesnoreguladosoalaproximarsealacimadeunacuestaodondelaseñaldetránsitocorrespondienteloindique.Enelcasodemotocicletaseprocederaasuinmovilizaciónhastatantonosepagueelvalordelamultaolaautoridadcompetentedecidasobresuimposicionenlosterminosdelosarticulos135y136delcódigonacionaldetránsito.</v>
      </c>
      <c r="J442" s="186">
        <v>1145037</v>
      </c>
      <c r="K442" s="195" t="s">
        <v>86</v>
      </c>
      <c r="L442" s="107">
        <v>45583</v>
      </c>
      <c r="M442" s="8" t="s">
        <v>87</v>
      </c>
      <c r="N442" s="16">
        <f t="shared" si="10"/>
        <v>9</v>
      </c>
      <c r="O442" s="16">
        <f t="shared" si="13"/>
        <v>2024</v>
      </c>
      <c r="P442" s="204" t="s">
        <v>88</v>
      </c>
      <c r="Q442" s="8" t="s">
        <v>145</v>
      </c>
      <c r="R442" s="8"/>
      <c r="S442" s="8"/>
      <c r="T442" s="8"/>
      <c r="U442" s="8" t="s">
        <v>1050</v>
      </c>
      <c r="V442" s="64"/>
      <c r="W442" s="1"/>
      <c r="X442" s="1"/>
      <c r="Y442" s="1"/>
      <c r="Z442" s="1"/>
    </row>
    <row r="443" spans="1:26" ht="29.25" customHeight="1" x14ac:dyDescent="0.25">
      <c r="A443" s="31">
        <v>79308188</v>
      </c>
      <c r="B443" s="31" t="s">
        <v>1051</v>
      </c>
      <c r="C443" s="194" t="s">
        <v>22</v>
      </c>
      <c r="D443" s="182" t="s">
        <v>82</v>
      </c>
      <c r="E443" s="110" t="s">
        <v>100</v>
      </c>
      <c r="F443" s="206">
        <v>45559</v>
      </c>
      <c r="G443" s="207" t="s">
        <v>103</v>
      </c>
      <c r="H443" s="207" t="s">
        <v>10</v>
      </c>
      <c r="I443" s="208" t="str">
        <f>VLOOKUP(H443,VALIDACIONES!$A$2:$B$138,2,0)</f>
        <v>Conducir un vehículo a velocidad superior a la máxima permitida, la cual deberá estar señalizada en forma sectorizada, no obstante esta no podrá ser superior a (verlistado)</v>
      </c>
      <c r="J443" s="186">
        <v>572520</v>
      </c>
      <c r="K443" s="196" t="s">
        <v>86</v>
      </c>
      <c r="L443" s="115">
        <v>45583</v>
      </c>
      <c r="M443" s="110" t="s">
        <v>87</v>
      </c>
      <c r="N443" s="35">
        <f>MONTH(F443)</f>
        <v>9</v>
      </c>
      <c r="O443" s="35">
        <f t="shared" si="13"/>
        <v>2024</v>
      </c>
      <c r="P443" s="209" t="s">
        <v>94</v>
      </c>
      <c r="Q443" s="110" t="s">
        <v>89</v>
      </c>
      <c r="R443" s="110" t="s">
        <v>91</v>
      </c>
      <c r="S443" s="110" t="s">
        <v>91</v>
      </c>
      <c r="T443" s="110" t="s">
        <v>91</v>
      </c>
      <c r="U443" s="244"/>
      <c r="V443" s="64"/>
      <c r="W443" s="1"/>
      <c r="X443" s="1"/>
      <c r="Y443" s="1"/>
      <c r="Z443" s="1"/>
    </row>
    <row r="444" spans="1:26" ht="15" x14ac:dyDescent="0.25">
      <c r="A444" s="9">
        <v>98547865</v>
      </c>
      <c r="B444" s="190" t="s">
        <v>1048</v>
      </c>
      <c r="C444" s="8" t="s">
        <v>522</v>
      </c>
      <c r="D444" s="181" t="s">
        <v>82</v>
      </c>
      <c r="E444" s="8" t="s">
        <v>83</v>
      </c>
      <c r="F444" s="189">
        <v>45588</v>
      </c>
      <c r="G444" s="190" t="s">
        <v>1052</v>
      </c>
      <c r="H444" s="190" t="s">
        <v>4</v>
      </c>
      <c r="I444" s="109" t="str">
        <f>VLOOKUP(H444,VALIDACIONES!$A$2:$B$138,2,0)</f>
        <v>Estacionar un vehículo en los sitios prohibidos por el Código Nacional de Tránsito, reglamentado por la Res.3027.</v>
      </c>
      <c r="J444" s="210">
        <v>572518</v>
      </c>
      <c r="K444" s="8" t="s">
        <v>114</v>
      </c>
      <c r="L444" s="8"/>
      <c r="M444" s="110" t="s">
        <v>87</v>
      </c>
      <c r="N444" s="35">
        <f t="shared" ref="N444:N453" si="14">MONTH(F444)</f>
        <v>10</v>
      </c>
      <c r="O444" s="35">
        <f t="shared" si="13"/>
        <v>2024</v>
      </c>
      <c r="P444" s="8"/>
      <c r="Q444" s="8" t="s">
        <v>145</v>
      </c>
      <c r="R444" s="8"/>
      <c r="S444" s="8"/>
      <c r="T444" s="8"/>
      <c r="U444" s="8" t="s">
        <v>1050</v>
      </c>
      <c r="V444" s="64"/>
      <c r="W444" s="1"/>
      <c r="X444" s="1"/>
      <c r="Y444" s="1"/>
      <c r="Z444" s="1"/>
    </row>
    <row r="445" spans="1:26" ht="39" x14ac:dyDescent="0.25">
      <c r="A445" s="9">
        <v>98636966</v>
      </c>
      <c r="B445" s="190" t="s">
        <v>1053</v>
      </c>
      <c r="C445" s="8" t="s">
        <v>522</v>
      </c>
      <c r="D445" s="181" t="s">
        <v>82</v>
      </c>
      <c r="E445" s="8" t="s">
        <v>83</v>
      </c>
      <c r="F445" s="189">
        <v>45582</v>
      </c>
      <c r="G445" s="190" t="s">
        <v>115</v>
      </c>
      <c r="H445" s="190" t="s">
        <v>11</v>
      </c>
      <c r="I445" s="109" t="str">
        <f>VLOOKUP(H445,VALIDACIONES!$A$2:$B$138,2,0)</f>
        <v>No realizar la revisión técnico mecánica y de emisiones en los siguientes plazos o cuando aún portando los certificados correspondientes no cuenta con las siguientes condiciones tecnicomecánica y de emisiones contaminantes, además el vehiculo será inmovilizado.(verlistado)</v>
      </c>
      <c r="J445" s="186">
        <v>572520</v>
      </c>
      <c r="K445" s="8" t="s">
        <v>114</v>
      </c>
      <c r="L445" s="115"/>
      <c r="M445" s="110" t="s">
        <v>87</v>
      </c>
      <c r="N445" s="35">
        <f t="shared" si="14"/>
        <v>10</v>
      </c>
      <c r="O445" s="35">
        <f t="shared" si="13"/>
        <v>2024</v>
      </c>
      <c r="P445" s="8"/>
      <c r="Q445" s="8"/>
      <c r="R445" s="8"/>
      <c r="S445" s="8"/>
      <c r="T445" s="8"/>
      <c r="U445" s="8"/>
      <c r="V445" s="64"/>
      <c r="W445" s="1"/>
      <c r="X445" s="1"/>
      <c r="Y445" s="1"/>
      <c r="Z445" s="1"/>
    </row>
    <row r="446" spans="1:26" ht="15" x14ac:dyDescent="0.25">
      <c r="A446" s="9">
        <v>98514320</v>
      </c>
      <c r="B446" s="190" t="s">
        <v>1054</v>
      </c>
      <c r="C446" s="8" t="s">
        <v>912</v>
      </c>
      <c r="D446" s="8" t="s">
        <v>82</v>
      </c>
      <c r="E446" s="8" t="s">
        <v>83</v>
      </c>
      <c r="F446" s="189">
        <v>45619</v>
      </c>
      <c r="G446" s="190" t="s">
        <v>138</v>
      </c>
      <c r="H446" s="190" t="s">
        <v>12</v>
      </c>
      <c r="I446" s="109" t="str">
        <f>VLOOKUP(H446,VALIDACIONES!$A$2:$B$138,2,0)</f>
        <v>ConducirsinportarelSeguroObligatoriodeAccidentesdetránsitoordenadoporlaley.Además,elvehículoseráinmovilizado.</v>
      </c>
      <c r="J446" s="210">
        <v>1145040</v>
      </c>
      <c r="K446" s="8" t="s">
        <v>114</v>
      </c>
      <c r="L446" s="115"/>
      <c r="M446" s="110" t="s">
        <v>87</v>
      </c>
      <c r="N446" s="35">
        <f t="shared" si="14"/>
        <v>11</v>
      </c>
      <c r="O446" s="35">
        <f t="shared" si="13"/>
        <v>2024</v>
      </c>
      <c r="P446" s="8"/>
      <c r="Q446" s="8"/>
      <c r="R446" s="8"/>
      <c r="S446" s="8"/>
      <c r="T446" s="8"/>
      <c r="U446" s="8"/>
      <c r="V446" s="64"/>
      <c r="W446" s="1"/>
      <c r="X446" s="1"/>
      <c r="Y446" s="1"/>
      <c r="Z446" s="1"/>
    </row>
    <row r="447" spans="1:26" ht="26.25" x14ac:dyDescent="0.25">
      <c r="A447" s="9">
        <v>98694787</v>
      </c>
      <c r="B447" s="190" t="s">
        <v>1031</v>
      </c>
      <c r="C447" s="8" t="s">
        <v>912</v>
      </c>
      <c r="D447" s="8" t="s">
        <v>82</v>
      </c>
      <c r="E447" s="8" t="s">
        <v>83</v>
      </c>
      <c r="F447" s="189">
        <v>45599</v>
      </c>
      <c r="G447" s="190" t="s">
        <v>93</v>
      </c>
      <c r="H447" s="190" t="s">
        <v>15</v>
      </c>
      <c r="I447" s="109" t="str">
        <f>VLOOKUP(H447,VALIDACIONES!$A$2:$B$138,2,0)</f>
        <v>Las demas conductas que constituyan infraccion a las normas de transito y que no se encuentren descritas en este acto administrativo.</v>
      </c>
      <c r="J447" s="205"/>
      <c r="K447" s="8" t="s">
        <v>114</v>
      </c>
      <c r="L447" s="115"/>
      <c r="M447" s="110" t="s">
        <v>87</v>
      </c>
      <c r="N447" s="35">
        <f t="shared" si="14"/>
        <v>11</v>
      </c>
      <c r="O447" s="35">
        <f t="shared" si="13"/>
        <v>2024</v>
      </c>
      <c r="P447" s="8"/>
      <c r="Q447" s="8"/>
      <c r="R447" s="8"/>
      <c r="S447" s="8"/>
      <c r="T447" s="8"/>
      <c r="U447" s="8"/>
      <c r="V447" s="64"/>
      <c r="W447" s="1"/>
      <c r="X447" s="1"/>
      <c r="Y447" s="1"/>
      <c r="Z447" s="1"/>
    </row>
    <row r="448" spans="1:26" ht="31.5" customHeight="1" x14ac:dyDescent="0.25">
      <c r="A448" s="217">
        <v>1040753229</v>
      </c>
      <c r="B448" s="218" t="s">
        <v>1055</v>
      </c>
      <c r="C448" s="245" t="s">
        <v>522</v>
      </c>
      <c r="D448" s="245" t="s">
        <v>82</v>
      </c>
      <c r="E448" s="245" t="s">
        <v>83</v>
      </c>
      <c r="F448" s="219">
        <v>45610</v>
      </c>
      <c r="G448" s="218" t="s">
        <v>111</v>
      </c>
      <c r="H448" s="218" t="s">
        <v>385</v>
      </c>
      <c r="I448" s="220" t="str">
        <f>VLOOKUP(H448,VALIDACIONES!$A$2:$B$138,2,0)</f>
        <v>Usar sistemas móviles de comunicación o teléfonos instalados en los vehículos al momento de conducir, exceptuando si éstos son utilizados con accesorios o equipos auxiliares que permitan tener las manos libres.</v>
      </c>
      <c r="J448" s="221">
        <v>572600</v>
      </c>
      <c r="K448" s="245" t="s">
        <v>114</v>
      </c>
      <c r="L448" s="222"/>
      <c r="M448" s="110" t="s">
        <v>87</v>
      </c>
      <c r="N448" s="35">
        <f t="shared" si="14"/>
        <v>11</v>
      </c>
      <c r="O448" s="223">
        <f t="shared" si="13"/>
        <v>2024</v>
      </c>
      <c r="P448" s="245"/>
      <c r="Q448" s="245" t="s">
        <v>89</v>
      </c>
      <c r="R448" s="245"/>
      <c r="S448" s="245"/>
      <c r="T448" s="245"/>
      <c r="U448" s="246" t="s">
        <v>1056</v>
      </c>
      <c r="V448" s="64"/>
      <c r="W448" s="1"/>
      <c r="X448" s="1"/>
      <c r="Y448" s="1"/>
      <c r="Z448" s="1"/>
    </row>
    <row r="449" spans="1:26" ht="28.5" customHeight="1" x14ac:dyDescent="0.25">
      <c r="A449" s="21">
        <v>98613966</v>
      </c>
      <c r="B449" s="80" t="s">
        <v>1057</v>
      </c>
      <c r="C449" s="216" t="s">
        <v>901</v>
      </c>
      <c r="D449" s="8" t="s">
        <v>82</v>
      </c>
      <c r="E449" s="8" t="s">
        <v>83</v>
      </c>
      <c r="F449" s="213">
        <v>45649</v>
      </c>
      <c r="G449" s="185" t="s">
        <v>93</v>
      </c>
      <c r="H449" s="185" t="s">
        <v>4</v>
      </c>
      <c r="I449" s="138" t="str">
        <f>VLOOKUP(H449,VALIDACIONES!$A$2:$B$138,2,0)</f>
        <v>Estacionar un vehículo en los sitios prohibidos por el Código Nacional de Tránsito, reglamentado por la Res.3027.</v>
      </c>
      <c r="J449" s="224">
        <v>572628</v>
      </c>
      <c r="K449" s="8" t="s">
        <v>114</v>
      </c>
      <c r="L449" s="107">
        <v>45679</v>
      </c>
      <c r="M449" s="110" t="s">
        <v>87</v>
      </c>
      <c r="N449" s="35">
        <f t="shared" si="14"/>
        <v>12</v>
      </c>
      <c r="O449" s="35">
        <f t="shared" si="13"/>
        <v>2024</v>
      </c>
      <c r="P449" s="64" t="s">
        <v>1058</v>
      </c>
      <c r="Q449" s="64" t="s">
        <v>89</v>
      </c>
      <c r="R449" s="64" t="s">
        <v>90</v>
      </c>
      <c r="S449" s="64" t="s">
        <v>90</v>
      </c>
      <c r="T449" s="64" t="s">
        <v>90</v>
      </c>
      <c r="U449" s="247" t="s">
        <v>1059</v>
      </c>
      <c r="V449" s="1"/>
      <c r="W449" s="1"/>
      <c r="X449" s="1"/>
      <c r="Y449" s="1"/>
      <c r="Z449" s="1"/>
    </row>
    <row r="450" spans="1:26" ht="39" x14ac:dyDescent="0.25">
      <c r="A450" s="21">
        <v>10271854</v>
      </c>
      <c r="B450" s="80" t="s">
        <v>1060</v>
      </c>
      <c r="C450" s="64" t="s">
        <v>22</v>
      </c>
      <c r="D450" s="8" t="s">
        <v>82</v>
      </c>
      <c r="E450" s="186" t="s">
        <v>100</v>
      </c>
      <c r="F450" s="214">
        <v>45638</v>
      </c>
      <c r="G450" s="186" t="s">
        <v>101</v>
      </c>
      <c r="H450" s="186" t="s">
        <v>14</v>
      </c>
      <c r="I450" s="138" t="str">
        <f>VLOOKUP(H450,VALIDACIONES!$A$2:$B$138,2,0)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450" s="225">
        <v>1145029</v>
      </c>
      <c r="K450" s="8" t="s">
        <v>114</v>
      </c>
      <c r="L450" s="107">
        <v>45679</v>
      </c>
      <c r="M450" s="110" t="s">
        <v>87</v>
      </c>
      <c r="N450" s="35">
        <f t="shared" si="14"/>
        <v>12</v>
      </c>
      <c r="O450" s="35">
        <f t="shared" si="13"/>
        <v>2024</v>
      </c>
      <c r="P450" s="64" t="s">
        <v>94</v>
      </c>
      <c r="Q450" s="64" t="s">
        <v>89</v>
      </c>
      <c r="R450" s="64" t="s">
        <v>1061</v>
      </c>
      <c r="S450" s="64" t="s">
        <v>1061</v>
      </c>
      <c r="T450" s="64" t="s">
        <v>90</v>
      </c>
      <c r="U450" s="64" t="s">
        <v>1062</v>
      </c>
      <c r="V450" s="1"/>
      <c r="W450" s="1"/>
      <c r="X450" s="1"/>
      <c r="Y450" s="1"/>
      <c r="Z450" s="1"/>
    </row>
    <row r="451" spans="1:26" ht="26.25" x14ac:dyDescent="0.25">
      <c r="A451" s="21">
        <v>98514320</v>
      </c>
      <c r="B451" s="80" t="s">
        <v>1054</v>
      </c>
      <c r="C451" s="215" t="s">
        <v>522</v>
      </c>
      <c r="D451" s="8" t="s">
        <v>82</v>
      </c>
      <c r="E451" s="212" t="s">
        <v>83</v>
      </c>
      <c r="F451" s="214">
        <v>45644</v>
      </c>
      <c r="G451" s="212" t="s">
        <v>93</v>
      </c>
      <c r="H451" s="186" t="s">
        <v>12</v>
      </c>
      <c r="I451" s="138" t="str">
        <f>VLOOKUP(H451,VALIDACIONES!$A$2:$B$138,2,0)</f>
        <v>ConducirsinportarelSeguroObligatoriodeAccidentesdetránsitoordenadoporlaley.Además,elvehículoseráinmovilizado.</v>
      </c>
      <c r="J451" s="225">
        <v>1145040</v>
      </c>
      <c r="K451" s="8" t="s">
        <v>114</v>
      </c>
      <c r="L451" s="107">
        <v>45685</v>
      </c>
      <c r="M451" s="110" t="s">
        <v>87</v>
      </c>
      <c r="N451" s="35">
        <f t="shared" si="14"/>
        <v>12</v>
      </c>
      <c r="O451" s="35">
        <f t="shared" si="13"/>
        <v>2024</v>
      </c>
      <c r="P451" s="64" t="s">
        <v>1058</v>
      </c>
      <c r="Q451" s="64" t="s">
        <v>89</v>
      </c>
      <c r="R451" s="64" t="s">
        <v>90</v>
      </c>
      <c r="S451" s="64" t="s">
        <v>90</v>
      </c>
      <c r="T451" s="64" t="s">
        <v>90</v>
      </c>
      <c r="U451" s="247" t="s">
        <v>1063</v>
      </c>
      <c r="V451" s="1"/>
      <c r="W451" s="1"/>
      <c r="X451" s="1"/>
      <c r="Y451" s="1"/>
      <c r="Z451" s="1"/>
    </row>
    <row r="452" spans="1:26" ht="26.25" x14ac:dyDescent="0.25">
      <c r="A452" s="21">
        <v>71947379</v>
      </c>
      <c r="B452" s="80" t="s">
        <v>1064</v>
      </c>
      <c r="C452" s="64" t="s">
        <v>818</v>
      </c>
      <c r="D452" s="8" t="s">
        <v>82</v>
      </c>
      <c r="E452" s="186" t="s">
        <v>83</v>
      </c>
      <c r="F452" s="214">
        <v>45655</v>
      </c>
      <c r="G452" s="186" t="s">
        <v>1036</v>
      </c>
      <c r="H452" s="186" t="s">
        <v>10</v>
      </c>
      <c r="I452" s="138" t="str">
        <f>VLOOKUP(H452,VALIDACIONES!$A$2:$B$138,2,0)</f>
        <v>Conducir un vehículo a velocidad superior a la máxima permitida, la cual deberá estar señalizada en forma sectorizada, no obstante esta no podrá ser superior a (verlistado)</v>
      </c>
      <c r="J452" s="225">
        <v>572520</v>
      </c>
      <c r="K452" s="8" t="s">
        <v>114</v>
      </c>
      <c r="L452" s="64"/>
      <c r="M452" s="110" t="s">
        <v>87</v>
      </c>
      <c r="N452" s="35">
        <f t="shared" si="14"/>
        <v>12</v>
      </c>
      <c r="O452" s="35">
        <f t="shared" si="13"/>
        <v>2024</v>
      </c>
      <c r="P452" s="64" t="s">
        <v>94</v>
      </c>
      <c r="Q452" s="64" t="s">
        <v>89</v>
      </c>
      <c r="R452" s="64" t="s">
        <v>90</v>
      </c>
      <c r="S452" s="64" t="s">
        <v>90</v>
      </c>
      <c r="T452" s="64" t="s">
        <v>90</v>
      </c>
      <c r="U452" s="64" t="s">
        <v>1062</v>
      </c>
      <c r="V452" s="1"/>
      <c r="W452" s="1"/>
      <c r="X452" s="1"/>
      <c r="Y452" s="1"/>
      <c r="Z452" s="1"/>
    </row>
    <row r="453" spans="1:26" ht="15" x14ac:dyDescent="0.25">
      <c r="A453" s="84">
        <v>98646700</v>
      </c>
      <c r="B453" s="82" t="s">
        <v>1065</v>
      </c>
      <c r="C453" s="64" t="s">
        <v>25</v>
      </c>
      <c r="D453" s="110" t="s">
        <v>25</v>
      </c>
      <c r="E453" s="192" t="s">
        <v>83</v>
      </c>
      <c r="F453" s="226">
        <v>45648</v>
      </c>
      <c r="G453" s="192" t="s">
        <v>93</v>
      </c>
      <c r="H453" s="192" t="s">
        <v>4</v>
      </c>
      <c r="I453" s="106" t="str">
        <f>VLOOKUP(H453,VALIDACIONES!$A$2:$B$138,2,0)</f>
        <v>Estacionar un vehículo en los sitios prohibidos por el Código Nacional de Tránsito, reglamentado por la Res.3027.</v>
      </c>
      <c r="J453" s="227">
        <v>572628</v>
      </c>
      <c r="K453" s="110" t="s">
        <v>114</v>
      </c>
      <c r="L453" s="115">
        <v>45685</v>
      </c>
      <c r="M453" s="110" t="s">
        <v>87</v>
      </c>
      <c r="N453" s="35">
        <f t="shared" si="14"/>
        <v>12</v>
      </c>
      <c r="O453" s="35">
        <f t="shared" si="13"/>
        <v>2024</v>
      </c>
      <c r="P453" s="64" t="s">
        <v>1066</v>
      </c>
      <c r="Q453" s="64" t="s">
        <v>89</v>
      </c>
      <c r="R453" s="64" t="s">
        <v>91</v>
      </c>
      <c r="S453" s="64" t="s">
        <v>1061</v>
      </c>
      <c r="T453" s="64" t="s">
        <v>90</v>
      </c>
      <c r="U453" s="64" t="s">
        <v>1062</v>
      </c>
      <c r="V453" s="1"/>
      <c r="W453" s="1"/>
      <c r="X453" s="1"/>
      <c r="Y453" s="1"/>
      <c r="Z453" s="1"/>
    </row>
    <row r="454" spans="1:26" ht="39" x14ac:dyDescent="0.25">
      <c r="A454" s="9">
        <v>1002643041</v>
      </c>
      <c r="B454" s="9" t="s">
        <v>1067</v>
      </c>
      <c r="C454" s="8" t="s">
        <v>1002</v>
      </c>
      <c r="D454" s="8" t="s">
        <v>82</v>
      </c>
      <c r="E454" s="190" t="s">
        <v>83</v>
      </c>
      <c r="F454" s="189">
        <v>45650</v>
      </c>
      <c r="G454" s="190" t="s">
        <v>138</v>
      </c>
      <c r="H454" s="190" t="s">
        <v>14</v>
      </c>
      <c r="I454" s="109" t="str">
        <f>VLOOKUP(H454,VALIDACIONES!$A$2:$B$138,2,0)</f>
        <v>Nodetenerseanteunaluzrojaoamarilladesemáforo,unaseñalde"PARE"ounsemáforointermitenteenrojo.Enelcasodemotocicletaseprocederaasuinmovilizaciónhastatantonosepagueelvalordelamultaolaautoridadcompetentedecidasobresuimposicionenlosterminosdelosarticulos135y136delcódigonacionaldetránsito.</v>
      </c>
      <c r="J454" s="228">
        <v>1145040</v>
      </c>
      <c r="K454" s="8" t="s">
        <v>114</v>
      </c>
      <c r="L454" s="8"/>
      <c r="M454" s="8"/>
      <c r="N454" s="8"/>
      <c r="O454" s="16">
        <f t="shared" si="13"/>
        <v>2024</v>
      </c>
      <c r="P454" s="64"/>
      <c r="Q454" s="64"/>
      <c r="R454" s="64"/>
      <c r="S454" s="64"/>
      <c r="T454" s="64"/>
      <c r="U454" s="64"/>
      <c r="V454" s="1"/>
      <c r="W454" s="1"/>
      <c r="X454" s="1"/>
      <c r="Y454" s="1"/>
      <c r="Z454" s="1"/>
    </row>
    <row r="455" spans="1:26" ht="26.25" x14ac:dyDescent="0.25">
      <c r="A455" s="9">
        <v>71601030</v>
      </c>
      <c r="B455" s="9" t="s">
        <v>1068</v>
      </c>
      <c r="C455" s="8" t="s">
        <v>921</v>
      </c>
      <c r="D455" s="8" t="s">
        <v>82</v>
      </c>
      <c r="E455" s="190" t="s">
        <v>1069</v>
      </c>
      <c r="F455" s="189">
        <v>45655</v>
      </c>
      <c r="G455" s="190" t="s">
        <v>1070</v>
      </c>
      <c r="H455" s="190" t="s">
        <v>10</v>
      </c>
      <c r="I455" s="109" t="str">
        <f>VLOOKUP(H455,VALIDACIONES!$A$2:$B$138,2,0)</f>
        <v>Conducir un vehículo a velocidad superior a la máxima permitida, la cual deberá estar señalizada en forma sectorizada, no obstante esta no podrá ser superior a (verlistado)</v>
      </c>
      <c r="J455" s="228">
        <v>572498</v>
      </c>
      <c r="K455" s="8" t="s">
        <v>114</v>
      </c>
      <c r="L455" s="8"/>
      <c r="M455" s="8"/>
      <c r="N455" s="8"/>
      <c r="O455" s="16">
        <f t="shared" si="13"/>
        <v>2024</v>
      </c>
      <c r="P455" s="64"/>
      <c r="Q455" s="64" t="s">
        <v>145</v>
      </c>
      <c r="R455" s="64"/>
      <c r="S455" s="64"/>
      <c r="T455" s="64"/>
      <c r="U455" s="64"/>
      <c r="V455" s="1"/>
      <c r="W455" s="1"/>
      <c r="X455" s="1"/>
      <c r="Y455" s="1"/>
      <c r="Z455" s="1"/>
    </row>
    <row r="456" spans="1:26" ht="12.75" x14ac:dyDescent="0.2">
      <c r="A456" s="64"/>
      <c r="B456" s="64"/>
      <c r="C456" s="64"/>
      <c r="D456" s="64"/>
      <c r="E456" s="64"/>
      <c r="F456" s="229"/>
      <c r="G456" s="230"/>
      <c r="H456" s="231"/>
      <c r="I456" s="232"/>
      <c r="J456" s="233"/>
      <c r="K456" s="64"/>
      <c r="L456" s="64"/>
      <c r="M456" s="64"/>
      <c r="N456" s="64"/>
      <c r="O456" s="6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64"/>
      <c r="G457" s="165"/>
      <c r="H457" s="163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64"/>
      <c r="G458" s="165"/>
      <c r="H458" s="163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64"/>
      <c r="G459" s="165"/>
      <c r="H459" s="163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64"/>
      <c r="G460" s="165"/>
      <c r="H460" s="163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64"/>
      <c r="G461" s="165"/>
      <c r="H461" s="163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64"/>
      <c r="G462" s="165"/>
      <c r="H462" s="163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64"/>
      <c r="G463" s="165"/>
      <c r="H463" s="163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64"/>
      <c r="G464" s="165"/>
      <c r="H464" s="163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64"/>
      <c r="G465" s="165"/>
      <c r="H465" s="163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64"/>
      <c r="G466" s="165"/>
      <c r="H466" s="163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64"/>
      <c r="G467" s="165"/>
      <c r="H467" s="163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64"/>
      <c r="G468" s="165"/>
      <c r="H468" s="163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64"/>
      <c r="G469" s="165"/>
      <c r="H469" s="163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64"/>
      <c r="G470" s="165"/>
      <c r="H470" s="163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64"/>
      <c r="G471" s="165"/>
      <c r="H471" s="163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64"/>
      <c r="G472" s="165"/>
      <c r="H472" s="163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64"/>
      <c r="G473" s="165"/>
      <c r="H473" s="163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64"/>
      <c r="G474" s="165"/>
      <c r="H474" s="163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64"/>
      <c r="G475" s="165"/>
      <c r="H475" s="163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64"/>
      <c r="G476" s="165"/>
      <c r="H476" s="163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64"/>
      <c r="G477" s="165"/>
      <c r="H477" s="163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64"/>
      <c r="G478" s="165"/>
      <c r="H478" s="163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64"/>
      <c r="G479" s="165"/>
      <c r="H479" s="163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64"/>
      <c r="G480" s="165"/>
      <c r="H480" s="163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64"/>
      <c r="G481" s="165"/>
      <c r="H481" s="163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64"/>
      <c r="G482" s="165"/>
      <c r="H482" s="163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64"/>
      <c r="G483" s="165"/>
      <c r="H483" s="163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64"/>
      <c r="G484" s="165"/>
      <c r="H484" s="163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64"/>
      <c r="G485" s="165"/>
      <c r="H485" s="163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64"/>
      <c r="G486" s="165"/>
      <c r="H486" s="163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64"/>
      <c r="G487" s="165"/>
      <c r="H487" s="163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64"/>
      <c r="G488" s="165"/>
      <c r="H488" s="163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64"/>
      <c r="G489" s="165"/>
      <c r="H489" s="163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64"/>
      <c r="G490" s="165"/>
      <c r="H490" s="163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64"/>
      <c r="G491" s="165"/>
      <c r="H491" s="163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64"/>
      <c r="G492" s="165"/>
      <c r="H492" s="163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64"/>
      <c r="G493" s="165"/>
      <c r="H493" s="163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64"/>
      <c r="G494" s="165"/>
      <c r="H494" s="163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64"/>
      <c r="G495" s="165"/>
      <c r="H495" s="163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64"/>
      <c r="G496" s="165"/>
      <c r="H496" s="163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64"/>
      <c r="G497" s="165"/>
      <c r="H497" s="163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64"/>
      <c r="G498" s="165"/>
      <c r="H498" s="163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64"/>
      <c r="G499" s="165"/>
      <c r="H499" s="163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64"/>
      <c r="G500" s="165"/>
      <c r="H500" s="163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64"/>
      <c r="G501" s="165"/>
      <c r="H501" s="163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64"/>
      <c r="G502" s="165"/>
      <c r="H502" s="163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64"/>
      <c r="G503" s="165"/>
      <c r="H503" s="163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64"/>
      <c r="G504" s="165"/>
      <c r="H504" s="163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64"/>
      <c r="G505" s="165"/>
      <c r="H505" s="163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64"/>
      <c r="G506" s="165"/>
      <c r="H506" s="163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64"/>
      <c r="G507" s="165"/>
      <c r="H507" s="163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64"/>
      <c r="G508" s="165"/>
      <c r="H508" s="163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64"/>
      <c r="G509" s="165"/>
      <c r="H509" s="163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64"/>
      <c r="G510" s="165"/>
      <c r="H510" s="163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64"/>
      <c r="G511" s="165"/>
      <c r="H511" s="163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64"/>
      <c r="G512" s="165"/>
      <c r="H512" s="163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64"/>
      <c r="G513" s="165"/>
      <c r="H513" s="163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64"/>
      <c r="G514" s="165"/>
      <c r="H514" s="163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64"/>
      <c r="G515" s="165"/>
      <c r="H515" s="163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64"/>
      <c r="G516" s="165"/>
      <c r="H516" s="163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64"/>
      <c r="G517" s="165"/>
      <c r="H517" s="163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64"/>
      <c r="G518" s="165"/>
      <c r="H518" s="163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64"/>
      <c r="G519" s="165"/>
      <c r="H519" s="163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64"/>
      <c r="G520" s="165"/>
      <c r="H520" s="163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64"/>
      <c r="G521" s="165"/>
      <c r="H521" s="163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64"/>
      <c r="G522" s="165"/>
      <c r="H522" s="163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64"/>
      <c r="G523" s="165"/>
      <c r="H523" s="163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64"/>
      <c r="G524" s="165"/>
      <c r="H524" s="163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64"/>
      <c r="G525" s="165"/>
      <c r="H525" s="163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64"/>
      <c r="G526" s="165"/>
      <c r="H526" s="163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64"/>
      <c r="G527" s="165"/>
      <c r="H527" s="163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64"/>
      <c r="G528" s="165"/>
      <c r="H528" s="163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64"/>
      <c r="G529" s="165"/>
      <c r="H529" s="163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64"/>
      <c r="G530" s="165"/>
      <c r="H530" s="163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64"/>
      <c r="G531" s="165"/>
      <c r="H531" s="163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64"/>
      <c r="G532" s="165"/>
      <c r="H532" s="163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64"/>
      <c r="G533" s="165"/>
      <c r="H533" s="163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64"/>
      <c r="G534" s="165"/>
      <c r="H534" s="163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64"/>
      <c r="G535" s="165"/>
      <c r="H535" s="163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64"/>
      <c r="G536" s="165"/>
      <c r="H536" s="163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64"/>
      <c r="G537" s="165"/>
      <c r="H537" s="163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64"/>
      <c r="G538" s="165"/>
      <c r="H538" s="163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64"/>
      <c r="G539" s="165"/>
      <c r="H539" s="163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64"/>
      <c r="G540" s="165"/>
      <c r="H540" s="163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64"/>
      <c r="G541" s="165"/>
      <c r="H541" s="163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64"/>
      <c r="G542" s="165"/>
      <c r="H542" s="163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64"/>
      <c r="G543" s="165"/>
      <c r="H543" s="163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64"/>
      <c r="G544" s="165"/>
      <c r="H544" s="163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64"/>
      <c r="G545" s="165"/>
      <c r="H545" s="163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64"/>
      <c r="G546" s="165"/>
      <c r="H546" s="163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64"/>
      <c r="G547" s="165"/>
      <c r="H547" s="163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64"/>
      <c r="G548" s="165"/>
      <c r="H548" s="163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64"/>
      <c r="G549" s="165"/>
      <c r="H549" s="163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64"/>
      <c r="G550" s="165"/>
      <c r="H550" s="163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64"/>
      <c r="G551" s="165"/>
      <c r="H551" s="163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64"/>
      <c r="G552" s="165"/>
      <c r="H552" s="163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64"/>
      <c r="G553" s="165"/>
      <c r="H553" s="163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64"/>
      <c r="G554" s="165"/>
      <c r="H554" s="163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64"/>
      <c r="G555" s="165"/>
      <c r="H555" s="163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64"/>
      <c r="G556" s="165"/>
      <c r="H556" s="163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64"/>
      <c r="G557" s="165"/>
      <c r="H557" s="163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64"/>
      <c r="G558" s="165"/>
      <c r="H558" s="163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64"/>
      <c r="G559" s="165"/>
      <c r="H559" s="163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64"/>
      <c r="G560" s="165"/>
      <c r="H560" s="163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64"/>
      <c r="G561" s="165"/>
      <c r="H561" s="163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64"/>
      <c r="G562" s="165"/>
      <c r="H562" s="163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64"/>
      <c r="G563" s="165"/>
      <c r="H563" s="163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64"/>
      <c r="G564" s="165"/>
      <c r="H564" s="163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64"/>
      <c r="G565" s="165"/>
      <c r="H565" s="163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64"/>
      <c r="G566" s="165"/>
      <c r="H566" s="163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64"/>
      <c r="G567" s="165"/>
      <c r="H567" s="163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64"/>
      <c r="G568" s="165"/>
      <c r="H568" s="163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64"/>
      <c r="G569" s="165"/>
      <c r="H569" s="163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64"/>
      <c r="G570" s="165"/>
      <c r="H570" s="163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64"/>
      <c r="G571" s="165"/>
      <c r="H571" s="163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64"/>
      <c r="G572" s="165"/>
      <c r="H572" s="163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64"/>
      <c r="G573" s="165"/>
      <c r="H573" s="163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64"/>
      <c r="G574" s="165"/>
      <c r="H574" s="163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64"/>
      <c r="G575" s="165"/>
      <c r="H575" s="163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64"/>
      <c r="G576" s="165"/>
      <c r="H576" s="163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64"/>
      <c r="G577" s="165"/>
      <c r="H577" s="163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64"/>
      <c r="G578" s="165"/>
      <c r="H578" s="163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64"/>
      <c r="G579" s="165"/>
      <c r="H579" s="163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64"/>
      <c r="G580" s="165"/>
      <c r="H580" s="163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64"/>
      <c r="G581" s="165"/>
      <c r="H581" s="163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64"/>
      <c r="G582" s="165"/>
      <c r="H582" s="163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64"/>
      <c r="G583" s="165"/>
      <c r="H583" s="163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64"/>
      <c r="G584" s="165"/>
      <c r="H584" s="163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64"/>
      <c r="G585" s="165"/>
      <c r="H585" s="163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64"/>
      <c r="G586" s="165"/>
      <c r="H586" s="163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64"/>
      <c r="G587" s="165"/>
      <c r="H587" s="163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64"/>
      <c r="G588" s="165"/>
      <c r="H588" s="163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64"/>
      <c r="G589" s="165"/>
      <c r="H589" s="163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64"/>
      <c r="G590" s="165"/>
      <c r="H590" s="163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64"/>
      <c r="G591" s="165"/>
      <c r="H591" s="163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64"/>
      <c r="G592" s="165"/>
      <c r="H592" s="163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64"/>
      <c r="G593" s="165"/>
      <c r="H593" s="163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64"/>
      <c r="G594" s="165"/>
      <c r="H594" s="163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64"/>
      <c r="G595" s="165"/>
      <c r="H595" s="163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64"/>
      <c r="G596" s="165"/>
      <c r="H596" s="163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64"/>
      <c r="G597" s="165"/>
      <c r="H597" s="163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64"/>
      <c r="G598" s="165"/>
      <c r="H598" s="163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64"/>
      <c r="G599" s="165"/>
      <c r="H599" s="163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64"/>
      <c r="G600" s="165"/>
      <c r="H600" s="163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64"/>
      <c r="G601" s="165"/>
      <c r="H601" s="163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64"/>
      <c r="G602" s="165"/>
      <c r="H602" s="163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64"/>
      <c r="G603" s="165"/>
      <c r="H603" s="163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64"/>
      <c r="G604" s="165"/>
      <c r="H604" s="163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64"/>
      <c r="G605" s="165"/>
      <c r="H605" s="163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64"/>
      <c r="G606" s="165"/>
      <c r="H606" s="163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64"/>
      <c r="G607" s="165"/>
      <c r="H607" s="163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64"/>
      <c r="G608" s="165"/>
      <c r="H608" s="163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64"/>
      <c r="G609" s="165"/>
      <c r="H609" s="163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64"/>
      <c r="G610" s="165"/>
      <c r="H610" s="163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64"/>
      <c r="G611" s="165"/>
      <c r="H611" s="163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64"/>
      <c r="G612" s="165"/>
      <c r="H612" s="163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64"/>
      <c r="G613" s="165"/>
      <c r="H613" s="163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64"/>
      <c r="G614" s="165"/>
      <c r="H614" s="163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64"/>
      <c r="G615" s="165"/>
      <c r="H615" s="163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64"/>
      <c r="G616" s="165"/>
      <c r="H616" s="163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64"/>
      <c r="G617" s="165"/>
      <c r="H617" s="163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64"/>
      <c r="G618" s="165"/>
      <c r="H618" s="163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64"/>
      <c r="G619" s="165"/>
      <c r="H619" s="163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64"/>
      <c r="G620" s="165"/>
      <c r="H620" s="163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64"/>
      <c r="G621" s="165"/>
      <c r="H621" s="163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64"/>
      <c r="G622" s="165"/>
      <c r="H622" s="163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64"/>
      <c r="G623" s="165"/>
      <c r="H623" s="163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64"/>
      <c r="G624" s="165"/>
      <c r="H624" s="163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64"/>
      <c r="G625" s="165"/>
      <c r="H625" s="163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64"/>
      <c r="G626" s="165"/>
      <c r="H626" s="163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64"/>
      <c r="G627" s="165"/>
      <c r="H627" s="163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64"/>
      <c r="G628" s="165"/>
      <c r="H628" s="163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64"/>
      <c r="G629" s="165"/>
      <c r="H629" s="163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64"/>
      <c r="G630" s="165"/>
      <c r="H630" s="163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64"/>
      <c r="G631" s="165"/>
      <c r="H631" s="163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64"/>
      <c r="G632" s="165"/>
      <c r="H632" s="163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64"/>
      <c r="G633" s="165"/>
      <c r="H633" s="163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64"/>
      <c r="G634" s="165"/>
      <c r="H634" s="163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64"/>
      <c r="G635" s="165"/>
      <c r="H635" s="163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64"/>
      <c r="G636" s="165"/>
      <c r="H636" s="163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64"/>
      <c r="G637" s="165"/>
      <c r="H637" s="163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64"/>
      <c r="G638" s="165"/>
      <c r="H638" s="163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64"/>
      <c r="G639" s="165"/>
      <c r="H639" s="163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64"/>
      <c r="G640" s="165"/>
      <c r="H640" s="163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64"/>
      <c r="G641" s="165"/>
      <c r="H641" s="163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64"/>
      <c r="G642" s="165"/>
      <c r="H642" s="163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64"/>
      <c r="G643" s="165"/>
      <c r="H643" s="163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64"/>
      <c r="G644" s="165"/>
      <c r="H644" s="163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64"/>
      <c r="G645" s="165"/>
      <c r="H645" s="163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64"/>
      <c r="G646" s="165"/>
      <c r="H646" s="163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64"/>
      <c r="G647" s="165"/>
      <c r="H647" s="163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64"/>
      <c r="G648" s="165"/>
      <c r="H648" s="163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64"/>
      <c r="G649" s="165"/>
      <c r="H649" s="163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64"/>
      <c r="G650" s="165"/>
      <c r="H650" s="163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64"/>
      <c r="G651" s="165"/>
      <c r="H651" s="163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64"/>
      <c r="G652" s="165"/>
      <c r="H652" s="163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64"/>
      <c r="G653" s="165"/>
      <c r="H653" s="163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64"/>
      <c r="G654" s="165"/>
      <c r="H654" s="163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64"/>
      <c r="G655" s="165"/>
      <c r="H655" s="163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64"/>
      <c r="G656" s="165"/>
      <c r="H656" s="163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64"/>
      <c r="G657" s="165"/>
      <c r="H657" s="163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64"/>
      <c r="G658" s="165"/>
      <c r="H658" s="163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64"/>
      <c r="G659" s="165"/>
      <c r="H659" s="163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64"/>
      <c r="G660" s="165"/>
      <c r="H660" s="163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64"/>
      <c r="G661" s="165"/>
      <c r="H661" s="163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64"/>
      <c r="G662" s="165"/>
      <c r="H662" s="163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64"/>
      <c r="G663" s="165"/>
      <c r="H663" s="163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64"/>
      <c r="G664" s="165"/>
      <c r="H664" s="163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64"/>
      <c r="G665" s="165"/>
      <c r="H665" s="163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64"/>
      <c r="G666" s="165"/>
      <c r="H666" s="163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64"/>
      <c r="G667" s="165"/>
      <c r="H667" s="163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64"/>
      <c r="G668" s="165"/>
      <c r="H668" s="163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64"/>
      <c r="G669" s="165"/>
      <c r="H669" s="163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64"/>
      <c r="G670" s="165"/>
      <c r="H670" s="163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64"/>
      <c r="G671" s="165"/>
      <c r="H671" s="163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64"/>
      <c r="G672" s="165"/>
      <c r="H672" s="163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64"/>
      <c r="G673" s="165"/>
      <c r="H673" s="163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64"/>
      <c r="G674" s="165"/>
      <c r="H674" s="163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64"/>
      <c r="G675" s="165"/>
      <c r="H675" s="163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64"/>
      <c r="G676" s="165"/>
      <c r="H676" s="163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64"/>
      <c r="G677" s="165"/>
      <c r="H677" s="163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64"/>
      <c r="G678" s="165"/>
      <c r="H678" s="163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64"/>
      <c r="G679" s="165"/>
      <c r="H679" s="163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64"/>
      <c r="G680" s="165"/>
      <c r="H680" s="163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64"/>
      <c r="G681" s="165"/>
      <c r="H681" s="163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64"/>
      <c r="G682" s="165"/>
      <c r="H682" s="163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64"/>
      <c r="G683" s="165"/>
      <c r="H683" s="163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64"/>
      <c r="G684" s="165"/>
      <c r="H684" s="163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64"/>
      <c r="G685" s="165"/>
      <c r="H685" s="163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64"/>
      <c r="G686" s="165"/>
      <c r="H686" s="163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64"/>
      <c r="G687" s="165"/>
      <c r="H687" s="163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64"/>
      <c r="G688" s="165"/>
      <c r="H688" s="163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64"/>
      <c r="G689" s="165"/>
      <c r="H689" s="163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64"/>
      <c r="G690" s="165"/>
      <c r="H690" s="163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64"/>
      <c r="G691" s="165"/>
      <c r="H691" s="163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64"/>
      <c r="G692" s="165"/>
      <c r="H692" s="163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64"/>
      <c r="G693" s="165"/>
      <c r="H693" s="163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64"/>
      <c r="G694" s="165"/>
      <c r="H694" s="163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64"/>
      <c r="G695" s="165"/>
      <c r="H695" s="163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64"/>
      <c r="G696" s="165"/>
      <c r="H696" s="163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64"/>
      <c r="G697" s="165"/>
      <c r="H697" s="163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64"/>
      <c r="G698" s="165"/>
      <c r="H698" s="163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64"/>
      <c r="G699" s="165"/>
      <c r="H699" s="163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64"/>
      <c r="G700" s="165"/>
      <c r="H700" s="163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64"/>
      <c r="G701" s="165"/>
      <c r="H701" s="163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64"/>
      <c r="G702" s="165"/>
      <c r="H702" s="163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64"/>
      <c r="G703" s="165"/>
      <c r="H703" s="163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64"/>
      <c r="G704" s="165"/>
      <c r="H704" s="163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64"/>
      <c r="G705" s="165"/>
      <c r="H705" s="163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64"/>
      <c r="G706" s="165"/>
      <c r="H706" s="163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64"/>
      <c r="G707" s="165"/>
      <c r="H707" s="163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64"/>
      <c r="G708" s="165"/>
      <c r="H708" s="163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64"/>
      <c r="G709" s="165"/>
      <c r="H709" s="163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64"/>
      <c r="G710" s="165"/>
      <c r="H710" s="163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64"/>
      <c r="G711" s="165"/>
      <c r="H711" s="163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64"/>
      <c r="G712" s="165"/>
      <c r="H712" s="163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64"/>
      <c r="G713" s="165"/>
      <c r="H713" s="163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64"/>
      <c r="G714" s="165"/>
      <c r="H714" s="163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64"/>
      <c r="G715" s="165"/>
      <c r="H715" s="163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64"/>
      <c r="G716" s="165"/>
      <c r="H716" s="163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64"/>
      <c r="G717" s="165"/>
      <c r="H717" s="163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64"/>
      <c r="G718" s="165"/>
      <c r="H718" s="163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64"/>
      <c r="G719" s="165"/>
      <c r="H719" s="163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64"/>
      <c r="G720" s="165"/>
      <c r="H720" s="163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64"/>
      <c r="G721" s="165"/>
      <c r="H721" s="163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64"/>
      <c r="G722" s="165"/>
      <c r="H722" s="163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64"/>
      <c r="G723" s="165"/>
      <c r="H723" s="163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64"/>
      <c r="G724" s="165"/>
      <c r="H724" s="163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64"/>
      <c r="G725" s="165"/>
      <c r="H725" s="163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64"/>
      <c r="G726" s="165"/>
      <c r="H726" s="163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64"/>
      <c r="G727" s="165"/>
      <c r="H727" s="163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64"/>
      <c r="G728" s="165"/>
      <c r="H728" s="163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64"/>
      <c r="G729" s="165"/>
      <c r="H729" s="163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64"/>
      <c r="G730" s="165"/>
      <c r="H730" s="163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64"/>
      <c r="G731" s="165"/>
      <c r="H731" s="163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64"/>
      <c r="G732" s="165"/>
      <c r="H732" s="163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64"/>
      <c r="G733" s="165"/>
      <c r="H733" s="163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64"/>
      <c r="G734" s="165"/>
      <c r="H734" s="163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64"/>
      <c r="G735" s="165"/>
      <c r="H735" s="163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64"/>
      <c r="G736" s="165"/>
      <c r="H736" s="163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64"/>
      <c r="G737" s="165"/>
      <c r="H737" s="163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64"/>
      <c r="G738" s="165"/>
      <c r="H738" s="163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64"/>
      <c r="G739" s="165"/>
      <c r="H739" s="163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64"/>
      <c r="G740" s="165"/>
      <c r="H740" s="163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64"/>
      <c r="G741" s="165"/>
      <c r="H741" s="163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64"/>
      <c r="G742" s="165"/>
      <c r="H742" s="163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64"/>
      <c r="G743" s="165"/>
      <c r="H743" s="163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64"/>
      <c r="G744" s="165"/>
      <c r="H744" s="163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64"/>
      <c r="G745" s="165"/>
      <c r="H745" s="163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64"/>
      <c r="G746" s="165"/>
      <c r="H746" s="163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64"/>
      <c r="G747" s="165"/>
      <c r="H747" s="163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64"/>
      <c r="G748" s="165"/>
      <c r="H748" s="163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64"/>
      <c r="G749" s="165"/>
      <c r="H749" s="163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64"/>
      <c r="G750" s="165"/>
      <c r="H750" s="163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64"/>
      <c r="G751" s="165"/>
      <c r="H751" s="163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64"/>
      <c r="G752" s="165"/>
      <c r="H752" s="163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64"/>
      <c r="G753" s="165"/>
      <c r="H753" s="163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64"/>
      <c r="G754" s="165"/>
      <c r="H754" s="163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64"/>
      <c r="G755" s="165"/>
      <c r="H755" s="163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64"/>
      <c r="G756" s="165"/>
      <c r="H756" s="163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64"/>
      <c r="G757" s="165"/>
      <c r="H757" s="163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64"/>
      <c r="G758" s="165"/>
      <c r="H758" s="163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64"/>
      <c r="G759" s="165"/>
      <c r="H759" s="163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64"/>
      <c r="G760" s="165"/>
      <c r="H760" s="163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64"/>
      <c r="G761" s="165"/>
      <c r="H761" s="163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64"/>
      <c r="G762" s="165"/>
      <c r="H762" s="163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64"/>
      <c r="G763" s="165"/>
      <c r="H763" s="163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64"/>
      <c r="G764" s="165"/>
      <c r="H764" s="163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64"/>
      <c r="G765" s="165"/>
      <c r="H765" s="163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64"/>
      <c r="G766" s="165"/>
      <c r="H766" s="163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64"/>
      <c r="G767" s="165"/>
      <c r="H767" s="163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64"/>
      <c r="G768" s="165"/>
      <c r="H768" s="163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64"/>
      <c r="G769" s="165"/>
      <c r="H769" s="163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64"/>
      <c r="G770" s="165"/>
      <c r="H770" s="163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64"/>
      <c r="G771" s="165"/>
      <c r="H771" s="163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64"/>
      <c r="G772" s="165"/>
      <c r="H772" s="163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64"/>
      <c r="G773" s="165"/>
      <c r="H773" s="163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64"/>
      <c r="G774" s="165"/>
      <c r="H774" s="163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64"/>
      <c r="G775" s="165"/>
      <c r="H775" s="163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64"/>
      <c r="G776" s="165"/>
      <c r="H776" s="163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64"/>
      <c r="G777" s="165"/>
      <c r="H777" s="163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64"/>
      <c r="G778" s="165"/>
      <c r="H778" s="163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64"/>
      <c r="G779" s="165"/>
      <c r="H779" s="163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64"/>
      <c r="G780" s="165"/>
      <c r="H780" s="163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64"/>
      <c r="G781" s="165"/>
      <c r="H781" s="163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64"/>
      <c r="G782" s="165"/>
      <c r="H782" s="163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64"/>
      <c r="G783" s="165"/>
      <c r="H783" s="163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64"/>
      <c r="G784" s="165"/>
      <c r="H784" s="163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64"/>
      <c r="G785" s="165"/>
      <c r="H785" s="163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64"/>
      <c r="G786" s="165"/>
      <c r="H786" s="163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64"/>
      <c r="G787" s="165"/>
      <c r="H787" s="163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64"/>
      <c r="G788" s="165"/>
      <c r="H788" s="163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64"/>
      <c r="G789" s="165"/>
      <c r="H789" s="163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64"/>
      <c r="G790" s="165"/>
      <c r="H790" s="163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64"/>
      <c r="G791" s="165"/>
      <c r="H791" s="163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64"/>
      <c r="G792" s="165"/>
      <c r="H792" s="163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64"/>
      <c r="G793" s="165"/>
      <c r="H793" s="163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64"/>
      <c r="G794" s="165"/>
      <c r="H794" s="163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64"/>
      <c r="G795" s="165"/>
      <c r="H795" s="163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64"/>
      <c r="G796" s="165"/>
      <c r="H796" s="163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64"/>
      <c r="G797" s="165"/>
      <c r="H797" s="163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64"/>
      <c r="G798" s="165"/>
      <c r="H798" s="163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64"/>
      <c r="G799" s="165"/>
      <c r="H799" s="163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64"/>
      <c r="G800" s="165"/>
      <c r="H800" s="163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64"/>
      <c r="G801" s="165"/>
      <c r="H801" s="163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64"/>
      <c r="G802" s="165"/>
      <c r="H802" s="163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64"/>
      <c r="G803" s="165"/>
      <c r="H803" s="163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64"/>
      <c r="G804" s="165"/>
      <c r="H804" s="163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64"/>
      <c r="G805" s="165"/>
      <c r="H805" s="163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64"/>
      <c r="G806" s="165"/>
      <c r="H806" s="163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64"/>
      <c r="G807" s="165"/>
      <c r="H807" s="163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64"/>
      <c r="G808" s="165"/>
      <c r="H808" s="163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64"/>
      <c r="G809" s="165"/>
      <c r="H809" s="163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64"/>
      <c r="G810" s="165"/>
      <c r="H810" s="163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64"/>
      <c r="G811" s="165"/>
      <c r="H811" s="163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64"/>
      <c r="G812" s="165"/>
      <c r="H812" s="163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64"/>
      <c r="G813" s="165"/>
      <c r="H813" s="163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64"/>
      <c r="G814" s="165"/>
      <c r="H814" s="163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64"/>
      <c r="G815" s="165"/>
      <c r="H815" s="163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64"/>
      <c r="G816" s="165"/>
      <c r="H816" s="163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64"/>
      <c r="G817" s="165"/>
      <c r="H817" s="163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64"/>
      <c r="G818" s="165"/>
      <c r="H818" s="163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64"/>
      <c r="G819" s="165"/>
      <c r="H819" s="163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64"/>
      <c r="G820" s="165"/>
      <c r="H820" s="163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64"/>
      <c r="G821" s="165"/>
      <c r="H821" s="163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64"/>
      <c r="G822" s="165"/>
      <c r="H822" s="163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64"/>
      <c r="G823" s="165"/>
      <c r="H823" s="163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64"/>
      <c r="G824" s="165"/>
      <c r="H824" s="163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64"/>
      <c r="G825" s="165"/>
      <c r="H825" s="163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64"/>
      <c r="G826" s="165"/>
      <c r="H826" s="163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64"/>
      <c r="G827" s="165"/>
      <c r="H827" s="163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64"/>
      <c r="G828" s="165"/>
      <c r="H828" s="163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64"/>
      <c r="G829" s="165"/>
      <c r="H829" s="163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64"/>
      <c r="G830" s="165"/>
      <c r="H830" s="163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64"/>
      <c r="G831" s="165"/>
      <c r="H831" s="163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64"/>
      <c r="G832" s="165"/>
      <c r="H832" s="163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64"/>
      <c r="G833" s="165"/>
      <c r="H833" s="163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64"/>
      <c r="G834" s="165"/>
      <c r="H834" s="163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64"/>
      <c r="G835" s="165"/>
      <c r="H835" s="163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64"/>
      <c r="G836" s="165"/>
      <c r="H836" s="163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64"/>
      <c r="G837" s="165"/>
      <c r="H837" s="163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64"/>
      <c r="G838" s="165"/>
      <c r="H838" s="163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64"/>
      <c r="G839" s="165"/>
      <c r="H839" s="163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64"/>
      <c r="G840" s="165"/>
      <c r="H840" s="163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64"/>
      <c r="G841" s="165"/>
      <c r="H841" s="163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64"/>
      <c r="G842" s="165"/>
      <c r="H842" s="163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64"/>
      <c r="G843" s="165"/>
      <c r="H843" s="163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64"/>
      <c r="G844" s="165"/>
      <c r="H844" s="163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64"/>
      <c r="G845" s="165"/>
      <c r="H845" s="163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64"/>
      <c r="G846" s="165"/>
      <c r="H846" s="163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64"/>
      <c r="G847" s="165"/>
      <c r="H847" s="163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64"/>
      <c r="G848" s="165"/>
      <c r="H848" s="163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64"/>
      <c r="G849" s="165"/>
      <c r="H849" s="163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64"/>
      <c r="G850" s="165"/>
      <c r="H850" s="163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64"/>
      <c r="G851" s="165"/>
      <c r="H851" s="163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64"/>
      <c r="G852" s="165"/>
      <c r="H852" s="163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64"/>
      <c r="G853" s="165"/>
      <c r="H853" s="163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64"/>
      <c r="G854" s="165"/>
      <c r="H854" s="163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64"/>
      <c r="G855" s="165"/>
      <c r="H855" s="163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64"/>
      <c r="G856" s="165"/>
      <c r="H856" s="163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64"/>
      <c r="G857" s="165"/>
      <c r="H857" s="163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64"/>
      <c r="G858" s="165"/>
      <c r="H858" s="163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64"/>
      <c r="G859" s="165"/>
      <c r="H859" s="163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64"/>
      <c r="G860" s="165"/>
      <c r="H860" s="163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64"/>
      <c r="G861" s="165"/>
      <c r="H861" s="163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64"/>
      <c r="G862" s="165"/>
      <c r="H862" s="163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64"/>
      <c r="G863" s="165"/>
      <c r="H863" s="163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64"/>
      <c r="G864" s="165"/>
      <c r="H864" s="163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64"/>
      <c r="G865" s="165"/>
      <c r="H865" s="163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64"/>
      <c r="G866" s="165"/>
      <c r="H866" s="163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64"/>
      <c r="G867" s="165"/>
      <c r="H867" s="163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64"/>
      <c r="G868" s="165"/>
      <c r="H868" s="163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64"/>
      <c r="G869" s="165"/>
      <c r="H869" s="163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64"/>
      <c r="G870" s="165"/>
      <c r="H870" s="163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64"/>
      <c r="G871" s="165"/>
      <c r="H871" s="163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64"/>
      <c r="G872" s="165"/>
      <c r="H872" s="163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64"/>
      <c r="G873" s="165"/>
      <c r="H873" s="163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64"/>
      <c r="G874" s="165"/>
      <c r="H874" s="163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64"/>
      <c r="G875" s="165"/>
      <c r="H875" s="163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64"/>
      <c r="G876" s="165"/>
      <c r="H876" s="163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64"/>
      <c r="G877" s="165"/>
      <c r="H877" s="163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64"/>
      <c r="G878" s="165"/>
      <c r="H878" s="163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64"/>
      <c r="G879" s="165"/>
      <c r="H879" s="163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64"/>
      <c r="G880" s="165"/>
      <c r="H880" s="163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64"/>
      <c r="G881" s="165"/>
      <c r="H881" s="163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64"/>
      <c r="G882" s="165"/>
      <c r="H882" s="163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64"/>
      <c r="G883" s="165"/>
      <c r="H883" s="163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64"/>
      <c r="G884" s="165"/>
      <c r="H884" s="163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64"/>
      <c r="G885" s="165"/>
      <c r="H885" s="163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64"/>
      <c r="G886" s="165"/>
      <c r="H886" s="163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64"/>
      <c r="G887" s="165"/>
      <c r="H887" s="163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64"/>
      <c r="G888" s="165"/>
      <c r="H888" s="163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64"/>
      <c r="G889" s="165"/>
      <c r="H889" s="163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64"/>
      <c r="G890" s="165"/>
      <c r="H890" s="163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64"/>
      <c r="G891" s="165"/>
      <c r="H891" s="163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64"/>
      <c r="G892" s="165"/>
      <c r="H892" s="163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64"/>
      <c r="G893" s="165"/>
      <c r="H893" s="163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64"/>
      <c r="G894" s="165"/>
      <c r="H894" s="163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64"/>
      <c r="G895" s="165"/>
      <c r="H895" s="163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64"/>
      <c r="G896" s="165"/>
      <c r="H896" s="163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64"/>
      <c r="G897" s="165"/>
      <c r="H897" s="163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64"/>
      <c r="G898" s="165"/>
      <c r="H898" s="163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64"/>
      <c r="G899" s="165"/>
      <c r="H899" s="163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64"/>
      <c r="G900" s="165"/>
      <c r="H900" s="163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64"/>
      <c r="G901" s="165"/>
      <c r="H901" s="163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64"/>
      <c r="G902" s="165"/>
      <c r="H902" s="163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64"/>
      <c r="G903" s="165"/>
      <c r="H903" s="163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64"/>
      <c r="G904" s="165"/>
      <c r="H904" s="163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64"/>
      <c r="G905" s="165"/>
      <c r="H905" s="163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64"/>
      <c r="G906" s="165"/>
      <c r="H906" s="163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64"/>
      <c r="G907" s="165"/>
      <c r="H907" s="163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64"/>
      <c r="G908" s="165"/>
      <c r="H908" s="163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64"/>
      <c r="G909" s="165"/>
      <c r="H909" s="163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64"/>
      <c r="G910" s="165"/>
      <c r="H910" s="163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64"/>
      <c r="G911" s="165"/>
      <c r="H911" s="163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64"/>
      <c r="G912" s="165"/>
      <c r="H912" s="163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64"/>
      <c r="G913" s="165"/>
      <c r="H913" s="163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64"/>
      <c r="G914" s="165"/>
      <c r="H914" s="163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64"/>
      <c r="G915" s="165"/>
      <c r="H915" s="163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64"/>
      <c r="G916" s="165"/>
      <c r="H916" s="163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64"/>
      <c r="G917" s="165"/>
      <c r="H917" s="163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64"/>
      <c r="G918" s="165"/>
      <c r="H918" s="163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64"/>
      <c r="G919" s="165"/>
      <c r="H919" s="163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64"/>
      <c r="G920" s="165"/>
      <c r="H920" s="163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64"/>
      <c r="G921" s="165"/>
      <c r="H921" s="163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64"/>
      <c r="G922" s="165"/>
      <c r="H922" s="163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64"/>
      <c r="G923" s="165"/>
      <c r="H923" s="163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64"/>
      <c r="G924" s="165"/>
      <c r="H924" s="163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64"/>
      <c r="G925" s="165"/>
      <c r="H925" s="163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64"/>
      <c r="G926" s="165"/>
      <c r="H926" s="163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64"/>
      <c r="G927" s="165"/>
      <c r="H927" s="163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64"/>
      <c r="G928" s="165"/>
      <c r="H928" s="163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64"/>
      <c r="G929" s="165"/>
      <c r="H929" s="163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64"/>
      <c r="G930" s="165"/>
      <c r="H930" s="163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64"/>
      <c r="G931" s="165"/>
      <c r="H931" s="163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64"/>
      <c r="G932" s="165"/>
      <c r="H932" s="163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64"/>
      <c r="G933" s="165"/>
      <c r="H933" s="163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64"/>
      <c r="G934" s="165"/>
      <c r="H934" s="163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64"/>
      <c r="G935" s="165"/>
      <c r="H935" s="163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64"/>
      <c r="G936" s="165"/>
      <c r="H936" s="163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64"/>
      <c r="G937" s="165"/>
      <c r="H937" s="163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64"/>
      <c r="G938" s="165"/>
      <c r="H938" s="163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64"/>
      <c r="G939" s="165"/>
      <c r="H939" s="163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64"/>
      <c r="G940" s="165"/>
      <c r="H940" s="163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64"/>
      <c r="G941" s="165"/>
      <c r="H941" s="163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64"/>
      <c r="G942" s="165"/>
      <c r="H942" s="163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64"/>
      <c r="G943" s="165"/>
      <c r="H943" s="163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64"/>
      <c r="G944" s="165"/>
      <c r="H944" s="163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64"/>
      <c r="G945" s="165"/>
      <c r="H945" s="163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64"/>
      <c r="G946" s="165"/>
      <c r="H946" s="163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64"/>
      <c r="G947" s="165"/>
      <c r="H947" s="163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64"/>
      <c r="G948" s="165"/>
      <c r="H948" s="163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64"/>
      <c r="G949" s="165"/>
      <c r="H949" s="163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64"/>
      <c r="G950" s="165"/>
      <c r="H950" s="163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64"/>
      <c r="G951" s="165"/>
      <c r="H951" s="163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64"/>
      <c r="G952" s="165"/>
      <c r="H952" s="163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64"/>
      <c r="G953" s="165"/>
      <c r="H953" s="163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64"/>
      <c r="G954" s="165"/>
      <c r="H954" s="163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64"/>
      <c r="G955" s="165"/>
      <c r="H955" s="163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64"/>
      <c r="G956" s="165"/>
      <c r="H956" s="163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64"/>
      <c r="G957" s="165"/>
      <c r="H957" s="163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64"/>
      <c r="G958" s="165"/>
      <c r="H958" s="163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64"/>
      <c r="G959" s="165"/>
      <c r="H959" s="163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64"/>
      <c r="G960" s="165"/>
      <c r="H960" s="163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64"/>
      <c r="G961" s="165"/>
      <c r="H961" s="163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64"/>
      <c r="G962" s="165"/>
      <c r="H962" s="163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64"/>
      <c r="G963" s="165"/>
      <c r="H963" s="163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64"/>
      <c r="G964" s="165"/>
      <c r="H964" s="163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64"/>
      <c r="G965" s="165"/>
      <c r="H965" s="163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64"/>
      <c r="G966" s="165"/>
      <c r="H966" s="163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64"/>
      <c r="G967" s="165"/>
      <c r="H967" s="163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64"/>
      <c r="G968" s="165"/>
      <c r="H968" s="163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64"/>
      <c r="G969" s="165"/>
      <c r="H969" s="163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64"/>
      <c r="G970" s="165"/>
      <c r="H970" s="163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64"/>
      <c r="G971" s="165"/>
      <c r="H971" s="163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64"/>
      <c r="G972" s="165"/>
      <c r="H972" s="163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64"/>
      <c r="G973" s="165"/>
      <c r="H973" s="163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64"/>
      <c r="G974" s="165"/>
      <c r="H974" s="163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64"/>
      <c r="G975" s="165"/>
      <c r="H975" s="163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64"/>
      <c r="G976" s="165"/>
      <c r="H976" s="163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64"/>
      <c r="G977" s="165"/>
      <c r="H977" s="163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64"/>
      <c r="G978" s="165"/>
      <c r="H978" s="163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64"/>
      <c r="G979" s="165"/>
      <c r="H979" s="163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64"/>
      <c r="G980" s="165"/>
      <c r="H980" s="163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64"/>
      <c r="G981" s="165"/>
      <c r="H981" s="163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64"/>
      <c r="G982" s="165"/>
      <c r="H982" s="163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64"/>
      <c r="G983" s="165"/>
      <c r="H983" s="163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64"/>
      <c r="G984" s="165"/>
      <c r="H984" s="163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64"/>
      <c r="G985" s="165"/>
      <c r="H985" s="163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64"/>
      <c r="G986" s="165"/>
      <c r="H986" s="163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64"/>
      <c r="G987" s="165"/>
      <c r="H987" s="163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64"/>
      <c r="G988" s="165"/>
      <c r="H988" s="163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64"/>
      <c r="G989" s="165"/>
      <c r="H989" s="163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64"/>
      <c r="G990" s="165"/>
      <c r="H990" s="163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64"/>
      <c r="G991" s="165"/>
      <c r="H991" s="163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64"/>
      <c r="G992" s="165"/>
      <c r="H992" s="163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64"/>
      <c r="G993" s="165"/>
      <c r="H993" s="163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64"/>
      <c r="G994" s="165"/>
      <c r="H994" s="163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64"/>
      <c r="G995" s="165"/>
      <c r="H995" s="163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64"/>
      <c r="G996" s="165"/>
      <c r="H996" s="163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64"/>
      <c r="G997" s="165"/>
      <c r="H997" s="163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64"/>
      <c r="G998" s="165"/>
      <c r="H998" s="163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64"/>
      <c r="G999" s="165"/>
      <c r="H999" s="163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64"/>
      <c r="G1000" s="165"/>
      <c r="H1000" s="163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64"/>
      <c r="G1001" s="165"/>
      <c r="H1001" s="163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1"/>
      <c r="D1002" s="1"/>
      <c r="E1002" s="1"/>
      <c r="F1002" s="164"/>
      <c r="G1002" s="165"/>
      <c r="H1002" s="163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1"/>
      <c r="D1003" s="1"/>
      <c r="E1003" s="1"/>
      <c r="F1003" s="164"/>
      <c r="G1003" s="165"/>
      <c r="H1003" s="163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1"/>
      <c r="D1004" s="1"/>
      <c r="E1004" s="1"/>
      <c r="F1004" s="164"/>
      <c r="G1004" s="165"/>
      <c r="H1004" s="163"/>
      <c r="J1004" s="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1"/>
      <c r="D1005" s="1"/>
      <c r="E1005" s="1"/>
      <c r="F1005" s="164"/>
      <c r="G1005" s="165"/>
      <c r="H1005" s="163"/>
      <c r="J1005" s="2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x14ac:dyDescent="0.2">
      <c r="A1006" s="1"/>
      <c r="B1006" s="1"/>
      <c r="C1006" s="1"/>
      <c r="D1006" s="1"/>
      <c r="E1006" s="1"/>
      <c r="F1006" s="164"/>
      <c r="G1006" s="165"/>
      <c r="H1006" s="163"/>
      <c r="J1006" s="2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x14ac:dyDescent="0.2">
      <c r="A1007" s="1"/>
      <c r="B1007" s="1"/>
      <c r="C1007" s="1"/>
      <c r="D1007" s="1"/>
      <c r="E1007" s="1"/>
      <c r="F1007" s="164"/>
      <c r="G1007" s="165"/>
      <c r="H1007" s="163"/>
      <c r="J1007" s="2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x14ac:dyDescent="0.2">
      <c r="A1008" s="1"/>
      <c r="B1008" s="1"/>
      <c r="C1008" s="1"/>
      <c r="D1008" s="1"/>
      <c r="E1008" s="1"/>
      <c r="F1008" s="164"/>
      <c r="G1008" s="165"/>
      <c r="H1008" s="163"/>
      <c r="J1008" s="2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x14ac:dyDescent="0.2">
      <c r="A1009" s="1"/>
      <c r="B1009" s="1"/>
      <c r="C1009" s="1"/>
      <c r="D1009" s="1"/>
      <c r="E1009" s="1"/>
      <c r="F1009" s="164"/>
      <c r="G1009" s="165"/>
      <c r="H1009" s="163"/>
      <c r="J1009" s="2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x14ac:dyDescent="0.2">
      <c r="A1010" s="1"/>
      <c r="B1010" s="1"/>
      <c r="C1010" s="1"/>
      <c r="D1010" s="1"/>
      <c r="E1010" s="1"/>
      <c r="F1010" s="164"/>
      <c r="G1010" s="165"/>
      <c r="H1010" s="163"/>
      <c r="J1010" s="2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x14ac:dyDescent="0.2">
      <c r="A1011" s="1"/>
      <c r="B1011" s="1"/>
      <c r="C1011" s="1"/>
      <c r="D1011" s="1"/>
      <c r="E1011" s="1"/>
      <c r="F1011" s="164"/>
      <c r="G1011" s="165"/>
      <c r="H1011" s="163"/>
      <c r="J1011" s="2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x14ac:dyDescent="0.2">
      <c r="A1012" s="1"/>
      <c r="B1012" s="1"/>
      <c r="C1012" s="1"/>
      <c r="D1012" s="1"/>
      <c r="E1012" s="1"/>
      <c r="F1012" s="164"/>
      <c r="G1012" s="165"/>
      <c r="H1012" s="163"/>
      <c r="J1012" s="2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x14ac:dyDescent="0.2">
      <c r="A1013" s="1"/>
      <c r="B1013" s="1"/>
      <c r="C1013" s="1"/>
      <c r="D1013" s="1"/>
      <c r="E1013" s="1"/>
      <c r="F1013" s="164"/>
      <c r="G1013" s="165"/>
      <c r="H1013" s="163"/>
      <c r="J1013" s="2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x14ac:dyDescent="0.2">
      <c r="A1014" s="1"/>
      <c r="B1014" s="1"/>
      <c r="C1014" s="1"/>
      <c r="D1014" s="1"/>
      <c r="E1014" s="1"/>
      <c r="F1014" s="164"/>
      <c r="G1014" s="165"/>
      <c r="H1014" s="163"/>
      <c r="J1014" s="2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x14ac:dyDescent="0.2">
      <c r="A1015" s="1"/>
      <c r="B1015" s="1"/>
      <c r="C1015" s="1"/>
      <c r="D1015" s="1"/>
      <c r="E1015" s="1"/>
      <c r="F1015" s="164"/>
      <c r="G1015" s="165"/>
      <c r="H1015" s="163"/>
      <c r="J1015" s="2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x14ac:dyDescent="0.2">
      <c r="A1016" s="1"/>
      <c r="B1016" s="1"/>
      <c r="C1016" s="1"/>
      <c r="D1016" s="1"/>
      <c r="E1016" s="1"/>
      <c r="F1016" s="164"/>
      <c r="G1016" s="165"/>
      <c r="H1016" s="163"/>
      <c r="J1016" s="2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x14ac:dyDescent="0.2">
      <c r="A1017" s="1"/>
      <c r="B1017" s="1"/>
      <c r="C1017" s="1"/>
      <c r="D1017" s="1"/>
      <c r="E1017" s="1"/>
      <c r="F1017" s="164"/>
      <c r="G1017" s="165"/>
      <c r="H1017" s="163"/>
      <c r="J1017" s="2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x14ac:dyDescent="0.2">
      <c r="A1018" s="1"/>
      <c r="B1018" s="1"/>
      <c r="C1018" s="1"/>
      <c r="D1018" s="1"/>
      <c r="E1018" s="1"/>
      <c r="F1018" s="164"/>
      <c r="G1018" s="165"/>
      <c r="H1018" s="163"/>
      <c r="J1018" s="2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x14ac:dyDescent="0.2">
      <c r="A1019" s="1"/>
      <c r="B1019" s="1"/>
      <c r="C1019" s="1"/>
      <c r="D1019" s="1"/>
      <c r="E1019" s="1"/>
      <c r="F1019" s="164"/>
      <c r="G1019" s="165"/>
      <c r="H1019" s="163"/>
      <c r="J1019" s="2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x14ac:dyDescent="0.2">
      <c r="A1020" s="1"/>
      <c r="B1020" s="1"/>
      <c r="C1020" s="1"/>
      <c r="D1020" s="1"/>
      <c r="E1020" s="1"/>
      <c r="F1020" s="164"/>
      <c r="G1020" s="165"/>
      <c r="H1020" s="163"/>
      <c r="J1020" s="2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x14ac:dyDescent="0.2">
      <c r="A1021" s="1"/>
      <c r="B1021" s="1"/>
      <c r="C1021" s="1"/>
      <c r="D1021" s="1"/>
      <c r="E1021" s="1"/>
      <c r="F1021" s="164"/>
      <c r="G1021" s="165"/>
      <c r="H1021" s="163"/>
      <c r="J1021" s="2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x14ac:dyDescent="0.2">
      <c r="A1022" s="1"/>
      <c r="B1022" s="1"/>
      <c r="C1022" s="1"/>
      <c r="D1022" s="1"/>
      <c r="E1022" s="1"/>
      <c r="F1022" s="164"/>
      <c r="G1022" s="165"/>
      <c r="H1022" s="163"/>
      <c r="J1022" s="2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x14ac:dyDescent="0.2">
      <c r="A1023" s="1"/>
      <c r="B1023" s="1"/>
      <c r="C1023" s="1"/>
      <c r="D1023" s="1"/>
      <c r="E1023" s="1"/>
      <c r="F1023" s="164"/>
      <c r="G1023" s="165"/>
      <c r="H1023" s="163"/>
      <c r="J1023" s="2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x14ac:dyDescent="0.2">
      <c r="A1024" s="1"/>
      <c r="B1024" s="1"/>
      <c r="C1024" s="1"/>
      <c r="D1024" s="1"/>
      <c r="E1024" s="1"/>
      <c r="F1024" s="164"/>
      <c r="G1024" s="165"/>
      <c r="H1024" s="163"/>
      <c r="J1024" s="2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x14ac:dyDescent="0.2">
      <c r="A1025" s="1"/>
      <c r="B1025" s="1"/>
      <c r="C1025" s="1"/>
      <c r="D1025" s="1"/>
      <c r="E1025" s="1"/>
      <c r="F1025" s="164"/>
      <c r="G1025" s="165"/>
      <c r="H1025" s="163"/>
      <c r="J1025" s="2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x14ac:dyDescent="0.2">
      <c r="A1026" s="1"/>
      <c r="B1026" s="1"/>
      <c r="C1026" s="1"/>
      <c r="D1026" s="1"/>
      <c r="E1026" s="1"/>
      <c r="F1026" s="164"/>
      <c r="G1026" s="165"/>
      <c r="H1026" s="163"/>
      <c r="J1026" s="2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x14ac:dyDescent="0.2">
      <c r="A1027" s="1"/>
      <c r="B1027" s="1"/>
      <c r="C1027" s="1"/>
      <c r="D1027" s="1"/>
      <c r="E1027" s="1"/>
      <c r="F1027" s="164"/>
      <c r="G1027" s="165"/>
      <c r="H1027" s="163"/>
      <c r="J1027" s="2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x14ac:dyDescent="0.2">
      <c r="A1028" s="1"/>
      <c r="B1028" s="1"/>
      <c r="C1028" s="1"/>
      <c r="D1028" s="1"/>
      <c r="E1028" s="1"/>
      <c r="F1028" s="164"/>
      <c r="G1028" s="165"/>
      <c r="H1028" s="163"/>
      <c r="J1028" s="2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x14ac:dyDescent="0.2">
      <c r="A1029" s="1"/>
      <c r="B1029" s="1"/>
      <c r="C1029" s="1"/>
      <c r="D1029" s="1"/>
      <c r="E1029" s="1"/>
      <c r="F1029" s="164"/>
      <c r="G1029" s="165"/>
      <c r="H1029" s="163"/>
      <c r="J1029" s="2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x14ac:dyDescent="0.2">
      <c r="A1030" s="1"/>
      <c r="B1030" s="1"/>
      <c r="C1030" s="1"/>
      <c r="D1030" s="1"/>
      <c r="E1030" s="1"/>
      <c r="F1030" s="164"/>
      <c r="G1030" s="165"/>
      <c r="H1030" s="163"/>
      <c r="J1030" s="2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x14ac:dyDescent="0.2">
      <c r="A1031" s="1"/>
      <c r="B1031" s="1"/>
      <c r="C1031" s="1"/>
      <c r="D1031" s="1"/>
      <c r="E1031" s="1"/>
      <c r="F1031" s="164"/>
      <c r="G1031" s="165"/>
      <c r="H1031" s="163"/>
      <c r="J1031" s="2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x14ac:dyDescent="0.2">
      <c r="A1032" s="1"/>
      <c r="B1032" s="1"/>
      <c r="C1032" s="1"/>
      <c r="D1032" s="1"/>
      <c r="E1032" s="1"/>
      <c r="F1032" s="164"/>
      <c r="G1032" s="165"/>
      <c r="H1032" s="163"/>
      <c r="J1032" s="2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x14ac:dyDescent="0.2">
      <c r="A1033" s="1"/>
      <c r="B1033" s="1"/>
      <c r="C1033" s="1"/>
      <c r="D1033" s="1"/>
      <c r="E1033" s="1"/>
      <c r="F1033" s="164"/>
      <c r="G1033" s="165"/>
      <c r="H1033" s="163"/>
      <c r="J1033" s="2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x14ac:dyDescent="0.2">
      <c r="A1034" s="1"/>
      <c r="B1034" s="1"/>
      <c r="C1034" s="1"/>
      <c r="D1034" s="1"/>
      <c r="E1034" s="1"/>
      <c r="F1034" s="164"/>
      <c r="G1034" s="165"/>
      <c r="H1034" s="163"/>
      <c r="J1034" s="2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x14ac:dyDescent="0.2">
      <c r="A1035" s="1"/>
      <c r="B1035" s="1"/>
      <c r="C1035" s="1"/>
      <c r="D1035" s="1"/>
      <c r="E1035" s="1"/>
      <c r="F1035" s="164"/>
      <c r="G1035" s="165"/>
      <c r="H1035" s="163"/>
      <c r="J1035" s="2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x14ac:dyDescent="0.2">
      <c r="A1036" s="1"/>
      <c r="B1036" s="1"/>
      <c r="C1036" s="1"/>
      <c r="D1036" s="1"/>
      <c r="E1036" s="1"/>
      <c r="F1036" s="164"/>
      <c r="G1036" s="165"/>
      <c r="H1036" s="163"/>
      <c r="J1036" s="2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x14ac:dyDescent="0.2">
      <c r="A1037" s="1"/>
      <c r="B1037" s="1"/>
      <c r="C1037" s="1"/>
      <c r="D1037" s="1"/>
      <c r="E1037" s="1"/>
      <c r="F1037" s="164"/>
      <c r="G1037" s="165"/>
      <c r="H1037" s="163"/>
      <c r="J1037" s="2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x14ac:dyDescent="0.2">
      <c r="A1038" s="1"/>
      <c r="B1038" s="1"/>
      <c r="C1038" s="1"/>
      <c r="D1038" s="1"/>
      <c r="E1038" s="1"/>
      <c r="F1038" s="164"/>
      <c r="G1038" s="165"/>
      <c r="H1038" s="163"/>
      <c r="J1038" s="2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x14ac:dyDescent="0.2">
      <c r="A1039" s="1"/>
      <c r="B1039" s="1"/>
      <c r="C1039" s="1"/>
      <c r="D1039" s="1"/>
      <c r="E1039" s="1"/>
      <c r="F1039" s="164"/>
      <c r="G1039" s="165"/>
      <c r="H1039" s="163"/>
      <c r="J1039" s="2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x14ac:dyDescent="0.2">
      <c r="A1040" s="1"/>
      <c r="B1040" s="1"/>
      <c r="C1040" s="1"/>
      <c r="D1040" s="1"/>
      <c r="E1040" s="1"/>
      <c r="F1040" s="164"/>
      <c r="G1040" s="165"/>
      <c r="H1040" s="163"/>
      <c r="J1040" s="2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x14ac:dyDescent="0.2">
      <c r="A1041" s="1"/>
      <c r="B1041" s="1"/>
      <c r="C1041" s="1"/>
      <c r="D1041" s="1"/>
      <c r="E1041" s="1"/>
      <c r="F1041" s="164"/>
      <c r="G1041" s="165"/>
      <c r="H1041" s="163"/>
      <c r="J1041" s="2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x14ac:dyDescent="0.2">
      <c r="A1042" s="1"/>
      <c r="B1042" s="1"/>
      <c r="C1042" s="1"/>
      <c r="D1042" s="1"/>
      <c r="E1042" s="1"/>
      <c r="F1042" s="164"/>
      <c r="G1042" s="165"/>
      <c r="H1042" s="163"/>
      <c r="J1042" s="2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x14ac:dyDescent="0.2">
      <c r="A1043" s="1"/>
      <c r="B1043" s="1"/>
      <c r="C1043" s="1"/>
      <c r="D1043" s="1"/>
      <c r="E1043" s="1"/>
      <c r="F1043" s="164"/>
      <c r="G1043" s="165"/>
      <c r="H1043" s="163"/>
      <c r="J1043" s="2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x14ac:dyDescent="0.2">
      <c r="A1044" s="1"/>
      <c r="B1044" s="1"/>
      <c r="C1044" s="1"/>
      <c r="D1044" s="1"/>
      <c r="E1044" s="1"/>
      <c r="F1044" s="164"/>
      <c r="G1044" s="165"/>
      <c r="H1044" s="163"/>
      <c r="J1044" s="2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x14ac:dyDescent="0.2">
      <c r="A1045" s="1"/>
      <c r="B1045" s="1"/>
      <c r="C1045" s="1"/>
      <c r="D1045" s="1"/>
      <c r="E1045" s="1"/>
      <c r="F1045" s="164"/>
      <c r="G1045" s="165"/>
      <c r="H1045" s="163"/>
      <c r="J1045" s="2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x14ac:dyDescent="0.2">
      <c r="A1046" s="1"/>
      <c r="B1046" s="1"/>
      <c r="C1046" s="1"/>
      <c r="D1046" s="1"/>
      <c r="E1046" s="1"/>
      <c r="F1046" s="164"/>
      <c r="G1046" s="165"/>
      <c r="H1046" s="163"/>
      <c r="J1046" s="2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x14ac:dyDescent="0.2">
      <c r="A1047" s="1"/>
      <c r="B1047" s="1"/>
      <c r="C1047" s="1"/>
      <c r="D1047" s="1"/>
      <c r="E1047" s="1"/>
      <c r="F1047" s="164"/>
      <c r="G1047" s="165"/>
      <c r="H1047" s="163"/>
      <c r="J1047" s="2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x14ac:dyDescent="0.2">
      <c r="A1048" s="1"/>
      <c r="B1048" s="1"/>
      <c r="C1048" s="1"/>
      <c r="D1048" s="1"/>
      <c r="E1048" s="1"/>
      <c r="F1048" s="164"/>
      <c r="G1048" s="165"/>
      <c r="H1048" s="163"/>
      <c r="J1048" s="2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x14ac:dyDescent="0.2">
      <c r="A1049" s="1"/>
      <c r="B1049" s="1"/>
      <c r="C1049" s="1"/>
      <c r="D1049" s="1"/>
      <c r="E1049" s="1"/>
      <c r="F1049" s="164"/>
      <c r="G1049" s="165"/>
      <c r="H1049" s="163"/>
      <c r="J1049" s="2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x14ac:dyDescent="0.2">
      <c r="A1050" s="1"/>
      <c r="B1050" s="1"/>
      <c r="C1050" s="1"/>
      <c r="D1050" s="1"/>
      <c r="E1050" s="1"/>
      <c r="F1050" s="164"/>
      <c r="G1050" s="165"/>
      <c r="H1050" s="163"/>
      <c r="J1050" s="2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x14ac:dyDescent="0.2">
      <c r="A1051" s="1"/>
      <c r="B1051" s="1"/>
      <c r="C1051" s="1"/>
      <c r="D1051" s="1"/>
      <c r="E1051" s="1"/>
      <c r="F1051" s="164"/>
      <c r="G1051" s="165"/>
      <c r="H1051" s="163"/>
      <c r="J1051" s="2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x14ac:dyDescent="0.2">
      <c r="A1052" s="1"/>
      <c r="B1052" s="1"/>
      <c r="C1052" s="1"/>
      <c r="D1052" s="1"/>
      <c r="E1052" s="1"/>
      <c r="F1052" s="164"/>
      <c r="G1052" s="165"/>
      <c r="H1052" s="163"/>
      <c r="J1052" s="2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x14ac:dyDescent="0.2">
      <c r="A1053" s="1"/>
      <c r="B1053" s="1"/>
      <c r="C1053" s="1"/>
      <c r="D1053" s="1"/>
      <c r="E1053" s="1"/>
      <c r="F1053" s="164"/>
      <c r="G1053" s="165"/>
      <c r="H1053" s="163"/>
      <c r="J1053" s="2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x14ac:dyDescent="0.2">
      <c r="A1054" s="1"/>
      <c r="B1054" s="1"/>
      <c r="C1054" s="1"/>
      <c r="D1054" s="1"/>
      <c r="E1054" s="1"/>
      <c r="F1054" s="164"/>
      <c r="G1054" s="165"/>
      <c r="H1054" s="163"/>
      <c r="J1054" s="2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x14ac:dyDescent="0.2">
      <c r="A1055" s="1"/>
      <c r="B1055" s="1"/>
      <c r="C1055" s="1"/>
      <c r="D1055" s="1"/>
      <c r="E1055" s="1"/>
      <c r="F1055" s="164"/>
      <c r="G1055" s="165"/>
      <c r="H1055" s="163"/>
      <c r="J1055" s="2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x14ac:dyDescent="0.2">
      <c r="A1056" s="1"/>
      <c r="B1056" s="1"/>
      <c r="C1056" s="1"/>
      <c r="D1056" s="1"/>
      <c r="E1056" s="1"/>
      <c r="F1056" s="164"/>
      <c r="G1056" s="165"/>
      <c r="H1056" s="163"/>
      <c r="J1056" s="2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x14ac:dyDescent="0.2">
      <c r="A1057" s="1"/>
      <c r="B1057" s="1"/>
      <c r="C1057" s="1"/>
      <c r="D1057" s="1"/>
      <c r="E1057" s="1"/>
      <c r="F1057" s="164"/>
      <c r="G1057" s="165"/>
      <c r="H1057" s="163"/>
      <c r="J1057" s="2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x14ac:dyDescent="0.2">
      <c r="A1058" s="1"/>
      <c r="B1058" s="1"/>
      <c r="C1058" s="1"/>
      <c r="D1058" s="1"/>
      <c r="E1058" s="1"/>
      <c r="F1058" s="164"/>
      <c r="G1058" s="165"/>
      <c r="H1058" s="163"/>
      <c r="J1058" s="2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x14ac:dyDescent="0.2">
      <c r="A1059" s="1"/>
      <c r="B1059" s="1"/>
      <c r="C1059" s="1"/>
      <c r="D1059" s="1"/>
      <c r="E1059" s="1"/>
      <c r="F1059" s="164"/>
      <c r="G1059" s="165"/>
      <c r="H1059" s="163"/>
      <c r="J1059" s="2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x14ac:dyDescent="0.2">
      <c r="A1060" s="1"/>
      <c r="B1060" s="1"/>
      <c r="C1060" s="1"/>
      <c r="D1060" s="1"/>
      <c r="E1060" s="1"/>
      <c r="F1060" s="164"/>
      <c r="G1060" s="165"/>
      <c r="H1060" s="163"/>
      <c r="J1060" s="2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x14ac:dyDescent="0.2">
      <c r="A1061" s="1"/>
      <c r="B1061" s="1"/>
      <c r="C1061" s="1"/>
      <c r="D1061" s="1"/>
      <c r="E1061" s="1"/>
      <c r="F1061" s="164"/>
      <c r="G1061" s="165"/>
      <c r="H1061" s="163"/>
      <c r="J1061" s="2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x14ac:dyDescent="0.2">
      <c r="A1062" s="1"/>
      <c r="B1062" s="1"/>
      <c r="C1062" s="1"/>
      <c r="D1062" s="1"/>
      <c r="E1062" s="1"/>
      <c r="F1062" s="164"/>
      <c r="G1062" s="165"/>
      <c r="H1062" s="163"/>
      <c r="J1062" s="2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x14ac:dyDescent="0.2">
      <c r="A1063" s="1"/>
      <c r="B1063" s="1"/>
      <c r="C1063" s="1"/>
      <c r="D1063" s="1"/>
      <c r="E1063" s="1"/>
      <c r="F1063" s="164"/>
      <c r="G1063" s="165"/>
      <c r="H1063" s="163"/>
      <c r="J1063" s="2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x14ac:dyDescent="0.2">
      <c r="A1064" s="1"/>
      <c r="B1064" s="1"/>
      <c r="C1064" s="1"/>
      <c r="D1064" s="1"/>
      <c r="E1064" s="1"/>
      <c r="F1064" s="164"/>
      <c r="G1064" s="165"/>
      <c r="H1064" s="163"/>
      <c r="J1064" s="2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x14ac:dyDescent="0.2">
      <c r="A1065" s="1"/>
      <c r="B1065" s="1"/>
      <c r="C1065" s="1"/>
      <c r="D1065" s="1"/>
      <c r="E1065" s="1"/>
      <c r="F1065" s="164"/>
      <c r="G1065" s="165"/>
      <c r="H1065" s="163"/>
      <c r="J1065" s="2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x14ac:dyDescent="0.2">
      <c r="A1066" s="1"/>
      <c r="B1066" s="1"/>
      <c r="C1066" s="1"/>
      <c r="D1066" s="1"/>
      <c r="E1066" s="1"/>
      <c r="F1066" s="164"/>
      <c r="G1066" s="165"/>
      <c r="H1066" s="163"/>
      <c r="J1066" s="2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x14ac:dyDescent="0.2">
      <c r="A1067" s="1"/>
      <c r="B1067" s="1"/>
      <c r="C1067" s="1"/>
      <c r="D1067" s="1"/>
      <c r="E1067" s="1"/>
      <c r="F1067" s="164"/>
      <c r="G1067" s="165"/>
      <c r="H1067" s="163"/>
      <c r="J1067" s="2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x14ac:dyDescent="0.2">
      <c r="A1068" s="1"/>
      <c r="B1068" s="1"/>
      <c r="C1068" s="1"/>
      <c r="D1068" s="1"/>
      <c r="E1068" s="1"/>
      <c r="F1068" s="164"/>
      <c r="G1068" s="165"/>
      <c r="H1068" s="163"/>
      <c r="J1068" s="2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x14ac:dyDescent="0.2">
      <c r="A1069" s="1"/>
      <c r="B1069" s="1"/>
      <c r="C1069" s="1"/>
      <c r="D1069" s="1"/>
      <c r="E1069" s="1"/>
      <c r="F1069" s="164"/>
      <c r="G1069" s="165"/>
      <c r="H1069" s="163"/>
      <c r="J1069" s="2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x14ac:dyDescent="0.2">
      <c r="A1070" s="1"/>
      <c r="B1070" s="1"/>
      <c r="C1070" s="1"/>
      <c r="D1070" s="1"/>
      <c r="E1070" s="1"/>
      <c r="F1070" s="164"/>
      <c r="G1070" s="165"/>
      <c r="H1070" s="163"/>
      <c r="J1070" s="2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x14ac:dyDescent="0.2">
      <c r="A1071" s="1"/>
      <c r="B1071" s="1"/>
      <c r="C1071" s="1"/>
      <c r="D1071" s="1"/>
      <c r="E1071" s="1"/>
      <c r="F1071" s="164"/>
      <c r="G1071" s="165"/>
      <c r="H1071" s="163"/>
      <c r="J1071" s="2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x14ac:dyDescent="0.2">
      <c r="A1072" s="1"/>
      <c r="B1072" s="1"/>
      <c r="C1072" s="1"/>
      <c r="D1072" s="1"/>
      <c r="E1072" s="1"/>
      <c r="F1072" s="164"/>
      <c r="G1072" s="165"/>
      <c r="H1072" s="163"/>
      <c r="J1072" s="2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75" x14ac:dyDescent="0.2">
      <c r="A1073" s="1"/>
      <c r="B1073" s="1"/>
      <c r="C1073" s="1"/>
      <c r="D1073" s="1"/>
      <c r="E1073" s="1"/>
      <c r="F1073" s="164"/>
      <c r="G1073" s="165"/>
      <c r="H1073" s="163"/>
      <c r="J1073" s="2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75" x14ac:dyDescent="0.2">
      <c r="A1074" s="1"/>
      <c r="B1074" s="1"/>
      <c r="C1074" s="1"/>
      <c r="D1074" s="1"/>
      <c r="E1074" s="1"/>
      <c r="F1074" s="164"/>
      <c r="G1074" s="165"/>
      <c r="H1074" s="163"/>
      <c r="J1074" s="2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2.75" x14ac:dyDescent="0.2">
      <c r="A1075" s="1"/>
      <c r="B1075" s="1"/>
      <c r="C1075" s="1"/>
      <c r="D1075" s="1"/>
      <c r="E1075" s="1"/>
      <c r="F1075" s="164"/>
      <c r="G1075" s="165"/>
      <c r="H1075" s="163"/>
      <c r="J1075" s="2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2.75" x14ac:dyDescent="0.2">
      <c r="A1076" s="1"/>
      <c r="B1076" s="1"/>
      <c r="C1076" s="1"/>
      <c r="D1076" s="1"/>
      <c r="E1076" s="1"/>
      <c r="F1076" s="164"/>
      <c r="G1076" s="165"/>
      <c r="H1076" s="163"/>
      <c r="J1076" s="2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2.75" x14ac:dyDescent="0.2">
      <c r="A1077" s="1"/>
      <c r="B1077" s="1"/>
      <c r="C1077" s="1"/>
      <c r="D1077" s="1"/>
      <c r="E1077" s="1"/>
      <c r="F1077" s="164"/>
      <c r="G1077" s="165"/>
      <c r="H1077" s="163"/>
      <c r="J1077" s="2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2.75" x14ac:dyDescent="0.2">
      <c r="A1078" s="1"/>
      <c r="B1078" s="1"/>
      <c r="C1078" s="1"/>
      <c r="D1078" s="1"/>
      <c r="E1078" s="1"/>
      <c r="F1078" s="164"/>
      <c r="G1078" s="165"/>
      <c r="H1078" s="163"/>
      <c r="J1078" s="2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2.75" x14ac:dyDescent="0.2">
      <c r="A1079" s="1"/>
      <c r="B1079" s="1"/>
      <c r="C1079" s="1"/>
      <c r="D1079" s="1"/>
      <c r="E1079" s="1"/>
      <c r="F1079" s="164"/>
      <c r="G1079" s="165"/>
      <c r="H1079" s="163"/>
      <c r="J1079" s="2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2.75" x14ac:dyDescent="0.2">
      <c r="A1080" s="1"/>
      <c r="B1080" s="1"/>
      <c r="C1080" s="1"/>
      <c r="D1080" s="1"/>
      <c r="E1080" s="1"/>
      <c r="F1080" s="164"/>
      <c r="G1080" s="165"/>
      <c r="H1080" s="163"/>
      <c r="J1080" s="2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2.75" x14ac:dyDescent="0.2">
      <c r="A1081" s="1"/>
      <c r="B1081" s="1"/>
      <c r="C1081" s="1"/>
      <c r="D1081" s="1"/>
      <c r="E1081" s="1"/>
      <c r="F1081" s="164"/>
      <c r="G1081" s="165"/>
      <c r="H1081" s="163"/>
      <c r="J1081" s="2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2.75" x14ac:dyDescent="0.2">
      <c r="A1082" s="1"/>
      <c r="B1082" s="1"/>
      <c r="C1082" s="1"/>
      <c r="D1082" s="1"/>
      <c r="E1082" s="1"/>
      <c r="F1082" s="164"/>
      <c r="G1082" s="165"/>
      <c r="H1082" s="163"/>
      <c r="J1082" s="2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2.75" x14ac:dyDescent="0.2">
      <c r="A1083" s="1"/>
      <c r="B1083" s="1"/>
      <c r="C1083" s="1"/>
      <c r="D1083" s="1"/>
      <c r="E1083" s="1"/>
      <c r="F1083" s="164"/>
      <c r="G1083" s="165"/>
      <c r="H1083" s="163"/>
      <c r="J1083" s="2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2.75" x14ac:dyDescent="0.2">
      <c r="A1084" s="1"/>
      <c r="B1084" s="1"/>
      <c r="C1084" s="1"/>
      <c r="D1084" s="1"/>
      <c r="E1084" s="1"/>
      <c r="F1084" s="164"/>
      <c r="G1084" s="165"/>
      <c r="H1084" s="163"/>
      <c r="J1084" s="2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2.75" x14ac:dyDescent="0.2">
      <c r="A1085" s="1"/>
      <c r="B1085" s="1"/>
      <c r="C1085" s="1"/>
      <c r="D1085" s="1"/>
      <c r="E1085" s="1"/>
      <c r="F1085" s="164"/>
      <c r="G1085" s="165"/>
      <c r="H1085" s="163"/>
      <c r="J1085" s="2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2.75" x14ac:dyDescent="0.2">
      <c r="A1086" s="1"/>
      <c r="B1086" s="1"/>
      <c r="C1086" s="1"/>
      <c r="D1086" s="1"/>
      <c r="E1086" s="1"/>
      <c r="F1086" s="164"/>
      <c r="G1086" s="165"/>
      <c r="H1086" s="163"/>
      <c r="J1086" s="2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2.75" x14ac:dyDescent="0.2">
      <c r="A1087" s="1"/>
      <c r="B1087" s="1"/>
      <c r="C1087" s="1"/>
      <c r="D1087" s="1"/>
      <c r="E1087" s="1"/>
      <c r="F1087" s="164"/>
      <c r="G1087" s="165"/>
      <c r="H1087" s="163"/>
      <c r="J1087" s="2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2.75" x14ac:dyDescent="0.2">
      <c r="A1088" s="1"/>
      <c r="B1088" s="1"/>
      <c r="C1088" s="1"/>
      <c r="D1088" s="1"/>
      <c r="E1088" s="1"/>
      <c r="F1088" s="164"/>
      <c r="G1088" s="165"/>
      <c r="H1088" s="163"/>
      <c r="J1088" s="2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2.75" x14ac:dyDescent="0.2">
      <c r="A1089" s="1"/>
      <c r="B1089" s="1"/>
      <c r="C1089" s="1"/>
      <c r="D1089" s="1"/>
      <c r="E1089" s="1"/>
      <c r="F1089" s="164"/>
      <c r="G1089" s="165"/>
      <c r="H1089" s="163"/>
      <c r="J1089" s="2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2.75" x14ac:dyDescent="0.2">
      <c r="A1090" s="1"/>
      <c r="B1090" s="1"/>
      <c r="C1090" s="1"/>
      <c r="D1090" s="1"/>
      <c r="E1090" s="1"/>
      <c r="F1090" s="164"/>
      <c r="G1090" s="165"/>
      <c r="H1090" s="163"/>
      <c r="J1090" s="2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2.75" x14ac:dyDescent="0.2">
      <c r="A1091" s="1"/>
      <c r="B1091" s="1"/>
      <c r="C1091" s="1"/>
      <c r="D1091" s="1"/>
      <c r="E1091" s="1"/>
      <c r="F1091" s="164"/>
      <c r="G1091" s="165"/>
      <c r="H1091" s="163"/>
      <c r="J1091" s="2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2.75" x14ac:dyDescent="0.2">
      <c r="A1092" s="1"/>
      <c r="B1092" s="1"/>
      <c r="C1092" s="1"/>
      <c r="D1092" s="1"/>
      <c r="E1092" s="1"/>
      <c r="F1092" s="164"/>
      <c r="G1092" s="165"/>
      <c r="H1092" s="163"/>
      <c r="J1092" s="2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2.75" x14ac:dyDescent="0.2">
      <c r="A1093" s="1"/>
      <c r="B1093" s="1"/>
      <c r="C1093" s="1"/>
      <c r="D1093" s="1"/>
      <c r="E1093" s="1"/>
      <c r="F1093" s="164"/>
      <c r="G1093" s="165"/>
      <c r="H1093" s="163"/>
      <c r="J1093" s="2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2.75" x14ac:dyDescent="0.2">
      <c r="A1094" s="1"/>
      <c r="B1094" s="1"/>
      <c r="C1094" s="1"/>
      <c r="D1094" s="1"/>
      <c r="E1094" s="1"/>
      <c r="F1094" s="164"/>
      <c r="G1094" s="165"/>
      <c r="H1094" s="163"/>
      <c r="J1094" s="2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2.75" x14ac:dyDescent="0.2">
      <c r="A1095" s="1"/>
      <c r="B1095" s="1"/>
      <c r="C1095" s="1"/>
      <c r="D1095" s="1"/>
      <c r="E1095" s="1"/>
      <c r="F1095" s="164"/>
      <c r="G1095" s="165"/>
      <c r="H1095" s="163"/>
      <c r="J1095" s="2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2.75" x14ac:dyDescent="0.2">
      <c r="A1096" s="1"/>
      <c r="B1096" s="1"/>
      <c r="C1096" s="1"/>
      <c r="D1096" s="1"/>
      <c r="E1096" s="1"/>
      <c r="F1096" s="164"/>
      <c r="G1096" s="165"/>
      <c r="H1096" s="163"/>
      <c r="J1096" s="2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2.75" x14ac:dyDescent="0.2">
      <c r="A1097" s="1"/>
      <c r="B1097" s="1"/>
      <c r="C1097" s="1"/>
      <c r="D1097" s="1"/>
      <c r="E1097" s="1"/>
      <c r="F1097" s="164"/>
      <c r="G1097" s="165"/>
      <c r="H1097" s="163"/>
      <c r="J1097" s="2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2.75" x14ac:dyDescent="0.2">
      <c r="A1098" s="1"/>
      <c r="B1098" s="1"/>
      <c r="C1098" s="1"/>
      <c r="D1098" s="1"/>
      <c r="E1098" s="1"/>
      <c r="F1098" s="164"/>
      <c r="G1098" s="165"/>
      <c r="H1098" s="163"/>
      <c r="J1098" s="2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2.75" x14ac:dyDescent="0.2">
      <c r="A1099" s="1"/>
      <c r="B1099" s="1"/>
      <c r="C1099" s="1"/>
      <c r="D1099" s="1"/>
      <c r="E1099" s="1"/>
      <c r="F1099" s="164"/>
      <c r="G1099" s="165"/>
      <c r="H1099" s="163"/>
      <c r="J1099" s="2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2.75" x14ac:dyDescent="0.2">
      <c r="A1100" s="1"/>
      <c r="B1100" s="1"/>
      <c r="C1100" s="1"/>
      <c r="D1100" s="1"/>
      <c r="E1100" s="1"/>
      <c r="F1100" s="164"/>
      <c r="G1100" s="165"/>
      <c r="H1100" s="163"/>
      <c r="J1100" s="2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2.75" x14ac:dyDescent="0.2">
      <c r="A1101" s="1"/>
      <c r="B1101" s="1"/>
      <c r="C1101" s="1"/>
      <c r="D1101" s="1"/>
      <c r="E1101" s="1"/>
      <c r="F1101" s="164"/>
      <c r="G1101" s="165"/>
      <c r="H1101" s="163"/>
      <c r="J1101" s="2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2.75" x14ac:dyDescent="0.2">
      <c r="A1102" s="1"/>
      <c r="B1102" s="1"/>
      <c r="C1102" s="1"/>
      <c r="D1102" s="1"/>
      <c r="E1102" s="1"/>
      <c r="F1102" s="164"/>
      <c r="G1102" s="165"/>
      <c r="H1102" s="163"/>
      <c r="J1102" s="2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2.75" x14ac:dyDescent="0.2">
      <c r="A1103" s="1"/>
      <c r="B1103" s="1"/>
      <c r="C1103" s="1"/>
      <c r="D1103" s="1"/>
      <c r="E1103" s="1"/>
      <c r="F1103" s="164"/>
      <c r="G1103" s="165"/>
      <c r="H1103" s="163"/>
      <c r="J1103" s="2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2.75" x14ac:dyDescent="0.2">
      <c r="A1104" s="1"/>
      <c r="B1104" s="1"/>
      <c r="C1104" s="1"/>
      <c r="D1104" s="1"/>
      <c r="E1104" s="1"/>
      <c r="F1104" s="164"/>
      <c r="G1104" s="165"/>
      <c r="H1104" s="163"/>
      <c r="J1104" s="2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2.75" x14ac:dyDescent="0.2">
      <c r="A1105" s="1"/>
      <c r="B1105" s="1"/>
      <c r="C1105" s="1"/>
      <c r="D1105" s="1"/>
      <c r="E1105" s="1"/>
      <c r="F1105" s="164"/>
      <c r="G1105" s="165"/>
      <c r="H1105" s="163"/>
      <c r="J1105" s="2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2.75" x14ac:dyDescent="0.2">
      <c r="A1106" s="1"/>
      <c r="B1106" s="1"/>
      <c r="C1106" s="1"/>
      <c r="D1106" s="1"/>
      <c r="E1106" s="1"/>
      <c r="F1106" s="164"/>
      <c r="G1106" s="165"/>
      <c r="H1106" s="163"/>
      <c r="J1106" s="2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2.75" x14ac:dyDescent="0.2">
      <c r="A1107" s="1"/>
      <c r="B1107" s="1"/>
      <c r="C1107" s="1"/>
      <c r="D1107" s="1"/>
      <c r="E1107" s="1"/>
      <c r="F1107" s="164"/>
      <c r="G1107" s="165"/>
      <c r="H1107" s="163"/>
      <c r="J1107" s="2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2.75" x14ac:dyDescent="0.2">
      <c r="A1108" s="1"/>
      <c r="B1108" s="1"/>
      <c r="C1108" s="1"/>
      <c r="D1108" s="1"/>
      <c r="E1108" s="1"/>
      <c r="F1108" s="164"/>
      <c r="G1108" s="165"/>
      <c r="H1108" s="163"/>
      <c r="J1108" s="2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2.75" x14ac:dyDescent="0.2">
      <c r="A1109" s="1"/>
      <c r="B1109" s="1"/>
      <c r="C1109" s="1"/>
      <c r="D1109" s="1"/>
      <c r="E1109" s="1"/>
      <c r="F1109" s="164"/>
      <c r="G1109" s="165"/>
      <c r="H1109" s="163"/>
      <c r="J1109" s="2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2.75" x14ac:dyDescent="0.2">
      <c r="A1110" s="1"/>
      <c r="B1110" s="1"/>
      <c r="C1110" s="1"/>
      <c r="D1110" s="1"/>
      <c r="E1110" s="1"/>
      <c r="F1110" s="164"/>
      <c r="G1110" s="165"/>
      <c r="H1110" s="163"/>
      <c r="J1110" s="2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2.75" x14ac:dyDescent="0.2">
      <c r="A1111" s="1"/>
      <c r="B1111" s="1"/>
      <c r="C1111" s="1"/>
      <c r="D1111" s="1"/>
      <c r="E1111" s="1"/>
      <c r="F1111" s="164"/>
      <c r="G1111" s="165"/>
      <c r="H1111" s="163"/>
      <c r="J1111" s="2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2.75" x14ac:dyDescent="0.2">
      <c r="A1112" s="1"/>
      <c r="B1112" s="1"/>
      <c r="C1112" s="1"/>
      <c r="D1112" s="1"/>
      <c r="E1112" s="1"/>
      <c r="F1112" s="164"/>
      <c r="G1112" s="165"/>
      <c r="H1112" s="163"/>
      <c r="J1112" s="2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2.75" x14ac:dyDescent="0.2">
      <c r="A1113" s="1"/>
      <c r="B1113" s="1"/>
      <c r="C1113" s="1"/>
      <c r="D1113" s="1"/>
      <c r="E1113" s="1"/>
      <c r="F1113" s="164"/>
      <c r="G1113" s="165"/>
      <c r="H1113" s="163"/>
      <c r="J1113" s="2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2.75" x14ac:dyDescent="0.2">
      <c r="A1114" s="1"/>
      <c r="B1114" s="1"/>
      <c r="C1114" s="1"/>
      <c r="D1114" s="1"/>
      <c r="E1114" s="1"/>
      <c r="F1114" s="164"/>
      <c r="G1114" s="165"/>
      <c r="H1114" s="163"/>
      <c r="J1114" s="2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2.75" x14ac:dyDescent="0.2">
      <c r="A1115" s="1"/>
      <c r="B1115" s="1"/>
      <c r="C1115" s="1"/>
      <c r="D1115" s="1"/>
      <c r="E1115" s="1"/>
      <c r="F1115" s="164"/>
      <c r="G1115" s="165"/>
      <c r="H1115" s="163"/>
      <c r="J1115" s="2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2.75" x14ac:dyDescent="0.2">
      <c r="A1116" s="1"/>
      <c r="B1116" s="1"/>
      <c r="C1116" s="1"/>
      <c r="D1116" s="1"/>
      <c r="E1116" s="1"/>
      <c r="F1116" s="164"/>
      <c r="G1116" s="165"/>
      <c r="H1116" s="163"/>
      <c r="J1116" s="2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2.75" x14ac:dyDescent="0.2">
      <c r="A1117" s="1"/>
      <c r="B1117" s="1"/>
      <c r="C1117" s="1"/>
      <c r="D1117" s="1"/>
      <c r="E1117" s="1"/>
      <c r="F1117" s="164"/>
      <c r="G1117" s="165"/>
      <c r="H1117" s="163"/>
      <c r="J1117" s="2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2.75" x14ac:dyDescent="0.2">
      <c r="A1118" s="1"/>
      <c r="B1118" s="1"/>
      <c r="C1118" s="1"/>
      <c r="D1118" s="1"/>
      <c r="E1118" s="1"/>
      <c r="F1118" s="164"/>
      <c r="G1118" s="165"/>
      <c r="H1118" s="163"/>
      <c r="J1118" s="2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2.75" x14ac:dyDescent="0.2">
      <c r="A1119" s="1"/>
      <c r="B1119" s="1"/>
      <c r="C1119" s="1"/>
      <c r="D1119" s="1"/>
      <c r="E1119" s="1"/>
      <c r="F1119" s="164"/>
      <c r="G1119" s="165"/>
      <c r="H1119" s="163"/>
      <c r="J1119" s="2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2.75" x14ac:dyDescent="0.2">
      <c r="A1120" s="1"/>
      <c r="B1120" s="1"/>
      <c r="C1120" s="1"/>
      <c r="D1120" s="1"/>
      <c r="E1120" s="1"/>
      <c r="F1120" s="164"/>
      <c r="G1120" s="165"/>
      <c r="H1120" s="163"/>
      <c r="J1120" s="2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2.75" x14ac:dyDescent="0.2">
      <c r="A1121" s="1"/>
      <c r="B1121" s="1"/>
      <c r="C1121" s="1"/>
      <c r="D1121" s="1"/>
      <c r="E1121" s="1"/>
      <c r="F1121" s="164"/>
      <c r="G1121" s="165"/>
      <c r="H1121" s="163"/>
      <c r="J1121" s="2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2.75" x14ac:dyDescent="0.2">
      <c r="A1122" s="1"/>
      <c r="B1122" s="1"/>
      <c r="C1122" s="1"/>
      <c r="D1122" s="1"/>
      <c r="E1122" s="1"/>
      <c r="F1122" s="164"/>
      <c r="G1122" s="165"/>
      <c r="H1122" s="163"/>
      <c r="J1122" s="2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2.75" x14ac:dyDescent="0.2">
      <c r="A1123" s="1"/>
      <c r="B1123" s="1"/>
      <c r="C1123" s="1"/>
      <c r="D1123" s="1"/>
      <c r="E1123" s="1"/>
      <c r="F1123" s="164"/>
      <c r="G1123" s="165"/>
      <c r="H1123" s="163"/>
      <c r="J1123" s="2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2.75" x14ac:dyDescent="0.2">
      <c r="A1124" s="1"/>
      <c r="B1124" s="1"/>
      <c r="C1124" s="1"/>
      <c r="D1124" s="1"/>
      <c r="E1124" s="1"/>
      <c r="F1124" s="164"/>
      <c r="G1124" s="165"/>
      <c r="H1124" s="163"/>
      <c r="J1124" s="2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2.75" x14ac:dyDescent="0.2">
      <c r="A1125" s="1"/>
      <c r="B1125" s="1"/>
      <c r="C1125" s="1"/>
      <c r="D1125" s="1"/>
      <c r="E1125" s="1"/>
      <c r="F1125" s="164"/>
      <c r="G1125" s="165"/>
      <c r="H1125" s="163"/>
      <c r="J1125" s="2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2.75" x14ac:dyDescent="0.2">
      <c r="A1126" s="1"/>
      <c r="B1126" s="1"/>
      <c r="C1126" s="1"/>
      <c r="D1126" s="1"/>
      <c r="E1126" s="1"/>
      <c r="F1126" s="164"/>
      <c r="G1126" s="165"/>
      <c r="H1126" s="163"/>
      <c r="J1126" s="2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2.75" x14ac:dyDescent="0.2">
      <c r="A1127" s="1"/>
      <c r="B1127" s="1"/>
      <c r="C1127" s="1"/>
      <c r="D1127" s="1"/>
      <c r="E1127" s="1"/>
      <c r="F1127" s="164"/>
      <c r="G1127" s="165"/>
      <c r="H1127" s="163"/>
      <c r="J1127" s="2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2.75" x14ac:dyDescent="0.2">
      <c r="A1128" s="1"/>
      <c r="B1128" s="1"/>
      <c r="C1128" s="1"/>
      <c r="D1128" s="1"/>
      <c r="E1128" s="1"/>
      <c r="F1128" s="164"/>
      <c r="G1128" s="165"/>
      <c r="H1128" s="163"/>
      <c r="J1128" s="2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2.75" x14ac:dyDescent="0.2">
      <c r="A1129" s="1"/>
      <c r="B1129" s="1"/>
      <c r="C1129" s="1"/>
      <c r="D1129" s="1"/>
      <c r="E1129" s="1"/>
      <c r="F1129" s="164"/>
      <c r="G1129" s="165"/>
      <c r="H1129" s="163"/>
      <c r="J1129" s="2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2.75" x14ac:dyDescent="0.2">
      <c r="A1130" s="1"/>
      <c r="B1130" s="1"/>
      <c r="C1130" s="1"/>
      <c r="D1130" s="1"/>
      <c r="E1130" s="1"/>
      <c r="F1130" s="164"/>
      <c r="G1130" s="165"/>
      <c r="H1130" s="163"/>
      <c r="J1130" s="2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2.75" x14ac:dyDescent="0.2">
      <c r="A1131" s="1"/>
      <c r="B1131" s="1"/>
      <c r="C1131" s="1"/>
      <c r="D1131" s="1"/>
      <c r="E1131" s="1"/>
      <c r="F1131" s="164"/>
      <c r="G1131" s="165"/>
      <c r="H1131" s="163"/>
      <c r="J1131" s="2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2.75" x14ac:dyDescent="0.2">
      <c r="A1132" s="1"/>
      <c r="B1132" s="1"/>
      <c r="C1132" s="1"/>
      <c r="D1132" s="1"/>
      <c r="E1132" s="1"/>
      <c r="F1132" s="164"/>
      <c r="G1132" s="165"/>
      <c r="H1132" s="163"/>
      <c r="J1132" s="2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2.75" x14ac:dyDescent="0.2">
      <c r="A1133" s="1"/>
      <c r="B1133" s="1"/>
      <c r="C1133" s="1"/>
      <c r="D1133" s="1"/>
      <c r="E1133" s="1"/>
      <c r="F1133" s="164"/>
      <c r="G1133" s="165"/>
      <c r="H1133" s="163"/>
      <c r="J1133" s="2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2.75" x14ac:dyDescent="0.2">
      <c r="A1134" s="1"/>
      <c r="B1134" s="1"/>
      <c r="C1134" s="1"/>
      <c r="D1134" s="1"/>
      <c r="E1134" s="1"/>
      <c r="F1134" s="164"/>
      <c r="G1134" s="165"/>
      <c r="H1134" s="163"/>
      <c r="J1134" s="2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2.75" x14ac:dyDescent="0.2">
      <c r="A1135" s="1"/>
      <c r="B1135" s="1"/>
      <c r="C1135" s="1"/>
      <c r="D1135" s="1"/>
      <c r="E1135" s="1"/>
      <c r="F1135" s="164"/>
      <c r="G1135" s="165"/>
      <c r="H1135" s="163"/>
      <c r="J1135" s="2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2.75" x14ac:dyDescent="0.2">
      <c r="A1136" s="1"/>
      <c r="B1136" s="1"/>
      <c r="C1136" s="1"/>
      <c r="D1136" s="1"/>
      <c r="E1136" s="1"/>
      <c r="F1136" s="164"/>
      <c r="G1136" s="165"/>
      <c r="H1136" s="163"/>
      <c r="J1136" s="2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2.75" x14ac:dyDescent="0.2">
      <c r="A1137" s="1"/>
      <c r="B1137" s="1"/>
      <c r="C1137" s="1"/>
      <c r="D1137" s="1"/>
      <c r="E1137" s="1"/>
      <c r="F1137" s="164"/>
      <c r="G1137" s="165"/>
      <c r="H1137" s="163"/>
      <c r="J1137" s="2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2.75" x14ac:dyDescent="0.2">
      <c r="A1138" s="1"/>
      <c r="B1138" s="1"/>
      <c r="C1138" s="1"/>
      <c r="D1138" s="1"/>
      <c r="E1138" s="1"/>
      <c r="F1138" s="164"/>
      <c r="G1138" s="165"/>
      <c r="H1138" s="163"/>
      <c r="J1138" s="2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2.75" x14ac:dyDescent="0.2">
      <c r="A1139" s="1"/>
      <c r="B1139" s="1"/>
      <c r="C1139" s="1"/>
      <c r="D1139" s="1"/>
      <c r="E1139" s="1"/>
      <c r="F1139" s="164"/>
      <c r="G1139" s="165"/>
      <c r="H1139" s="163"/>
      <c r="J1139" s="2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2.75" x14ac:dyDescent="0.2">
      <c r="A1140" s="1"/>
      <c r="B1140" s="1"/>
      <c r="C1140" s="1"/>
      <c r="D1140" s="1"/>
      <c r="E1140" s="1"/>
      <c r="F1140" s="164"/>
      <c r="G1140" s="165"/>
      <c r="H1140" s="163"/>
      <c r="J1140" s="2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2.75" x14ac:dyDescent="0.2">
      <c r="A1141" s="1"/>
      <c r="B1141" s="1"/>
      <c r="C1141" s="1"/>
      <c r="D1141" s="1"/>
      <c r="E1141" s="1"/>
      <c r="F1141" s="164"/>
      <c r="G1141" s="165"/>
      <c r="H1141" s="163"/>
      <c r="J1141" s="2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2.75" x14ac:dyDescent="0.2">
      <c r="A1142" s="1"/>
      <c r="B1142" s="1"/>
      <c r="C1142" s="1"/>
      <c r="D1142" s="1"/>
      <c r="E1142" s="1"/>
      <c r="F1142" s="164"/>
      <c r="G1142" s="165"/>
      <c r="H1142" s="163"/>
      <c r="J1142" s="2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2.75" x14ac:dyDescent="0.2">
      <c r="A1143" s="1"/>
      <c r="B1143" s="1"/>
      <c r="C1143" s="1"/>
      <c r="D1143" s="1"/>
      <c r="E1143" s="1"/>
      <c r="F1143" s="164"/>
      <c r="G1143" s="165"/>
      <c r="H1143" s="163"/>
      <c r="J1143" s="2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2.75" x14ac:dyDescent="0.2">
      <c r="A1144" s="1"/>
      <c r="B1144" s="1"/>
      <c r="C1144" s="1"/>
      <c r="D1144" s="1"/>
      <c r="E1144" s="1"/>
      <c r="F1144" s="164"/>
      <c r="G1144" s="165"/>
      <c r="H1144" s="163"/>
      <c r="J1144" s="2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2.75" x14ac:dyDescent="0.2">
      <c r="A1145" s="1"/>
      <c r="B1145" s="1"/>
      <c r="C1145" s="1"/>
      <c r="D1145" s="1"/>
      <c r="E1145" s="1"/>
      <c r="F1145" s="164"/>
      <c r="G1145" s="165"/>
      <c r="H1145" s="163"/>
      <c r="J1145" s="2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2.75" x14ac:dyDescent="0.2">
      <c r="A1146" s="1"/>
      <c r="B1146" s="1"/>
      <c r="C1146" s="1"/>
      <c r="D1146" s="1"/>
      <c r="E1146" s="1"/>
      <c r="F1146" s="164"/>
      <c r="G1146" s="165"/>
      <c r="H1146" s="163"/>
      <c r="J1146" s="2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2.75" x14ac:dyDescent="0.2">
      <c r="A1147" s="1"/>
      <c r="B1147" s="1"/>
      <c r="C1147" s="1"/>
      <c r="D1147" s="1"/>
      <c r="E1147" s="1"/>
      <c r="F1147" s="164"/>
      <c r="G1147" s="165"/>
      <c r="H1147" s="163"/>
      <c r="J1147" s="2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2.75" x14ac:dyDescent="0.2">
      <c r="A1148" s="1"/>
      <c r="B1148" s="1"/>
      <c r="C1148" s="1"/>
      <c r="D1148" s="1"/>
      <c r="E1148" s="1"/>
      <c r="F1148" s="164"/>
      <c r="G1148" s="165"/>
      <c r="H1148" s="163"/>
      <c r="J1148" s="2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2.75" x14ac:dyDescent="0.2">
      <c r="A1149" s="1"/>
      <c r="B1149" s="1"/>
      <c r="C1149" s="1"/>
      <c r="D1149" s="1"/>
      <c r="E1149" s="1"/>
      <c r="F1149" s="164"/>
      <c r="G1149" s="165"/>
      <c r="H1149" s="163"/>
      <c r="J1149" s="2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2.75" x14ac:dyDescent="0.2">
      <c r="A1150" s="1"/>
      <c r="B1150" s="1"/>
      <c r="C1150" s="1"/>
      <c r="D1150" s="1"/>
      <c r="E1150" s="1"/>
      <c r="F1150" s="164"/>
      <c r="G1150" s="165"/>
      <c r="H1150" s="163"/>
      <c r="J1150" s="2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2.75" x14ac:dyDescent="0.2">
      <c r="A1151" s="1"/>
      <c r="B1151" s="1"/>
      <c r="C1151" s="1"/>
      <c r="D1151" s="1"/>
      <c r="E1151" s="1"/>
      <c r="F1151" s="164"/>
      <c r="G1151" s="165"/>
      <c r="H1151" s="163"/>
      <c r="J1151" s="2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2.75" x14ac:dyDescent="0.2">
      <c r="A1152" s="1"/>
      <c r="B1152" s="1"/>
      <c r="C1152" s="1"/>
      <c r="D1152" s="1"/>
      <c r="E1152" s="1"/>
      <c r="F1152" s="164"/>
      <c r="G1152" s="165"/>
      <c r="H1152" s="163"/>
      <c r="J1152" s="2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2.75" x14ac:dyDescent="0.2">
      <c r="A1153" s="1"/>
      <c r="B1153" s="1"/>
      <c r="C1153" s="1"/>
      <c r="D1153" s="1"/>
      <c r="E1153" s="1"/>
      <c r="F1153" s="164"/>
      <c r="G1153" s="165"/>
      <c r="H1153" s="163"/>
      <c r="J1153" s="2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2.75" x14ac:dyDescent="0.2">
      <c r="A1154" s="1"/>
      <c r="B1154" s="1"/>
      <c r="C1154" s="1"/>
      <c r="D1154" s="1"/>
      <c r="E1154" s="1"/>
      <c r="F1154" s="164"/>
      <c r="G1154" s="165"/>
      <c r="H1154" s="163"/>
      <c r="J1154" s="2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2.75" x14ac:dyDescent="0.2">
      <c r="A1155" s="1"/>
      <c r="B1155" s="1"/>
      <c r="C1155" s="1"/>
      <c r="D1155" s="1"/>
      <c r="E1155" s="1"/>
      <c r="F1155" s="164"/>
      <c r="G1155" s="165"/>
      <c r="H1155" s="163"/>
      <c r="J1155" s="2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2.75" x14ac:dyDescent="0.2">
      <c r="A1156" s="1"/>
      <c r="B1156" s="1"/>
      <c r="C1156" s="1"/>
      <c r="D1156" s="1"/>
      <c r="E1156" s="1"/>
      <c r="F1156" s="164"/>
      <c r="G1156" s="165"/>
      <c r="H1156" s="163"/>
      <c r="J1156" s="2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2.75" x14ac:dyDescent="0.2">
      <c r="A1157" s="1"/>
      <c r="B1157" s="1"/>
      <c r="C1157" s="1"/>
      <c r="D1157" s="1"/>
      <c r="E1157" s="1"/>
      <c r="F1157" s="164"/>
      <c r="G1157" s="165"/>
      <c r="H1157" s="163"/>
      <c r="J1157" s="2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2.75" x14ac:dyDescent="0.2">
      <c r="A1158" s="1"/>
      <c r="B1158" s="1"/>
      <c r="C1158" s="1"/>
      <c r="D1158" s="1"/>
      <c r="E1158" s="1"/>
      <c r="F1158" s="164"/>
      <c r="G1158" s="165"/>
      <c r="H1158" s="163"/>
      <c r="J1158" s="2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2.75" x14ac:dyDescent="0.2">
      <c r="A1159" s="1"/>
      <c r="B1159" s="1"/>
      <c r="C1159" s="1"/>
      <c r="D1159" s="1"/>
      <c r="E1159" s="1"/>
      <c r="F1159" s="164"/>
      <c r="G1159" s="165"/>
      <c r="H1159" s="163"/>
      <c r="J1159" s="2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2.75" x14ac:dyDescent="0.2">
      <c r="A1160" s="1"/>
      <c r="B1160" s="1"/>
      <c r="C1160" s="1"/>
      <c r="D1160" s="1"/>
      <c r="E1160" s="1"/>
      <c r="F1160" s="164"/>
      <c r="G1160" s="165"/>
      <c r="H1160" s="163"/>
      <c r="J1160" s="2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2.75" x14ac:dyDescent="0.2">
      <c r="A1161" s="1"/>
      <c r="B1161" s="1"/>
      <c r="C1161" s="1"/>
      <c r="D1161" s="1"/>
      <c r="E1161" s="1"/>
      <c r="F1161" s="164"/>
      <c r="G1161" s="165"/>
      <c r="H1161" s="163"/>
      <c r="J1161" s="2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2.75" x14ac:dyDescent="0.2">
      <c r="A1162" s="1"/>
      <c r="B1162" s="1"/>
      <c r="C1162" s="1"/>
      <c r="D1162" s="1"/>
      <c r="E1162" s="1"/>
      <c r="F1162" s="164"/>
      <c r="G1162" s="165"/>
      <c r="H1162" s="163"/>
      <c r="J1162" s="2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2.75" x14ac:dyDescent="0.2">
      <c r="A1163" s="1"/>
      <c r="B1163" s="1"/>
      <c r="C1163" s="1"/>
      <c r="D1163" s="1"/>
      <c r="E1163" s="1"/>
      <c r="F1163" s="164"/>
      <c r="G1163" s="165"/>
      <c r="H1163" s="163"/>
      <c r="J1163" s="2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2.75" x14ac:dyDescent="0.2">
      <c r="A1164" s="1"/>
      <c r="B1164" s="1"/>
      <c r="C1164" s="1"/>
      <c r="D1164" s="1"/>
      <c r="E1164" s="1"/>
      <c r="F1164" s="164"/>
      <c r="G1164" s="165"/>
      <c r="H1164" s="163"/>
      <c r="J1164" s="2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2.75" x14ac:dyDescent="0.2">
      <c r="A1165" s="1"/>
      <c r="B1165" s="1"/>
      <c r="C1165" s="1"/>
      <c r="D1165" s="1"/>
      <c r="E1165" s="1"/>
      <c r="F1165" s="164"/>
      <c r="G1165" s="165"/>
      <c r="H1165" s="163"/>
      <c r="J1165" s="2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2.75" x14ac:dyDescent="0.2">
      <c r="A1166" s="1"/>
      <c r="B1166" s="1"/>
      <c r="C1166" s="1"/>
      <c r="D1166" s="1"/>
      <c r="E1166" s="1"/>
      <c r="F1166" s="164"/>
      <c r="G1166" s="165"/>
      <c r="H1166" s="163"/>
      <c r="J1166" s="2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2.75" x14ac:dyDescent="0.2">
      <c r="A1167" s="1"/>
      <c r="B1167" s="1"/>
      <c r="C1167" s="1"/>
      <c r="D1167" s="1"/>
      <c r="E1167" s="1"/>
      <c r="F1167" s="164"/>
      <c r="G1167" s="165"/>
      <c r="H1167" s="163"/>
      <c r="J1167" s="2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2.75" x14ac:dyDescent="0.2">
      <c r="A1168" s="1"/>
      <c r="B1168" s="1"/>
      <c r="C1168" s="1"/>
      <c r="D1168" s="1"/>
      <c r="E1168" s="1"/>
      <c r="F1168" s="164"/>
      <c r="G1168" s="165"/>
      <c r="H1168" s="163"/>
      <c r="J1168" s="2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2.75" x14ac:dyDescent="0.2">
      <c r="A1169" s="1"/>
      <c r="B1169" s="1"/>
      <c r="C1169" s="1"/>
      <c r="D1169" s="1"/>
      <c r="E1169" s="1"/>
      <c r="F1169" s="164"/>
      <c r="G1169" s="165"/>
      <c r="H1169" s="163"/>
      <c r="J1169" s="2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2.75" x14ac:dyDescent="0.2">
      <c r="A1170" s="1"/>
      <c r="B1170" s="1"/>
      <c r="C1170" s="1"/>
      <c r="D1170" s="1"/>
      <c r="E1170" s="1"/>
      <c r="F1170" s="164"/>
      <c r="G1170" s="165"/>
      <c r="H1170" s="163"/>
      <c r="J1170" s="2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2.75" x14ac:dyDescent="0.2">
      <c r="A1171" s="1"/>
      <c r="B1171" s="1"/>
      <c r="C1171" s="1"/>
      <c r="D1171" s="1"/>
      <c r="E1171" s="1"/>
      <c r="F1171" s="164"/>
      <c r="G1171" s="165"/>
      <c r="H1171" s="163"/>
      <c r="J1171" s="2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2.75" x14ac:dyDescent="0.2">
      <c r="A1172" s="1"/>
      <c r="B1172" s="1"/>
      <c r="C1172" s="1"/>
      <c r="D1172" s="1"/>
      <c r="E1172" s="1"/>
      <c r="F1172" s="164"/>
      <c r="G1172" s="165"/>
      <c r="H1172" s="163"/>
      <c r="J1172" s="2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2.75" x14ac:dyDescent="0.2">
      <c r="A1173" s="1"/>
      <c r="B1173" s="1"/>
      <c r="C1173" s="1"/>
      <c r="D1173" s="1"/>
      <c r="E1173" s="1"/>
      <c r="F1173" s="164"/>
      <c r="G1173" s="165"/>
      <c r="H1173" s="163"/>
      <c r="J1173" s="2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2.75" x14ac:dyDescent="0.2">
      <c r="A1174" s="1"/>
      <c r="B1174" s="1"/>
      <c r="C1174" s="1"/>
      <c r="D1174" s="1"/>
      <c r="E1174" s="1"/>
      <c r="F1174" s="164"/>
      <c r="G1174" s="165"/>
      <c r="H1174" s="163"/>
      <c r="J1174" s="2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2.75" x14ac:dyDescent="0.2">
      <c r="A1175" s="1"/>
      <c r="B1175" s="1"/>
      <c r="C1175" s="1"/>
      <c r="D1175" s="1"/>
      <c r="E1175" s="1"/>
      <c r="F1175" s="164"/>
      <c r="G1175" s="165"/>
      <c r="H1175" s="163"/>
      <c r="J1175" s="2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2.75" x14ac:dyDescent="0.2">
      <c r="A1176" s="1"/>
      <c r="B1176" s="1"/>
      <c r="C1176" s="1"/>
      <c r="D1176" s="1"/>
      <c r="E1176" s="1"/>
      <c r="F1176" s="164"/>
      <c r="G1176" s="165"/>
      <c r="H1176" s="163"/>
      <c r="J1176" s="2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2.75" x14ac:dyDescent="0.2">
      <c r="A1177" s="1"/>
      <c r="B1177" s="1"/>
      <c r="C1177" s="1"/>
      <c r="D1177" s="1"/>
      <c r="E1177" s="1"/>
      <c r="F1177" s="164"/>
      <c r="G1177" s="165"/>
      <c r="H1177" s="163"/>
      <c r="J1177" s="2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2.75" x14ac:dyDescent="0.2">
      <c r="A1178" s="1"/>
      <c r="B1178" s="1"/>
      <c r="C1178" s="1"/>
      <c r="D1178" s="1"/>
      <c r="E1178" s="1"/>
      <c r="F1178" s="164"/>
      <c r="G1178" s="165"/>
      <c r="H1178" s="163"/>
      <c r="J1178" s="2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2.75" x14ac:dyDescent="0.2">
      <c r="A1179" s="1"/>
      <c r="B1179" s="1"/>
      <c r="C1179" s="1"/>
      <c r="D1179" s="1"/>
      <c r="E1179" s="1"/>
      <c r="F1179" s="164"/>
      <c r="G1179" s="165"/>
      <c r="H1179" s="163"/>
      <c r="J1179" s="2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2.75" x14ac:dyDescent="0.2">
      <c r="A1180" s="1"/>
      <c r="B1180" s="1"/>
      <c r="C1180" s="1"/>
      <c r="D1180" s="1"/>
      <c r="E1180" s="1"/>
      <c r="F1180" s="164"/>
      <c r="G1180" s="165"/>
      <c r="H1180" s="163"/>
      <c r="J1180" s="2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2.75" x14ac:dyDescent="0.2">
      <c r="A1181" s="1"/>
      <c r="B1181" s="1"/>
      <c r="C1181" s="1"/>
      <c r="D1181" s="1"/>
      <c r="E1181" s="1"/>
      <c r="F1181" s="164"/>
      <c r="G1181" s="165"/>
      <c r="H1181" s="163"/>
      <c r="J1181" s="2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2.75" x14ac:dyDescent="0.2">
      <c r="A1182" s="1"/>
      <c r="B1182" s="1"/>
      <c r="C1182" s="1"/>
      <c r="D1182" s="1"/>
      <c r="E1182" s="1"/>
      <c r="F1182" s="164"/>
      <c r="G1182" s="165"/>
      <c r="H1182" s="163"/>
      <c r="J1182" s="2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2.75" x14ac:dyDescent="0.2">
      <c r="A1183" s="1"/>
      <c r="B1183" s="1"/>
      <c r="C1183" s="1"/>
      <c r="D1183" s="1"/>
      <c r="E1183" s="1"/>
      <c r="F1183" s="164"/>
      <c r="G1183" s="165"/>
      <c r="H1183" s="163"/>
      <c r="J1183" s="2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2.75" x14ac:dyDescent="0.2">
      <c r="A1184" s="1"/>
      <c r="B1184" s="1"/>
      <c r="C1184" s="1"/>
      <c r="D1184" s="1"/>
      <c r="E1184" s="1"/>
      <c r="F1184" s="164"/>
      <c r="G1184" s="165"/>
      <c r="H1184" s="163"/>
      <c r="J1184" s="2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2.75" x14ac:dyDescent="0.2">
      <c r="A1185" s="1"/>
      <c r="B1185" s="1"/>
      <c r="C1185" s="1"/>
      <c r="D1185" s="1"/>
      <c r="E1185" s="1"/>
      <c r="F1185" s="164"/>
      <c r="G1185" s="165"/>
      <c r="H1185" s="163"/>
      <c r="J1185" s="2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2.75" x14ac:dyDescent="0.2">
      <c r="A1186" s="1"/>
      <c r="B1186" s="1"/>
      <c r="C1186" s="1"/>
      <c r="D1186" s="1"/>
      <c r="E1186" s="1"/>
      <c r="F1186" s="164"/>
      <c r="G1186" s="165"/>
      <c r="H1186" s="163"/>
      <c r="J1186" s="2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2.75" x14ac:dyDescent="0.2">
      <c r="A1187" s="1"/>
      <c r="B1187" s="1"/>
      <c r="C1187" s="1"/>
      <c r="D1187" s="1"/>
      <c r="E1187" s="1"/>
      <c r="F1187" s="164"/>
      <c r="G1187" s="165"/>
      <c r="H1187" s="163"/>
      <c r="J1187" s="2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2.75" x14ac:dyDescent="0.2">
      <c r="A1188" s="1"/>
      <c r="B1188" s="1"/>
      <c r="C1188" s="1"/>
      <c r="D1188" s="1"/>
      <c r="E1188" s="1"/>
      <c r="F1188" s="164"/>
      <c r="G1188" s="165"/>
      <c r="H1188" s="163"/>
      <c r="J1188" s="2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2.75" x14ac:dyDescent="0.2">
      <c r="A1189" s="1"/>
      <c r="B1189" s="1"/>
      <c r="C1189" s="1"/>
      <c r="D1189" s="1"/>
      <c r="E1189" s="1"/>
      <c r="F1189" s="164"/>
      <c r="G1189" s="165"/>
      <c r="H1189" s="163"/>
      <c r="J1189" s="2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2.75" x14ac:dyDescent="0.2">
      <c r="A1190" s="1"/>
      <c r="B1190" s="1"/>
      <c r="C1190" s="1"/>
      <c r="D1190" s="1"/>
      <c r="E1190" s="1"/>
      <c r="F1190" s="164"/>
      <c r="G1190" s="165"/>
      <c r="H1190" s="163"/>
      <c r="J1190" s="2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2.75" x14ac:dyDescent="0.2">
      <c r="A1191" s="1"/>
      <c r="B1191" s="1"/>
      <c r="C1191" s="1"/>
      <c r="D1191" s="1"/>
      <c r="E1191" s="1"/>
      <c r="F1191" s="164"/>
      <c r="G1191" s="165"/>
      <c r="H1191" s="163"/>
      <c r="J1191" s="2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2.75" x14ac:dyDescent="0.2">
      <c r="A1192" s="1"/>
      <c r="B1192" s="1"/>
      <c r="C1192" s="1"/>
      <c r="D1192" s="1"/>
      <c r="E1192" s="1"/>
      <c r="F1192" s="164"/>
      <c r="G1192" s="165"/>
      <c r="H1192" s="163"/>
      <c r="J1192" s="2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2.75" x14ac:dyDescent="0.2">
      <c r="A1193" s="1"/>
      <c r="B1193" s="1"/>
      <c r="C1193" s="1"/>
      <c r="D1193" s="1"/>
      <c r="E1193" s="1"/>
      <c r="F1193" s="164"/>
      <c r="G1193" s="165"/>
      <c r="H1193" s="163"/>
      <c r="J1193" s="2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2.75" x14ac:dyDescent="0.2">
      <c r="A1194" s="1"/>
      <c r="B1194" s="1"/>
      <c r="C1194" s="1"/>
      <c r="D1194" s="1"/>
      <c r="E1194" s="1"/>
      <c r="F1194" s="164"/>
      <c r="G1194" s="165"/>
      <c r="H1194" s="163"/>
      <c r="J1194" s="2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2.75" x14ac:dyDescent="0.2">
      <c r="A1195" s="1"/>
      <c r="B1195" s="1"/>
      <c r="C1195" s="1"/>
      <c r="D1195" s="1"/>
      <c r="E1195" s="1"/>
      <c r="F1195" s="164"/>
      <c r="G1195" s="165"/>
      <c r="H1195" s="163"/>
      <c r="J1195" s="2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2.75" x14ac:dyDescent="0.2">
      <c r="A1196" s="1"/>
      <c r="B1196" s="1"/>
      <c r="C1196" s="1"/>
      <c r="D1196" s="1"/>
      <c r="E1196" s="1"/>
      <c r="F1196" s="164"/>
      <c r="G1196" s="165"/>
      <c r="H1196" s="163"/>
      <c r="J1196" s="2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2.75" x14ac:dyDescent="0.2">
      <c r="A1197" s="1"/>
      <c r="B1197" s="1"/>
      <c r="C1197" s="1"/>
      <c r="D1197" s="1"/>
      <c r="E1197" s="1"/>
      <c r="F1197" s="164"/>
      <c r="G1197" s="165"/>
      <c r="H1197" s="163"/>
      <c r="J1197" s="2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2.75" x14ac:dyDescent="0.2">
      <c r="A1198" s="1"/>
      <c r="B1198" s="1"/>
      <c r="C1198" s="1"/>
      <c r="D1198" s="1"/>
      <c r="E1198" s="1"/>
      <c r="F1198" s="164"/>
      <c r="G1198" s="165"/>
      <c r="H1198" s="163"/>
      <c r="J1198" s="2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2.75" x14ac:dyDescent="0.2">
      <c r="A1199" s="1"/>
      <c r="B1199" s="1"/>
      <c r="C1199" s="1"/>
      <c r="D1199" s="1"/>
      <c r="E1199" s="1"/>
      <c r="F1199" s="164"/>
      <c r="G1199" s="165"/>
      <c r="H1199" s="163"/>
      <c r="J1199" s="2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2.75" x14ac:dyDescent="0.2">
      <c r="A1200" s="1"/>
      <c r="B1200" s="1"/>
      <c r="C1200" s="1"/>
      <c r="D1200" s="1"/>
      <c r="E1200" s="1"/>
      <c r="F1200" s="164"/>
      <c r="G1200" s="165"/>
      <c r="H1200" s="163"/>
      <c r="J1200" s="2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2.75" x14ac:dyDescent="0.2">
      <c r="A1201" s="1"/>
      <c r="B1201" s="1"/>
      <c r="C1201" s="1"/>
      <c r="D1201" s="1"/>
      <c r="E1201" s="1"/>
      <c r="F1201" s="164"/>
      <c r="G1201" s="165"/>
      <c r="H1201" s="163"/>
      <c r="J1201" s="2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2.75" x14ac:dyDescent="0.2">
      <c r="A1202" s="1"/>
      <c r="B1202" s="1"/>
      <c r="C1202" s="1"/>
      <c r="D1202" s="1"/>
      <c r="E1202" s="1"/>
      <c r="F1202" s="164"/>
      <c r="G1202" s="165"/>
      <c r="H1202" s="163"/>
      <c r="J1202" s="2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2.75" x14ac:dyDescent="0.2">
      <c r="A1203" s="1"/>
      <c r="B1203" s="1"/>
      <c r="C1203" s="1"/>
      <c r="D1203" s="1"/>
      <c r="E1203" s="1"/>
      <c r="F1203" s="164"/>
      <c r="G1203" s="165"/>
      <c r="H1203" s="163"/>
      <c r="J1203" s="2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2.75" x14ac:dyDescent="0.2">
      <c r="A1204" s="1"/>
      <c r="B1204" s="1"/>
      <c r="C1204" s="1"/>
      <c r="D1204" s="1"/>
      <c r="E1204" s="1"/>
      <c r="F1204" s="164"/>
      <c r="G1204" s="165"/>
      <c r="H1204" s="163"/>
      <c r="J1204" s="2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2.75" x14ac:dyDescent="0.2">
      <c r="A1205" s="1"/>
      <c r="B1205" s="1"/>
      <c r="C1205" s="1"/>
      <c r="D1205" s="1"/>
      <c r="E1205" s="1"/>
      <c r="F1205" s="164"/>
      <c r="G1205" s="165"/>
      <c r="H1205" s="163"/>
      <c r="J1205" s="2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2.75" x14ac:dyDescent="0.2">
      <c r="A1206" s="1"/>
      <c r="B1206" s="1"/>
      <c r="C1206" s="1"/>
      <c r="D1206" s="1"/>
      <c r="E1206" s="1"/>
      <c r="F1206" s="164"/>
      <c r="G1206" s="165"/>
      <c r="H1206" s="163"/>
      <c r="J1206" s="2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2.75" x14ac:dyDescent="0.2">
      <c r="A1207" s="1"/>
      <c r="B1207" s="1"/>
      <c r="C1207" s="1"/>
      <c r="D1207" s="1"/>
      <c r="E1207" s="1"/>
      <c r="F1207" s="164"/>
      <c r="G1207" s="165"/>
      <c r="H1207" s="163"/>
      <c r="J1207" s="2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2.75" x14ac:dyDescent="0.2">
      <c r="A1208" s="1"/>
      <c r="B1208" s="1"/>
      <c r="C1208" s="1"/>
      <c r="D1208" s="1"/>
      <c r="E1208" s="1"/>
      <c r="F1208" s="164"/>
      <c r="G1208" s="165"/>
      <c r="H1208" s="163"/>
      <c r="J1208" s="2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2.75" x14ac:dyDescent="0.2">
      <c r="A1209" s="1"/>
      <c r="B1209" s="1"/>
      <c r="C1209" s="1"/>
      <c r="D1209" s="1"/>
      <c r="E1209" s="1"/>
      <c r="F1209" s="164"/>
      <c r="G1209" s="165"/>
      <c r="H1209" s="163"/>
      <c r="J1209" s="2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2.75" x14ac:dyDescent="0.2">
      <c r="A1210" s="1"/>
      <c r="B1210" s="1"/>
      <c r="C1210" s="1"/>
      <c r="D1210" s="1"/>
      <c r="E1210" s="1"/>
      <c r="F1210" s="164"/>
      <c r="G1210" s="165"/>
      <c r="H1210" s="163"/>
      <c r="J1210" s="2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2.75" x14ac:dyDescent="0.2">
      <c r="A1211" s="1"/>
      <c r="B1211" s="1"/>
      <c r="C1211" s="1"/>
      <c r="D1211" s="1"/>
      <c r="E1211" s="1"/>
      <c r="F1211" s="164"/>
      <c r="G1211" s="165"/>
      <c r="H1211" s="163"/>
      <c r="J1211" s="2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2.75" x14ac:dyDescent="0.2">
      <c r="A1212" s="1"/>
      <c r="B1212" s="1"/>
      <c r="C1212" s="1"/>
      <c r="D1212" s="1"/>
      <c r="E1212" s="1"/>
      <c r="F1212" s="164"/>
      <c r="G1212" s="165"/>
      <c r="H1212" s="163"/>
      <c r="J1212" s="2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2.75" x14ac:dyDescent="0.2">
      <c r="A1213" s="1"/>
      <c r="B1213" s="1"/>
      <c r="C1213" s="1"/>
      <c r="D1213" s="1"/>
      <c r="E1213" s="1"/>
      <c r="F1213" s="164"/>
      <c r="G1213" s="165"/>
      <c r="H1213" s="163"/>
      <c r="J1213" s="2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2.75" x14ac:dyDescent="0.2">
      <c r="A1214" s="1"/>
      <c r="B1214" s="1"/>
      <c r="C1214" s="1"/>
      <c r="D1214" s="1"/>
      <c r="E1214" s="1"/>
      <c r="F1214" s="164"/>
      <c r="G1214" s="165"/>
      <c r="H1214" s="163"/>
      <c r="J1214" s="2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2.75" x14ac:dyDescent="0.2">
      <c r="A1215" s="1"/>
      <c r="B1215" s="1"/>
      <c r="C1215" s="1"/>
      <c r="D1215" s="1"/>
      <c r="E1215" s="1"/>
      <c r="F1215" s="164"/>
      <c r="G1215" s="165"/>
      <c r="H1215" s="163"/>
      <c r="J1215" s="2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2.75" x14ac:dyDescent="0.2">
      <c r="A1216" s="1"/>
      <c r="B1216" s="1"/>
      <c r="C1216" s="1"/>
      <c r="D1216" s="1"/>
      <c r="E1216" s="1"/>
      <c r="F1216" s="164"/>
      <c r="G1216" s="165"/>
      <c r="H1216" s="163"/>
      <c r="J1216" s="2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2.75" x14ac:dyDescent="0.2">
      <c r="A1217" s="1"/>
      <c r="B1217" s="1"/>
      <c r="C1217" s="1"/>
      <c r="D1217" s="1"/>
      <c r="E1217" s="1"/>
      <c r="F1217" s="164"/>
      <c r="G1217" s="165"/>
      <c r="H1217" s="163"/>
      <c r="J1217" s="2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2.75" x14ac:dyDescent="0.2">
      <c r="A1218" s="1"/>
      <c r="B1218" s="1"/>
      <c r="C1218" s="1"/>
      <c r="D1218" s="1"/>
      <c r="E1218" s="1"/>
      <c r="F1218" s="164"/>
      <c r="G1218" s="165"/>
      <c r="H1218" s="163"/>
      <c r="J1218" s="2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2.75" x14ac:dyDescent="0.2">
      <c r="A1219" s="1"/>
      <c r="B1219" s="1"/>
      <c r="C1219" s="1"/>
      <c r="D1219" s="1"/>
      <c r="E1219" s="1"/>
      <c r="F1219" s="164"/>
      <c r="G1219" s="165"/>
      <c r="H1219" s="163"/>
      <c r="J1219" s="2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2.75" x14ac:dyDescent="0.2">
      <c r="A1220" s="1"/>
      <c r="B1220" s="1"/>
      <c r="C1220" s="1"/>
      <c r="D1220" s="1"/>
      <c r="E1220" s="1"/>
      <c r="F1220" s="164"/>
      <c r="G1220" s="165"/>
      <c r="H1220" s="163"/>
      <c r="J1220" s="2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2.75" x14ac:dyDescent="0.2">
      <c r="A1221" s="1"/>
      <c r="B1221" s="1"/>
      <c r="C1221" s="1"/>
      <c r="D1221" s="1"/>
      <c r="E1221" s="1"/>
      <c r="F1221" s="164"/>
      <c r="G1221" s="165"/>
      <c r="H1221" s="163"/>
      <c r="J1221" s="2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2.75" x14ac:dyDescent="0.2">
      <c r="A1222" s="1"/>
      <c r="B1222" s="1"/>
      <c r="C1222" s="1"/>
      <c r="D1222" s="1"/>
      <c r="E1222" s="1"/>
      <c r="F1222" s="164"/>
      <c r="G1222" s="165"/>
      <c r="H1222" s="163"/>
      <c r="J1222" s="2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2.75" x14ac:dyDescent="0.2">
      <c r="A1223" s="1"/>
      <c r="B1223" s="1"/>
      <c r="C1223" s="1"/>
      <c r="D1223" s="1"/>
      <c r="E1223" s="1"/>
      <c r="F1223" s="164"/>
      <c r="G1223" s="165"/>
      <c r="H1223" s="163"/>
      <c r="J1223" s="2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2.75" x14ac:dyDescent="0.2">
      <c r="A1224" s="1"/>
      <c r="B1224" s="1"/>
      <c r="C1224" s="1"/>
      <c r="D1224" s="1"/>
      <c r="E1224" s="1"/>
      <c r="F1224" s="164"/>
      <c r="G1224" s="165"/>
      <c r="H1224" s="163"/>
      <c r="J1224" s="2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2.75" x14ac:dyDescent="0.2">
      <c r="A1225" s="1"/>
      <c r="B1225" s="1"/>
      <c r="C1225" s="1"/>
      <c r="D1225" s="1"/>
      <c r="E1225" s="1"/>
      <c r="F1225" s="164"/>
      <c r="G1225" s="165"/>
      <c r="H1225" s="163"/>
      <c r="J1225" s="2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2.75" x14ac:dyDescent="0.2">
      <c r="A1226" s="1"/>
      <c r="B1226" s="1"/>
      <c r="C1226" s="1"/>
      <c r="D1226" s="1"/>
      <c r="E1226" s="1"/>
      <c r="F1226" s="164"/>
      <c r="G1226" s="165"/>
      <c r="H1226" s="163"/>
      <c r="J1226" s="2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2.75" x14ac:dyDescent="0.2">
      <c r="A1227" s="1"/>
      <c r="B1227" s="1"/>
      <c r="C1227" s="1"/>
      <c r="D1227" s="1"/>
      <c r="E1227" s="1"/>
      <c r="F1227" s="164"/>
      <c r="G1227" s="165"/>
      <c r="H1227" s="163"/>
      <c r="J1227" s="2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2.75" x14ac:dyDescent="0.2">
      <c r="A1228" s="1"/>
      <c r="B1228" s="1"/>
      <c r="C1228" s="1"/>
      <c r="D1228" s="1"/>
      <c r="E1228" s="1"/>
      <c r="F1228" s="164"/>
      <c r="G1228" s="165"/>
      <c r="H1228" s="163"/>
      <c r="J1228" s="2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2.75" x14ac:dyDescent="0.2">
      <c r="A1229" s="1"/>
      <c r="B1229" s="1"/>
      <c r="C1229" s="1"/>
      <c r="D1229" s="1"/>
      <c r="E1229" s="1"/>
      <c r="F1229" s="164"/>
      <c r="G1229" s="165"/>
      <c r="H1229" s="163"/>
      <c r="J1229" s="2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2.75" x14ac:dyDescent="0.2">
      <c r="A1230" s="1"/>
      <c r="B1230" s="1"/>
      <c r="C1230" s="1"/>
      <c r="D1230" s="1"/>
      <c r="E1230" s="1"/>
      <c r="F1230" s="164"/>
      <c r="G1230" s="165"/>
      <c r="H1230" s="163"/>
      <c r="J1230" s="2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2.75" x14ac:dyDescent="0.2">
      <c r="A1231" s="1"/>
      <c r="B1231" s="1"/>
      <c r="C1231" s="1"/>
      <c r="D1231" s="1"/>
      <c r="E1231" s="1"/>
      <c r="F1231" s="164"/>
      <c r="G1231" s="165"/>
      <c r="H1231" s="163"/>
      <c r="J1231" s="2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2.75" x14ac:dyDescent="0.2">
      <c r="A1232" s="1"/>
      <c r="B1232" s="1"/>
      <c r="C1232" s="1"/>
      <c r="D1232" s="1"/>
      <c r="E1232" s="1"/>
      <c r="F1232" s="164"/>
      <c r="G1232" s="165"/>
      <c r="H1232" s="163"/>
      <c r="J1232" s="2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2.75" x14ac:dyDescent="0.2">
      <c r="A1233" s="1"/>
      <c r="B1233" s="1"/>
      <c r="C1233" s="1"/>
      <c r="D1233" s="1"/>
      <c r="E1233" s="1"/>
      <c r="F1233" s="164"/>
      <c r="G1233" s="165"/>
      <c r="H1233" s="163"/>
      <c r="J1233" s="2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2.75" x14ac:dyDescent="0.2">
      <c r="A1234" s="1"/>
      <c r="B1234" s="1"/>
      <c r="C1234" s="1"/>
      <c r="D1234" s="1"/>
      <c r="E1234" s="1"/>
      <c r="F1234" s="164"/>
      <c r="G1234" s="165"/>
      <c r="H1234" s="163"/>
      <c r="J1234" s="2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2.75" x14ac:dyDescent="0.2">
      <c r="A1235" s="1"/>
      <c r="B1235" s="1"/>
      <c r="C1235" s="1"/>
      <c r="D1235" s="1"/>
      <c r="E1235" s="1"/>
      <c r="F1235" s="164"/>
      <c r="G1235" s="165"/>
      <c r="H1235" s="163"/>
      <c r="J1235" s="2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2.75" x14ac:dyDescent="0.2">
      <c r="A1236" s="1"/>
      <c r="B1236" s="1"/>
      <c r="C1236" s="1"/>
      <c r="D1236" s="1"/>
      <c r="E1236" s="1"/>
      <c r="F1236" s="164"/>
      <c r="G1236" s="165"/>
      <c r="H1236" s="163"/>
      <c r="J1236" s="2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2.75" x14ac:dyDescent="0.2">
      <c r="A1237" s="1"/>
      <c r="B1237" s="1"/>
      <c r="C1237" s="1"/>
      <c r="D1237" s="1"/>
      <c r="E1237" s="1"/>
      <c r="F1237" s="164"/>
      <c r="G1237" s="165"/>
      <c r="H1237" s="163"/>
      <c r="J1237" s="2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2.75" x14ac:dyDescent="0.2">
      <c r="A1238" s="1"/>
      <c r="B1238" s="1"/>
      <c r="C1238" s="1"/>
      <c r="D1238" s="1"/>
      <c r="E1238" s="1"/>
      <c r="F1238" s="164"/>
      <c r="G1238" s="165"/>
      <c r="H1238" s="163"/>
      <c r="J1238" s="2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2.75" x14ac:dyDescent="0.2">
      <c r="A1239" s="1"/>
      <c r="B1239" s="1"/>
      <c r="C1239" s="1"/>
      <c r="D1239" s="1"/>
      <c r="E1239" s="1"/>
      <c r="F1239" s="164"/>
      <c r="G1239" s="165"/>
      <c r="H1239" s="163"/>
      <c r="J1239" s="2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2.75" x14ac:dyDescent="0.2">
      <c r="A1240" s="1"/>
      <c r="B1240" s="1"/>
      <c r="C1240" s="1"/>
      <c r="D1240" s="1"/>
      <c r="E1240" s="1"/>
      <c r="F1240" s="164"/>
      <c r="G1240" s="165"/>
      <c r="H1240" s="163"/>
      <c r="J1240" s="2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2.75" x14ac:dyDescent="0.2">
      <c r="A1241" s="1"/>
      <c r="B1241" s="1"/>
      <c r="C1241" s="1"/>
      <c r="D1241" s="1"/>
      <c r="E1241" s="1"/>
      <c r="F1241" s="164"/>
      <c r="G1241" s="165"/>
      <c r="H1241" s="163"/>
      <c r="J1241" s="2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2.75" x14ac:dyDescent="0.2">
      <c r="A1242" s="1"/>
      <c r="B1242" s="1"/>
      <c r="C1242" s="1"/>
      <c r="D1242" s="1"/>
      <c r="E1242" s="1"/>
      <c r="F1242" s="164"/>
      <c r="G1242" s="165"/>
      <c r="H1242" s="163"/>
      <c r="J1242" s="2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2.75" x14ac:dyDescent="0.2">
      <c r="A1243" s="1"/>
      <c r="B1243" s="1"/>
      <c r="C1243" s="1"/>
      <c r="D1243" s="1"/>
      <c r="E1243" s="1"/>
      <c r="F1243" s="164"/>
      <c r="G1243" s="165"/>
      <c r="H1243" s="163"/>
      <c r="J1243" s="2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2.75" x14ac:dyDescent="0.2">
      <c r="A1244" s="1"/>
      <c r="B1244" s="1"/>
      <c r="C1244" s="1"/>
      <c r="D1244" s="1"/>
      <c r="E1244" s="1"/>
      <c r="F1244" s="164"/>
      <c r="G1244" s="165"/>
      <c r="H1244" s="163"/>
      <c r="J1244" s="2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2.75" x14ac:dyDescent="0.2">
      <c r="A1245" s="1"/>
      <c r="B1245" s="1"/>
      <c r="C1245" s="1"/>
      <c r="D1245" s="1"/>
      <c r="E1245" s="1"/>
      <c r="F1245" s="164"/>
      <c r="G1245" s="165"/>
      <c r="H1245" s="163"/>
      <c r="J1245" s="2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2.75" x14ac:dyDescent="0.2">
      <c r="A1246" s="1"/>
      <c r="B1246" s="1"/>
      <c r="C1246" s="1"/>
      <c r="D1246" s="1"/>
      <c r="E1246" s="1"/>
      <c r="F1246" s="164"/>
      <c r="G1246" s="165"/>
      <c r="H1246" s="163"/>
      <c r="J1246" s="2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2.75" x14ac:dyDescent="0.2">
      <c r="A1247" s="1"/>
      <c r="B1247" s="1"/>
      <c r="C1247" s="1"/>
      <c r="D1247" s="1"/>
      <c r="E1247" s="1"/>
      <c r="F1247" s="164"/>
      <c r="G1247" s="165"/>
      <c r="H1247" s="163"/>
      <c r="J1247" s="2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2.75" x14ac:dyDescent="0.2">
      <c r="A1248" s="1"/>
      <c r="B1248" s="1"/>
      <c r="C1248" s="1"/>
      <c r="D1248" s="1"/>
      <c r="E1248" s="1"/>
      <c r="F1248" s="164"/>
      <c r="G1248" s="165"/>
      <c r="H1248" s="163"/>
      <c r="J1248" s="2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2.75" x14ac:dyDescent="0.2">
      <c r="A1249" s="1"/>
      <c r="B1249" s="1"/>
      <c r="C1249" s="1"/>
      <c r="D1249" s="1"/>
      <c r="E1249" s="1"/>
      <c r="F1249" s="164"/>
      <c r="G1249" s="165"/>
      <c r="H1249" s="163"/>
      <c r="J1249" s="2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2.75" x14ac:dyDescent="0.2">
      <c r="A1250" s="1"/>
      <c r="B1250" s="1"/>
      <c r="C1250" s="1"/>
      <c r="D1250" s="1"/>
      <c r="E1250" s="1"/>
      <c r="F1250" s="164"/>
      <c r="G1250" s="165"/>
      <c r="H1250" s="163"/>
      <c r="J1250" s="2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2.75" x14ac:dyDescent="0.2">
      <c r="A1251" s="1"/>
      <c r="B1251" s="1"/>
      <c r="C1251" s="1"/>
      <c r="D1251" s="1"/>
      <c r="E1251" s="1"/>
      <c r="F1251" s="164"/>
      <c r="G1251" s="165"/>
      <c r="H1251" s="163"/>
      <c r="J1251" s="2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2.75" x14ac:dyDescent="0.2">
      <c r="A1252" s="1"/>
      <c r="B1252" s="1"/>
      <c r="C1252" s="1"/>
      <c r="D1252" s="1"/>
      <c r="E1252" s="1"/>
      <c r="F1252" s="164"/>
      <c r="G1252" s="165"/>
      <c r="H1252" s="163"/>
      <c r="J1252" s="2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2.75" x14ac:dyDescent="0.2">
      <c r="A1253" s="1"/>
      <c r="B1253" s="1"/>
      <c r="C1253" s="1"/>
      <c r="D1253" s="1"/>
      <c r="E1253" s="1"/>
      <c r="F1253" s="164"/>
      <c r="G1253" s="165"/>
      <c r="H1253" s="163"/>
      <c r="J1253" s="2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2.75" x14ac:dyDescent="0.2">
      <c r="A1254" s="1"/>
      <c r="B1254" s="1"/>
      <c r="C1254" s="1"/>
      <c r="D1254" s="1"/>
      <c r="E1254" s="1"/>
      <c r="F1254" s="164"/>
      <c r="G1254" s="165"/>
      <c r="H1254" s="163"/>
      <c r="J1254" s="2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2.75" x14ac:dyDescent="0.2">
      <c r="A1255" s="1"/>
      <c r="B1255" s="1"/>
      <c r="C1255" s="1"/>
      <c r="D1255" s="1"/>
      <c r="E1255" s="1"/>
      <c r="F1255" s="164"/>
      <c r="G1255" s="165"/>
      <c r="H1255" s="163"/>
      <c r="J1255" s="2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2.75" x14ac:dyDescent="0.2">
      <c r="A1256" s="1"/>
      <c r="B1256" s="1"/>
      <c r="C1256" s="1"/>
      <c r="D1256" s="1"/>
      <c r="E1256" s="1"/>
      <c r="F1256" s="164"/>
      <c r="G1256" s="165"/>
      <c r="H1256" s="163"/>
      <c r="J1256" s="2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2.75" x14ac:dyDescent="0.2">
      <c r="A1257" s="1"/>
      <c r="B1257" s="1"/>
      <c r="C1257" s="1"/>
      <c r="D1257" s="1"/>
      <c r="E1257" s="1"/>
      <c r="F1257" s="164"/>
      <c r="G1257" s="165"/>
      <c r="H1257" s="163"/>
      <c r="J1257" s="2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2.75" x14ac:dyDescent="0.2">
      <c r="A1258" s="1"/>
      <c r="B1258" s="1"/>
      <c r="C1258" s="1"/>
      <c r="D1258" s="1"/>
      <c r="E1258" s="1"/>
      <c r="F1258" s="164"/>
      <c r="G1258" s="165"/>
      <c r="H1258" s="163"/>
      <c r="J1258" s="2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2.75" x14ac:dyDescent="0.2">
      <c r="A1259" s="1"/>
      <c r="B1259" s="1"/>
      <c r="C1259" s="1"/>
      <c r="D1259" s="1"/>
      <c r="E1259" s="1"/>
      <c r="F1259" s="164"/>
      <c r="G1259" s="165"/>
      <c r="H1259" s="163"/>
      <c r="J1259" s="2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2.75" x14ac:dyDescent="0.2">
      <c r="A1260" s="1"/>
      <c r="B1260" s="1"/>
      <c r="C1260" s="1"/>
      <c r="D1260" s="1"/>
      <c r="E1260" s="1"/>
      <c r="F1260" s="164"/>
      <c r="G1260" s="165"/>
      <c r="H1260" s="163"/>
      <c r="J1260" s="2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2.75" x14ac:dyDescent="0.2">
      <c r="A1261" s="1"/>
      <c r="B1261" s="1"/>
      <c r="C1261" s="1"/>
      <c r="D1261" s="1"/>
      <c r="E1261" s="1"/>
      <c r="F1261" s="164"/>
      <c r="G1261" s="165"/>
      <c r="H1261" s="163"/>
      <c r="J1261" s="2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2.75" x14ac:dyDescent="0.2">
      <c r="A1262" s="1"/>
      <c r="B1262" s="1"/>
      <c r="C1262" s="1"/>
      <c r="D1262" s="1"/>
      <c r="E1262" s="1"/>
      <c r="F1262" s="164"/>
      <c r="G1262" s="165"/>
      <c r="H1262" s="163"/>
      <c r="J1262" s="2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2.75" x14ac:dyDescent="0.2">
      <c r="A1263" s="1"/>
      <c r="B1263" s="1"/>
      <c r="C1263" s="1"/>
      <c r="D1263" s="1"/>
      <c r="E1263" s="1"/>
      <c r="F1263" s="164"/>
      <c r="G1263" s="165"/>
      <c r="H1263" s="163"/>
      <c r="J1263" s="2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2.75" x14ac:dyDescent="0.2">
      <c r="A1264" s="1"/>
      <c r="B1264" s="1"/>
      <c r="C1264" s="1"/>
      <c r="D1264" s="1"/>
      <c r="E1264" s="1"/>
      <c r="F1264" s="164"/>
      <c r="G1264" s="165"/>
      <c r="H1264" s="163"/>
      <c r="J1264" s="2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2.75" x14ac:dyDescent="0.2">
      <c r="A1265" s="1"/>
      <c r="B1265" s="1"/>
      <c r="C1265" s="1"/>
      <c r="D1265" s="1"/>
      <c r="E1265" s="1"/>
      <c r="F1265" s="164"/>
      <c r="G1265" s="165"/>
      <c r="H1265" s="163"/>
      <c r="J1265" s="2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2.75" x14ac:dyDescent="0.2">
      <c r="A1266" s="1"/>
      <c r="B1266" s="1"/>
      <c r="C1266" s="1"/>
      <c r="D1266" s="1"/>
      <c r="E1266" s="1"/>
      <c r="F1266" s="164"/>
      <c r="G1266" s="165"/>
      <c r="H1266" s="163"/>
      <c r="J1266" s="2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2.75" x14ac:dyDescent="0.2">
      <c r="A1267" s="1"/>
      <c r="B1267" s="1"/>
      <c r="C1267" s="1"/>
      <c r="D1267" s="1"/>
      <c r="E1267" s="1"/>
      <c r="F1267" s="164"/>
      <c r="G1267" s="165"/>
      <c r="H1267" s="163"/>
      <c r="J1267" s="2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2.75" x14ac:dyDescent="0.2">
      <c r="A1268" s="1"/>
      <c r="B1268" s="1"/>
      <c r="C1268" s="1"/>
      <c r="D1268" s="1"/>
      <c r="E1268" s="1"/>
      <c r="F1268" s="164"/>
      <c r="G1268" s="165"/>
      <c r="H1268" s="163"/>
      <c r="J1268" s="2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2.75" x14ac:dyDescent="0.2">
      <c r="A1269" s="1"/>
      <c r="B1269" s="1"/>
      <c r="C1269" s="1"/>
      <c r="D1269" s="1"/>
      <c r="E1269" s="1"/>
      <c r="F1269" s="164"/>
      <c r="G1269" s="165"/>
      <c r="H1269" s="163"/>
      <c r="J1269" s="2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2.75" x14ac:dyDescent="0.2">
      <c r="A1270" s="1"/>
      <c r="B1270" s="1"/>
      <c r="C1270" s="1"/>
      <c r="D1270" s="1"/>
      <c r="E1270" s="1"/>
      <c r="F1270" s="164"/>
      <c r="G1270" s="165"/>
      <c r="H1270" s="163"/>
      <c r="J1270" s="2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2.75" x14ac:dyDescent="0.2">
      <c r="A1271" s="1"/>
      <c r="B1271" s="1"/>
      <c r="C1271" s="1"/>
      <c r="D1271" s="1"/>
      <c r="E1271" s="1"/>
      <c r="F1271" s="164"/>
      <c r="G1271" s="165"/>
      <c r="H1271" s="163"/>
      <c r="J1271" s="2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2.75" x14ac:dyDescent="0.2">
      <c r="A1272" s="1"/>
      <c r="B1272" s="1"/>
      <c r="C1272" s="1"/>
      <c r="D1272" s="1"/>
      <c r="E1272" s="1"/>
      <c r="F1272" s="164"/>
      <c r="G1272" s="165"/>
      <c r="H1272" s="163"/>
      <c r="J1272" s="2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2.75" x14ac:dyDescent="0.2">
      <c r="A1273" s="1"/>
      <c r="B1273" s="1"/>
      <c r="C1273" s="1"/>
      <c r="D1273" s="1"/>
      <c r="E1273" s="1"/>
      <c r="F1273" s="164"/>
      <c r="G1273" s="165"/>
      <c r="H1273" s="163"/>
      <c r="J1273" s="2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2.75" x14ac:dyDescent="0.2">
      <c r="A1274" s="1"/>
      <c r="B1274" s="1"/>
      <c r="C1274" s="1"/>
      <c r="D1274" s="1"/>
      <c r="E1274" s="1"/>
      <c r="F1274" s="164"/>
      <c r="G1274" s="165"/>
      <c r="H1274" s="163"/>
      <c r="J1274" s="2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2.75" x14ac:dyDescent="0.2">
      <c r="A1275" s="1"/>
      <c r="B1275" s="1"/>
      <c r="C1275" s="1"/>
      <c r="D1275" s="1"/>
      <c r="E1275" s="1"/>
      <c r="F1275" s="164"/>
      <c r="G1275" s="165"/>
      <c r="H1275" s="163"/>
      <c r="J1275" s="2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2.75" x14ac:dyDescent="0.2">
      <c r="A1276" s="1"/>
      <c r="B1276" s="1"/>
      <c r="C1276" s="1"/>
      <c r="D1276" s="1"/>
      <c r="E1276" s="1"/>
      <c r="F1276" s="164"/>
      <c r="G1276" s="165"/>
      <c r="H1276" s="163"/>
      <c r="J1276" s="2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2.75" x14ac:dyDescent="0.2">
      <c r="A1277" s="1"/>
      <c r="B1277" s="1"/>
      <c r="C1277" s="1"/>
      <c r="D1277" s="1"/>
      <c r="E1277" s="1"/>
      <c r="F1277" s="164"/>
      <c r="G1277" s="165"/>
      <c r="H1277" s="163"/>
      <c r="J1277" s="2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2.75" x14ac:dyDescent="0.2">
      <c r="A1278" s="1"/>
      <c r="B1278" s="1"/>
      <c r="C1278" s="1"/>
      <c r="D1278" s="1"/>
      <c r="E1278" s="1"/>
      <c r="F1278" s="164"/>
      <c r="G1278" s="165"/>
      <c r="H1278" s="163"/>
      <c r="J1278" s="2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2.75" x14ac:dyDescent="0.2">
      <c r="A1279" s="1"/>
      <c r="B1279" s="1"/>
      <c r="C1279" s="1"/>
      <c r="D1279" s="1"/>
      <c r="E1279" s="1"/>
      <c r="F1279" s="164"/>
      <c r="G1279" s="165"/>
      <c r="H1279" s="163"/>
      <c r="J1279" s="2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2.75" x14ac:dyDescent="0.2">
      <c r="A1280" s="1"/>
      <c r="B1280" s="1"/>
      <c r="C1280" s="1"/>
      <c r="D1280" s="1"/>
      <c r="E1280" s="1"/>
      <c r="F1280" s="164"/>
      <c r="G1280" s="165"/>
      <c r="H1280" s="163"/>
      <c r="J1280" s="2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2.75" x14ac:dyDescent="0.2">
      <c r="A1281" s="1"/>
      <c r="B1281" s="1"/>
      <c r="C1281" s="1"/>
      <c r="D1281" s="1"/>
      <c r="E1281" s="1"/>
      <c r="F1281" s="164"/>
      <c r="G1281" s="165"/>
      <c r="H1281" s="163"/>
      <c r="J1281" s="2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2.75" x14ac:dyDescent="0.2">
      <c r="A1282" s="1"/>
      <c r="B1282" s="1"/>
      <c r="C1282" s="1"/>
      <c r="D1282" s="1"/>
      <c r="E1282" s="1"/>
      <c r="F1282" s="164"/>
      <c r="G1282" s="165"/>
      <c r="H1282" s="163"/>
      <c r="J1282" s="2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2.75" x14ac:dyDescent="0.2">
      <c r="A1283" s="1"/>
      <c r="B1283" s="1"/>
      <c r="C1283" s="1"/>
      <c r="D1283" s="1"/>
      <c r="E1283" s="1"/>
      <c r="F1283" s="164"/>
      <c r="G1283" s="165"/>
      <c r="H1283" s="163"/>
      <c r="J1283" s="2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2.75" x14ac:dyDescent="0.2">
      <c r="A1284" s="1"/>
      <c r="B1284" s="1"/>
      <c r="C1284" s="1"/>
      <c r="D1284" s="1"/>
      <c r="E1284" s="1"/>
      <c r="F1284" s="164"/>
      <c r="G1284" s="165"/>
      <c r="H1284" s="163"/>
      <c r="J1284" s="2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2.75" x14ac:dyDescent="0.2">
      <c r="A1285" s="1"/>
      <c r="B1285" s="1"/>
      <c r="C1285" s="1"/>
      <c r="D1285" s="1"/>
      <c r="E1285" s="1"/>
      <c r="F1285" s="164"/>
      <c r="G1285" s="165"/>
      <c r="H1285" s="163"/>
      <c r="J1285" s="2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2.75" x14ac:dyDescent="0.2">
      <c r="A1286" s="1"/>
      <c r="B1286" s="1"/>
      <c r="C1286" s="1"/>
      <c r="D1286" s="1"/>
      <c r="E1286" s="1"/>
      <c r="F1286" s="164"/>
      <c r="G1286" s="165"/>
      <c r="H1286" s="163"/>
      <c r="J1286" s="2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2.75" x14ac:dyDescent="0.2">
      <c r="A1287" s="1"/>
      <c r="B1287" s="1"/>
      <c r="C1287" s="1"/>
      <c r="D1287" s="1"/>
      <c r="E1287" s="1"/>
      <c r="F1287" s="164"/>
      <c r="G1287" s="165"/>
      <c r="H1287" s="163"/>
      <c r="J1287" s="2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2.75" x14ac:dyDescent="0.2">
      <c r="A1288" s="1"/>
      <c r="B1288" s="1"/>
      <c r="C1288" s="1"/>
      <c r="D1288" s="1"/>
      <c r="E1288" s="1"/>
      <c r="F1288" s="164"/>
      <c r="G1288" s="165"/>
      <c r="H1288" s="163"/>
      <c r="J1288" s="2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2.75" x14ac:dyDescent="0.2">
      <c r="A1289" s="1"/>
      <c r="B1289" s="1"/>
      <c r="C1289" s="1"/>
      <c r="D1289" s="1"/>
      <c r="E1289" s="1"/>
      <c r="F1289" s="164"/>
      <c r="G1289" s="165"/>
      <c r="H1289" s="163"/>
      <c r="J1289" s="2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2.75" x14ac:dyDescent="0.2">
      <c r="A1290" s="1"/>
      <c r="B1290" s="1"/>
      <c r="C1290" s="1"/>
      <c r="D1290" s="1"/>
      <c r="E1290" s="1"/>
      <c r="F1290" s="164"/>
      <c r="G1290" s="165"/>
      <c r="H1290" s="163"/>
      <c r="J1290" s="2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2.75" x14ac:dyDescent="0.2">
      <c r="A1291" s="1"/>
      <c r="B1291" s="1"/>
      <c r="C1291" s="1"/>
      <c r="D1291" s="1"/>
      <c r="E1291" s="1"/>
      <c r="F1291" s="164"/>
      <c r="G1291" s="165"/>
      <c r="H1291" s="163"/>
      <c r="J1291" s="2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2.75" x14ac:dyDescent="0.2">
      <c r="A1292" s="1"/>
      <c r="B1292" s="1"/>
      <c r="C1292" s="1"/>
      <c r="D1292" s="1"/>
      <c r="E1292" s="1"/>
      <c r="F1292" s="164"/>
      <c r="G1292" s="165"/>
      <c r="H1292" s="163"/>
      <c r="J1292" s="2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2.75" x14ac:dyDescent="0.2">
      <c r="A1293" s="1"/>
      <c r="B1293" s="1"/>
      <c r="C1293" s="1"/>
      <c r="D1293" s="1"/>
      <c r="E1293" s="1"/>
      <c r="F1293" s="164"/>
      <c r="G1293" s="165"/>
      <c r="H1293" s="163"/>
      <c r="J1293" s="2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2.75" x14ac:dyDescent="0.2">
      <c r="A1294" s="1"/>
      <c r="B1294" s="1"/>
      <c r="C1294" s="1"/>
      <c r="D1294" s="1"/>
      <c r="E1294" s="1"/>
      <c r="F1294" s="164"/>
      <c r="G1294" s="165"/>
      <c r="H1294" s="163"/>
      <c r="J1294" s="2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2.75" x14ac:dyDescent="0.2">
      <c r="A1295" s="1"/>
      <c r="B1295" s="1"/>
      <c r="C1295" s="1"/>
      <c r="D1295" s="1"/>
      <c r="E1295" s="1"/>
      <c r="F1295" s="164"/>
      <c r="G1295" s="165"/>
      <c r="H1295" s="163"/>
      <c r="J1295" s="2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2.75" x14ac:dyDescent="0.2">
      <c r="A1296" s="1"/>
      <c r="B1296" s="1"/>
      <c r="C1296" s="1"/>
      <c r="D1296" s="1"/>
      <c r="E1296" s="1"/>
      <c r="F1296" s="164"/>
      <c r="G1296" s="165"/>
      <c r="H1296" s="163"/>
      <c r="J1296" s="2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2.75" x14ac:dyDescent="0.2">
      <c r="A1297" s="1"/>
      <c r="B1297" s="1"/>
      <c r="C1297" s="1"/>
      <c r="D1297" s="1"/>
      <c r="E1297" s="1"/>
      <c r="F1297" s="164"/>
      <c r="G1297" s="165"/>
      <c r="H1297" s="163"/>
      <c r="J1297" s="2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2.75" x14ac:dyDescent="0.2">
      <c r="A1298" s="1"/>
      <c r="B1298" s="1"/>
      <c r="C1298" s="1"/>
      <c r="D1298" s="1"/>
      <c r="E1298" s="1"/>
      <c r="F1298" s="164"/>
      <c r="G1298" s="165"/>
      <c r="H1298" s="163"/>
      <c r="J1298" s="2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2.75" x14ac:dyDescent="0.2">
      <c r="A1299" s="1"/>
      <c r="B1299" s="1"/>
      <c r="C1299" s="1"/>
      <c r="D1299" s="1"/>
      <c r="E1299" s="1"/>
      <c r="F1299" s="164"/>
      <c r="G1299" s="165"/>
      <c r="H1299" s="163"/>
      <c r="J1299" s="2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2.75" x14ac:dyDescent="0.2">
      <c r="A1300" s="1"/>
      <c r="B1300" s="1"/>
      <c r="C1300" s="1"/>
      <c r="D1300" s="1"/>
      <c r="E1300" s="1"/>
      <c r="F1300" s="164"/>
      <c r="G1300" s="165"/>
      <c r="H1300" s="163"/>
      <c r="J1300" s="2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2.75" x14ac:dyDescent="0.2">
      <c r="A1301" s="1"/>
      <c r="B1301" s="1"/>
      <c r="C1301" s="1"/>
      <c r="D1301" s="1"/>
      <c r="E1301" s="1"/>
      <c r="F1301" s="164"/>
      <c r="G1301" s="165"/>
      <c r="H1301" s="163"/>
      <c r="J1301" s="2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2.75" x14ac:dyDescent="0.2">
      <c r="A1302" s="1"/>
      <c r="B1302" s="1"/>
      <c r="C1302" s="1"/>
      <c r="D1302" s="1"/>
      <c r="E1302" s="1"/>
      <c r="F1302" s="164"/>
      <c r="G1302" s="165"/>
      <c r="H1302" s="163"/>
      <c r="J1302" s="2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2.75" x14ac:dyDescent="0.2">
      <c r="A1303" s="1"/>
      <c r="B1303" s="1"/>
      <c r="C1303" s="1"/>
      <c r="D1303" s="1"/>
      <c r="E1303" s="1"/>
      <c r="F1303" s="164"/>
      <c r="G1303" s="165"/>
      <c r="H1303" s="163"/>
      <c r="J1303" s="2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2.75" x14ac:dyDescent="0.2">
      <c r="A1304" s="1"/>
      <c r="B1304" s="1"/>
      <c r="C1304" s="1"/>
      <c r="D1304" s="1"/>
      <c r="E1304" s="1"/>
      <c r="F1304" s="164"/>
      <c r="G1304" s="165"/>
      <c r="H1304" s="163"/>
      <c r="J1304" s="2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2.75" x14ac:dyDescent="0.2">
      <c r="A1305" s="1"/>
      <c r="B1305" s="1"/>
      <c r="C1305" s="1"/>
      <c r="D1305" s="1"/>
      <c r="E1305" s="1"/>
      <c r="F1305" s="164"/>
      <c r="G1305" s="165"/>
      <c r="H1305" s="163"/>
      <c r="J1305" s="2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2.75" x14ac:dyDescent="0.2">
      <c r="A1306" s="1"/>
      <c r="B1306" s="1"/>
      <c r="C1306" s="1"/>
      <c r="D1306" s="1"/>
      <c r="E1306" s="1"/>
      <c r="F1306" s="164"/>
      <c r="G1306" s="165"/>
      <c r="H1306" s="163"/>
      <c r="J1306" s="2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2.75" x14ac:dyDescent="0.2">
      <c r="A1307" s="1"/>
      <c r="B1307" s="1"/>
      <c r="C1307" s="1"/>
      <c r="D1307" s="1"/>
      <c r="E1307" s="1"/>
      <c r="F1307" s="164"/>
      <c r="G1307" s="165"/>
      <c r="H1307" s="163"/>
      <c r="J1307" s="2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2.75" x14ac:dyDescent="0.2">
      <c r="A1308" s="1"/>
      <c r="B1308" s="1"/>
      <c r="C1308" s="1"/>
      <c r="D1308" s="1"/>
      <c r="E1308" s="1"/>
      <c r="F1308" s="164"/>
      <c r="G1308" s="165"/>
      <c r="H1308" s="163"/>
      <c r="J1308" s="2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2.75" x14ac:dyDescent="0.2">
      <c r="A1309" s="1"/>
      <c r="B1309" s="1"/>
      <c r="C1309" s="1"/>
      <c r="D1309" s="1"/>
      <c r="E1309" s="1"/>
      <c r="F1309" s="164"/>
      <c r="G1309" s="165"/>
      <c r="H1309" s="163"/>
      <c r="J1309" s="2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2.75" x14ac:dyDescent="0.2">
      <c r="A1310" s="1"/>
      <c r="B1310" s="1"/>
      <c r="C1310" s="1"/>
      <c r="D1310" s="1"/>
      <c r="E1310" s="1"/>
      <c r="F1310" s="164"/>
      <c r="G1310" s="165"/>
      <c r="H1310" s="163"/>
      <c r="J1310" s="2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2.75" x14ac:dyDescent="0.2">
      <c r="A1311" s="1"/>
      <c r="B1311" s="1"/>
      <c r="C1311" s="1"/>
      <c r="D1311" s="1"/>
      <c r="E1311" s="1"/>
      <c r="F1311" s="164"/>
      <c r="G1311" s="165"/>
      <c r="H1311" s="163"/>
      <c r="J1311" s="2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2.75" x14ac:dyDescent="0.2">
      <c r="A1312" s="1"/>
      <c r="B1312" s="1"/>
      <c r="C1312" s="1"/>
      <c r="D1312" s="1"/>
      <c r="E1312" s="1"/>
      <c r="F1312" s="164"/>
      <c r="G1312" s="165"/>
      <c r="H1312" s="163"/>
      <c r="J1312" s="2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2.75" x14ac:dyDescent="0.2">
      <c r="A1313" s="1"/>
      <c r="B1313" s="1"/>
      <c r="C1313" s="1"/>
      <c r="D1313" s="1"/>
      <c r="E1313" s="1"/>
      <c r="F1313" s="164"/>
      <c r="G1313" s="165"/>
      <c r="H1313" s="163"/>
      <c r="J1313" s="2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2.75" x14ac:dyDescent="0.2">
      <c r="A1314" s="1"/>
      <c r="B1314" s="1"/>
      <c r="C1314" s="1"/>
      <c r="D1314" s="1"/>
      <c r="E1314" s="1"/>
      <c r="F1314" s="164"/>
      <c r="G1314" s="165"/>
      <c r="H1314" s="163"/>
      <c r="J1314" s="2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2.75" x14ac:dyDescent="0.2">
      <c r="A1315" s="1"/>
      <c r="B1315" s="1"/>
      <c r="C1315" s="1"/>
      <c r="D1315" s="1"/>
      <c r="E1315" s="1"/>
      <c r="F1315" s="164"/>
      <c r="G1315" s="165"/>
      <c r="H1315" s="163"/>
      <c r="J1315" s="2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2.75" x14ac:dyDescent="0.2">
      <c r="A1316" s="1"/>
      <c r="B1316" s="1"/>
      <c r="C1316" s="1"/>
      <c r="D1316" s="1"/>
      <c r="E1316" s="1"/>
      <c r="F1316" s="164"/>
      <c r="G1316" s="165"/>
      <c r="H1316" s="163"/>
      <c r="J1316" s="2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2.75" x14ac:dyDescent="0.2">
      <c r="A1317" s="1"/>
      <c r="B1317" s="1"/>
      <c r="C1317" s="1"/>
      <c r="D1317" s="1"/>
      <c r="E1317" s="1"/>
      <c r="F1317" s="164"/>
      <c r="G1317" s="165"/>
      <c r="H1317" s="163"/>
      <c r="J1317" s="2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2.75" x14ac:dyDescent="0.2">
      <c r="A1318" s="1"/>
      <c r="B1318" s="1"/>
      <c r="C1318" s="1"/>
      <c r="D1318" s="1"/>
      <c r="E1318" s="1"/>
      <c r="F1318" s="164"/>
      <c r="G1318" s="165"/>
      <c r="H1318" s="163"/>
      <c r="J1318" s="2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2.75" x14ac:dyDescent="0.2">
      <c r="A1319" s="1"/>
      <c r="B1319" s="1"/>
      <c r="C1319" s="1"/>
      <c r="D1319" s="1"/>
      <c r="E1319" s="1"/>
      <c r="F1319" s="164"/>
      <c r="G1319" s="165"/>
      <c r="H1319" s="163"/>
      <c r="J1319" s="2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2.75" x14ac:dyDescent="0.2">
      <c r="A1320" s="1"/>
      <c r="B1320" s="1"/>
      <c r="C1320" s="1"/>
      <c r="D1320" s="1"/>
      <c r="E1320" s="1"/>
      <c r="F1320" s="164"/>
      <c r="G1320" s="165"/>
      <c r="H1320" s="163"/>
      <c r="J1320" s="2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2.75" x14ac:dyDescent="0.2">
      <c r="A1321" s="1"/>
      <c r="B1321" s="1"/>
      <c r="C1321" s="1"/>
      <c r="D1321" s="1"/>
      <c r="E1321" s="1"/>
      <c r="F1321" s="164"/>
      <c r="G1321" s="165"/>
      <c r="H1321" s="163"/>
      <c r="J1321" s="2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2.75" x14ac:dyDescent="0.2">
      <c r="A1322" s="1"/>
      <c r="B1322" s="1"/>
      <c r="C1322" s="1"/>
      <c r="D1322" s="1"/>
      <c r="E1322" s="1"/>
      <c r="F1322" s="164"/>
      <c r="G1322" s="165"/>
      <c r="H1322" s="163"/>
      <c r="J1322" s="2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2.75" x14ac:dyDescent="0.2">
      <c r="A1323" s="1"/>
      <c r="B1323" s="1"/>
      <c r="C1323" s="1"/>
      <c r="D1323" s="1"/>
      <c r="E1323" s="1"/>
      <c r="F1323" s="164"/>
      <c r="G1323" s="165"/>
      <c r="H1323" s="163"/>
      <c r="J1323" s="2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2.75" x14ac:dyDescent="0.2">
      <c r="A1324" s="1"/>
      <c r="B1324" s="1"/>
      <c r="C1324" s="1"/>
      <c r="D1324" s="1"/>
      <c r="E1324" s="1"/>
      <c r="F1324" s="164"/>
      <c r="G1324" s="165"/>
      <c r="H1324" s="163"/>
      <c r="J1324" s="2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2.75" x14ac:dyDescent="0.2">
      <c r="A1325" s="1"/>
      <c r="B1325" s="1"/>
      <c r="C1325" s="1"/>
      <c r="D1325" s="1"/>
      <c r="E1325" s="1"/>
      <c r="F1325" s="164"/>
      <c r="G1325" s="165"/>
      <c r="H1325" s="163"/>
      <c r="J1325" s="2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2.75" x14ac:dyDescent="0.2">
      <c r="A1326" s="1"/>
      <c r="B1326" s="1"/>
      <c r="C1326" s="1"/>
      <c r="D1326" s="1"/>
      <c r="E1326" s="1"/>
      <c r="F1326" s="164"/>
      <c r="G1326" s="165"/>
      <c r="H1326" s="163"/>
      <c r="J1326" s="2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2.75" x14ac:dyDescent="0.2">
      <c r="A1327" s="1"/>
      <c r="B1327" s="1"/>
      <c r="C1327" s="1"/>
      <c r="D1327" s="1"/>
      <c r="E1327" s="1"/>
      <c r="F1327" s="164"/>
      <c r="G1327" s="165"/>
      <c r="H1327" s="163"/>
      <c r="J1327" s="2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2.75" x14ac:dyDescent="0.2">
      <c r="A1328" s="1"/>
      <c r="B1328" s="1"/>
      <c r="C1328" s="1"/>
      <c r="D1328" s="1"/>
      <c r="E1328" s="1"/>
      <c r="F1328" s="164"/>
      <c r="G1328" s="165"/>
      <c r="H1328" s="163"/>
      <c r="J1328" s="2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2.75" x14ac:dyDescent="0.2">
      <c r="A1329" s="1"/>
      <c r="B1329" s="1"/>
      <c r="C1329" s="1"/>
      <c r="D1329" s="1"/>
      <c r="E1329" s="1"/>
      <c r="F1329" s="164"/>
      <c r="G1329" s="165"/>
      <c r="H1329" s="163"/>
      <c r="J1329" s="2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2.75" x14ac:dyDescent="0.2">
      <c r="A1330" s="1"/>
      <c r="B1330" s="1"/>
      <c r="C1330" s="1"/>
      <c r="D1330" s="1"/>
      <c r="E1330" s="1"/>
      <c r="F1330" s="164"/>
      <c r="G1330" s="165"/>
      <c r="H1330" s="163"/>
      <c r="J1330" s="2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2.75" x14ac:dyDescent="0.2">
      <c r="A1331" s="1"/>
      <c r="B1331" s="1"/>
      <c r="C1331" s="1"/>
      <c r="D1331" s="1"/>
      <c r="E1331" s="1"/>
      <c r="F1331" s="164"/>
      <c r="G1331" s="165"/>
      <c r="H1331" s="163"/>
      <c r="J1331" s="2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2.75" x14ac:dyDescent="0.2">
      <c r="A1332" s="1"/>
      <c r="B1332" s="1"/>
      <c r="C1332" s="1"/>
      <c r="D1332" s="1"/>
      <c r="E1332" s="1"/>
      <c r="F1332" s="164"/>
      <c r="G1332" s="165"/>
      <c r="H1332" s="163"/>
      <c r="J1332" s="2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2.75" x14ac:dyDescent="0.2">
      <c r="A1333" s="1"/>
      <c r="B1333" s="1"/>
      <c r="C1333" s="1"/>
      <c r="D1333" s="1"/>
      <c r="E1333" s="1"/>
      <c r="F1333" s="164"/>
      <c r="G1333" s="165"/>
      <c r="H1333" s="163"/>
      <c r="J1333" s="2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2.75" x14ac:dyDescent="0.2">
      <c r="A1334" s="1"/>
      <c r="B1334" s="1"/>
      <c r="C1334" s="1"/>
      <c r="D1334" s="1"/>
      <c r="E1334" s="1"/>
      <c r="F1334" s="164"/>
      <c r="G1334" s="165"/>
      <c r="H1334" s="163"/>
      <c r="J1334" s="2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2.75" x14ac:dyDescent="0.2">
      <c r="A1335" s="1"/>
      <c r="B1335" s="1"/>
      <c r="C1335" s="1"/>
      <c r="D1335" s="1"/>
      <c r="E1335" s="1"/>
      <c r="F1335" s="164"/>
      <c r="G1335" s="165"/>
      <c r="H1335" s="163"/>
      <c r="J1335" s="2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2.75" x14ac:dyDescent="0.2">
      <c r="A1336" s="1"/>
      <c r="B1336" s="1"/>
      <c r="C1336" s="1"/>
      <c r="D1336" s="1"/>
      <c r="E1336" s="1"/>
      <c r="F1336" s="164"/>
      <c r="G1336" s="165"/>
      <c r="H1336" s="163"/>
      <c r="J1336" s="2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2.75" x14ac:dyDescent="0.2">
      <c r="A1337" s="1"/>
      <c r="B1337" s="1"/>
      <c r="C1337" s="1"/>
      <c r="D1337" s="1"/>
      <c r="E1337" s="1"/>
      <c r="F1337" s="164"/>
      <c r="G1337" s="165"/>
      <c r="H1337" s="163"/>
      <c r="J1337" s="2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2.75" x14ac:dyDescent="0.2">
      <c r="A1338" s="1"/>
      <c r="B1338" s="1"/>
      <c r="C1338" s="1"/>
      <c r="D1338" s="1"/>
      <c r="E1338" s="1"/>
      <c r="F1338" s="164"/>
      <c r="G1338" s="165"/>
      <c r="H1338" s="163"/>
      <c r="J1338" s="2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2.75" x14ac:dyDescent="0.2">
      <c r="A1339" s="1"/>
      <c r="B1339" s="1"/>
      <c r="C1339" s="1"/>
      <c r="D1339" s="1"/>
      <c r="E1339" s="1"/>
      <c r="F1339" s="164"/>
      <c r="G1339" s="165"/>
      <c r="H1339" s="163"/>
      <c r="J1339" s="2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2.75" x14ac:dyDescent="0.2">
      <c r="A1340" s="1"/>
      <c r="B1340" s="1"/>
      <c r="C1340" s="1"/>
      <c r="D1340" s="1"/>
      <c r="E1340" s="1"/>
      <c r="F1340" s="164"/>
      <c r="G1340" s="165"/>
      <c r="H1340" s="163"/>
      <c r="J1340" s="2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2.75" x14ac:dyDescent="0.2">
      <c r="A1341" s="1"/>
      <c r="B1341" s="1"/>
      <c r="C1341" s="1"/>
      <c r="D1341" s="1"/>
      <c r="E1341" s="1"/>
      <c r="F1341" s="164"/>
      <c r="G1341" s="165"/>
      <c r="H1341" s="163"/>
      <c r="J1341" s="2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2.75" x14ac:dyDescent="0.2">
      <c r="A1342" s="1"/>
      <c r="B1342" s="1"/>
      <c r="C1342" s="1"/>
      <c r="D1342" s="1"/>
      <c r="E1342" s="1"/>
      <c r="F1342" s="164"/>
      <c r="G1342" s="165"/>
      <c r="H1342" s="163"/>
      <c r="J1342" s="2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2.75" x14ac:dyDescent="0.2">
      <c r="A1343" s="1"/>
      <c r="B1343" s="1"/>
      <c r="C1343" s="1"/>
      <c r="D1343" s="1"/>
      <c r="E1343" s="1"/>
      <c r="F1343" s="164"/>
      <c r="G1343" s="165"/>
      <c r="H1343" s="163"/>
      <c r="J1343" s="2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2.75" x14ac:dyDescent="0.2">
      <c r="A1344" s="1"/>
      <c r="B1344" s="1"/>
      <c r="C1344" s="1"/>
      <c r="D1344" s="1"/>
      <c r="E1344" s="1"/>
      <c r="F1344" s="164"/>
      <c r="G1344" s="165"/>
      <c r="H1344" s="163"/>
      <c r="J1344" s="2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2.75" x14ac:dyDescent="0.2">
      <c r="A1345" s="1"/>
      <c r="B1345" s="1"/>
      <c r="C1345" s="1"/>
      <c r="D1345" s="1"/>
      <c r="E1345" s="1"/>
      <c r="F1345" s="164"/>
      <c r="G1345" s="165"/>
      <c r="H1345" s="163"/>
      <c r="J1345" s="2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2.75" x14ac:dyDescent="0.2">
      <c r="A1346" s="1"/>
      <c r="B1346" s="1"/>
      <c r="C1346" s="1"/>
      <c r="D1346" s="1"/>
      <c r="E1346" s="1"/>
      <c r="F1346" s="164"/>
      <c r="G1346" s="165"/>
      <c r="H1346" s="163"/>
      <c r="J1346" s="2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2.75" x14ac:dyDescent="0.2">
      <c r="A1347" s="1"/>
      <c r="B1347" s="1"/>
      <c r="C1347" s="1"/>
      <c r="D1347" s="1"/>
      <c r="E1347" s="1"/>
      <c r="F1347" s="164"/>
      <c r="G1347" s="165"/>
      <c r="H1347" s="163"/>
      <c r="J1347" s="2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2.75" x14ac:dyDescent="0.2">
      <c r="A1348" s="1"/>
      <c r="B1348" s="1"/>
      <c r="C1348" s="1"/>
      <c r="D1348" s="1"/>
      <c r="E1348" s="1"/>
      <c r="F1348" s="164"/>
      <c r="G1348" s="165"/>
      <c r="H1348" s="163"/>
      <c r="J1348" s="2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2.75" x14ac:dyDescent="0.2">
      <c r="A1349" s="1"/>
      <c r="B1349" s="1"/>
      <c r="C1349" s="1"/>
      <c r="D1349" s="1"/>
      <c r="E1349" s="1"/>
      <c r="F1349" s="164"/>
      <c r="G1349" s="165"/>
      <c r="H1349" s="163"/>
      <c r="J1349" s="2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2.75" x14ac:dyDescent="0.2">
      <c r="A1350" s="1"/>
      <c r="B1350" s="1"/>
      <c r="C1350" s="1"/>
      <c r="D1350" s="1"/>
      <c r="E1350" s="1"/>
      <c r="F1350" s="164"/>
      <c r="G1350" s="165"/>
      <c r="H1350" s="163"/>
      <c r="J1350" s="2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2.75" x14ac:dyDescent="0.2">
      <c r="A1351" s="1"/>
      <c r="B1351" s="1"/>
      <c r="C1351" s="1"/>
      <c r="D1351" s="1"/>
      <c r="E1351" s="1"/>
      <c r="F1351" s="164"/>
      <c r="G1351" s="165"/>
      <c r="H1351" s="163"/>
      <c r="J1351" s="2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2.75" x14ac:dyDescent="0.2">
      <c r="A1352" s="1"/>
      <c r="B1352" s="1"/>
      <c r="C1352" s="1"/>
      <c r="D1352" s="1"/>
      <c r="E1352" s="1"/>
      <c r="F1352" s="164"/>
      <c r="G1352" s="165"/>
      <c r="H1352" s="163"/>
      <c r="J1352" s="2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2.75" x14ac:dyDescent="0.2">
      <c r="A1353" s="1"/>
      <c r="B1353" s="1"/>
      <c r="C1353" s="1"/>
      <c r="D1353" s="1"/>
      <c r="E1353" s="1"/>
      <c r="F1353" s="164"/>
      <c r="G1353" s="165"/>
      <c r="H1353" s="163"/>
      <c r="J1353" s="2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2.75" x14ac:dyDescent="0.2">
      <c r="A1354" s="1"/>
      <c r="B1354" s="1"/>
      <c r="C1354" s="1"/>
      <c r="D1354" s="1"/>
      <c r="E1354" s="1"/>
      <c r="F1354" s="164"/>
      <c r="G1354" s="165"/>
      <c r="H1354" s="163"/>
      <c r="J1354" s="2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2.75" x14ac:dyDescent="0.2">
      <c r="A1355" s="1"/>
      <c r="B1355" s="1"/>
      <c r="C1355" s="1"/>
      <c r="D1355" s="1"/>
      <c r="E1355" s="1"/>
      <c r="F1355" s="164"/>
      <c r="G1355" s="165"/>
      <c r="H1355" s="163"/>
      <c r="J1355" s="2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2.75" x14ac:dyDescent="0.2">
      <c r="A1356" s="1"/>
      <c r="B1356" s="1"/>
      <c r="C1356" s="1"/>
      <c r="D1356" s="1"/>
      <c r="E1356" s="1"/>
      <c r="F1356" s="164"/>
      <c r="G1356" s="165"/>
      <c r="H1356" s="163"/>
      <c r="J1356" s="2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2.75" x14ac:dyDescent="0.2">
      <c r="A1357" s="1"/>
      <c r="B1357" s="1"/>
      <c r="C1357" s="1"/>
      <c r="D1357" s="1"/>
      <c r="E1357" s="1"/>
      <c r="F1357" s="164"/>
      <c r="G1357" s="165"/>
      <c r="H1357" s="163"/>
      <c r="J1357" s="2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2.75" x14ac:dyDescent="0.2">
      <c r="A1358" s="1"/>
      <c r="B1358" s="1"/>
      <c r="C1358" s="1"/>
      <c r="D1358" s="1"/>
      <c r="E1358" s="1"/>
      <c r="F1358" s="164"/>
      <c r="G1358" s="165"/>
      <c r="H1358" s="163"/>
      <c r="J1358" s="2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2.75" x14ac:dyDescent="0.2">
      <c r="A1359" s="1"/>
      <c r="B1359" s="1"/>
      <c r="C1359" s="1"/>
      <c r="D1359" s="1"/>
      <c r="E1359" s="1"/>
      <c r="F1359" s="164"/>
      <c r="G1359" s="165"/>
      <c r="H1359" s="163"/>
      <c r="J1359" s="2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2.75" x14ac:dyDescent="0.2">
      <c r="A1360" s="1"/>
      <c r="B1360" s="1"/>
      <c r="C1360" s="1"/>
      <c r="D1360" s="1"/>
      <c r="E1360" s="1"/>
      <c r="F1360" s="164"/>
      <c r="G1360" s="165"/>
      <c r="H1360" s="163"/>
      <c r="J1360" s="2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2.75" x14ac:dyDescent="0.2">
      <c r="A1361" s="1"/>
      <c r="B1361" s="1"/>
      <c r="C1361" s="1"/>
      <c r="D1361" s="1"/>
      <c r="E1361" s="1"/>
      <c r="F1361" s="164"/>
      <c r="G1361" s="165"/>
      <c r="H1361" s="163"/>
      <c r="J1361" s="2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2.75" x14ac:dyDescent="0.2">
      <c r="A1362" s="1"/>
      <c r="B1362" s="1"/>
      <c r="C1362" s="1"/>
      <c r="D1362" s="1"/>
      <c r="E1362" s="1"/>
      <c r="F1362" s="164"/>
      <c r="G1362" s="165"/>
      <c r="H1362" s="163"/>
      <c r="J1362" s="2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2.75" x14ac:dyDescent="0.2">
      <c r="A1363" s="1"/>
      <c r="B1363" s="1"/>
      <c r="C1363" s="1"/>
      <c r="D1363" s="1"/>
      <c r="E1363" s="1"/>
      <c r="F1363" s="164"/>
      <c r="G1363" s="165"/>
      <c r="H1363" s="163"/>
      <c r="J1363" s="2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2.75" x14ac:dyDescent="0.2">
      <c r="A1364" s="1"/>
      <c r="B1364" s="1"/>
      <c r="C1364" s="1"/>
      <c r="D1364" s="1"/>
      <c r="E1364" s="1"/>
      <c r="F1364" s="164"/>
      <c r="G1364" s="165"/>
      <c r="H1364" s="163"/>
      <c r="J1364" s="2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2.75" x14ac:dyDescent="0.2">
      <c r="A1365" s="1"/>
      <c r="B1365" s="1"/>
      <c r="C1365" s="1"/>
      <c r="D1365" s="1"/>
      <c r="E1365" s="1"/>
      <c r="F1365" s="164"/>
      <c r="G1365" s="165"/>
      <c r="H1365" s="163"/>
      <c r="J1365" s="2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2.75" x14ac:dyDescent="0.2">
      <c r="A1366" s="1"/>
      <c r="B1366" s="1"/>
      <c r="C1366" s="1"/>
      <c r="D1366" s="1"/>
      <c r="E1366" s="1"/>
      <c r="F1366" s="164"/>
      <c r="G1366" s="165"/>
      <c r="H1366" s="163"/>
      <c r="J1366" s="2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2.75" x14ac:dyDescent="0.2">
      <c r="A1367" s="1"/>
      <c r="B1367" s="1"/>
      <c r="C1367" s="1"/>
      <c r="D1367" s="1"/>
      <c r="E1367" s="1"/>
      <c r="F1367" s="164"/>
      <c r="G1367" s="165"/>
      <c r="H1367" s="163"/>
      <c r="J1367" s="2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2.75" x14ac:dyDescent="0.2">
      <c r="A1368" s="1"/>
      <c r="B1368" s="1"/>
      <c r="C1368" s="1"/>
      <c r="D1368" s="1"/>
      <c r="E1368" s="1"/>
      <c r="F1368" s="164"/>
      <c r="G1368" s="165"/>
      <c r="H1368" s="163"/>
      <c r="J1368" s="2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2.75" x14ac:dyDescent="0.2">
      <c r="A1369" s="1"/>
      <c r="B1369" s="1"/>
      <c r="C1369" s="1"/>
      <c r="D1369" s="1"/>
      <c r="E1369" s="1"/>
      <c r="F1369" s="164"/>
      <c r="G1369" s="165"/>
      <c r="H1369" s="163"/>
      <c r="J1369" s="2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2.75" x14ac:dyDescent="0.2">
      <c r="A1370" s="1"/>
      <c r="B1370" s="1"/>
      <c r="C1370" s="1"/>
      <c r="D1370" s="1"/>
      <c r="E1370" s="1"/>
      <c r="F1370" s="164"/>
      <c r="G1370" s="165"/>
      <c r="H1370" s="163"/>
      <c r="J1370" s="2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2.75" x14ac:dyDescent="0.2">
      <c r="A1371" s="1"/>
      <c r="B1371" s="1"/>
      <c r="C1371" s="1"/>
      <c r="D1371" s="1"/>
      <c r="E1371" s="1"/>
      <c r="F1371" s="164"/>
      <c r="G1371" s="165"/>
      <c r="H1371" s="163"/>
      <c r="J1371" s="2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2.75" x14ac:dyDescent="0.2">
      <c r="A1372" s="1"/>
      <c r="B1372" s="1"/>
      <c r="C1372" s="1"/>
      <c r="D1372" s="1"/>
      <c r="E1372" s="1"/>
      <c r="F1372" s="164"/>
      <c r="G1372" s="165"/>
      <c r="H1372" s="163"/>
      <c r="J1372" s="2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2.75" x14ac:dyDescent="0.2">
      <c r="A1373" s="1"/>
      <c r="B1373" s="1"/>
      <c r="C1373" s="1"/>
      <c r="D1373" s="1"/>
      <c r="E1373" s="1"/>
      <c r="F1373" s="164"/>
      <c r="G1373" s="165"/>
      <c r="H1373" s="163"/>
      <c r="J1373" s="2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2.75" x14ac:dyDescent="0.2">
      <c r="A1374" s="1"/>
      <c r="B1374" s="1"/>
      <c r="C1374" s="1"/>
      <c r="D1374" s="1"/>
      <c r="E1374" s="1"/>
      <c r="F1374" s="164"/>
      <c r="G1374" s="165"/>
      <c r="H1374" s="163"/>
      <c r="J1374" s="2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2.75" x14ac:dyDescent="0.2">
      <c r="A1375" s="1"/>
      <c r="B1375" s="1"/>
      <c r="C1375" s="1"/>
      <c r="D1375" s="1"/>
      <c r="E1375" s="1"/>
      <c r="F1375" s="164"/>
      <c r="G1375" s="165"/>
      <c r="H1375" s="163"/>
      <c r="J1375" s="2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2.75" x14ac:dyDescent="0.2">
      <c r="A1376" s="1"/>
      <c r="B1376" s="1"/>
      <c r="C1376" s="1"/>
      <c r="D1376" s="1"/>
      <c r="E1376" s="1"/>
      <c r="F1376" s="164"/>
      <c r="G1376" s="165"/>
      <c r="H1376" s="163"/>
      <c r="J1376" s="2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2.75" x14ac:dyDescent="0.2">
      <c r="A1377" s="1"/>
      <c r="B1377" s="1"/>
      <c r="C1377" s="1"/>
      <c r="D1377" s="1"/>
      <c r="E1377" s="1"/>
      <c r="F1377" s="164"/>
      <c r="G1377" s="165"/>
      <c r="H1377" s="163"/>
      <c r="J1377" s="2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2.75" x14ac:dyDescent="0.2">
      <c r="A1378" s="1"/>
      <c r="B1378" s="1"/>
      <c r="C1378" s="1"/>
      <c r="D1378" s="1"/>
      <c r="E1378" s="1"/>
      <c r="F1378" s="164"/>
      <c r="G1378" s="165"/>
      <c r="H1378" s="163"/>
      <c r="J1378" s="2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2.75" x14ac:dyDescent="0.2">
      <c r="A1379" s="1"/>
      <c r="B1379" s="1"/>
      <c r="C1379" s="1"/>
      <c r="D1379" s="1"/>
      <c r="E1379" s="1"/>
      <c r="F1379" s="164"/>
      <c r="G1379" s="165"/>
      <c r="H1379" s="163"/>
      <c r="J1379" s="2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2.75" x14ac:dyDescent="0.2">
      <c r="A1380" s="1"/>
      <c r="B1380" s="1"/>
      <c r="C1380" s="1"/>
      <c r="D1380" s="1"/>
      <c r="E1380" s="1"/>
      <c r="F1380" s="164"/>
      <c r="G1380" s="165"/>
      <c r="H1380" s="163"/>
      <c r="J1380" s="2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2.75" x14ac:dyDescent="0.2">
      <c r="A1381" s="1"/>
      <c r="B1381" s="1"/>
      <c r="C1381" s="1"/>
      <c r="D1381" s="1"/>
      <c r="E1381" s="1"/>
      <c r="F1381" s="164"/>
      <c r="G1381" s="165"/>
      <c r="H1381" s="163"/>
      <c r="J1381" s="2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2.75" x14ac:dyDescent="0.2">
      <c r="A1382" s="1"/>
      <c r="B1382" s="1"/>
      <c r="C1382" s="1"/>
      <c r="D1382" s="1"/>
      <c r="E1382" s="1"/>
      <c r="F1382" s="164"/>
      <c r="G1382" s="165"/>
      <c r="H1382" s="163"/>
      <c r="J1382" s="2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2.75" x14ac:dyDescent="0.2">
      <c r="A1383" s="1"/>
      <c r="B1383" s="1"/>
      <c r="C1383" s="1"/>
      <c r="D1383" s="1"/>
      <c r="E1383" s="1"/>
      <c r="F1383" s="164"/>
      <c r="G1383" s="165"/>
      <c r="H1383" s="163"/>
      <c r="J1383" s="2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2.75" x14ac:dyDescent="0.2">
      <c r="A1384" s="1"/>
      <c r="B1384" s="1"/>
      <c r="C1384" s="1"/>
      <c r="D1384" s="1"/>
      <c r="E1384" s="1"/>
      <c r="F1384" s="164"/>
      <c r="G1384" s="165"/>
      <c r="H1384" s="163"/>
      <c r="J1384" s="2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2.75" x14ac:dyDescent="0.2">
      <c r="A1385" s="1"/>
      <c r="B1385" s="1"/>
      <c r="C1385" s="1"/>
      <c r="D1385" s="1"/>
      <c r="E1385" s="1"/>
      <c r="F1385" s="164"/>
      <c r="G1385" s="165"/>
      <c r="H1385" s="163"/>
      <c r="J1385" s="2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2.75" x14ac:dyDescent="0.2">
      <c r="A1386" s="1"/>
      <c r="B1386" s="1"/>
      <c r="C1386" s="1"/>
      <c r="D1386" s="1"/>
      <c r="E1386" s="1"/>
      <c r="F1386" s="164"/>
      <c r="G1386" s="165"/>
      <c r="H1386" s="163"/>
      <c r="J1386" s="2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2.75" x14ac:dyDescent="0.2">
      <c r="A1387" s="1"/>
      <c r="B1387" s="1"/>
      <c r="C1387" s="1"/>
      <c r="D1387" s="1"/>
      <c r="E1387" s="1"/>
      <c r="F1387" s="164"/>
      <c r="G1387" s="165"/>
      <c r="H1387" s="163"/>
      <c r="J1387" s="2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2.75" x14ac:dyDescent="0.2">
      <c r="A1388" s="1"/>
      <c r="B1388" s="1"/>
      <c r="C1388" s="1"/>
      <c r="D1388" s="1"/>
      <c r="E1388" s="1"/>
      <c r="F1388" s="164"/>
      <c r="G1388" s="165"/>
      <c r="H1388" s="163"/>
      <c r="J1388" s="2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2.75" x14ac:dyDescent="0.2">
      <c r="A1389" s="1"/>
      <c r="B1389" s="1"/>
      <c r="C1389" s="1"/>
      <c r="D1389" s="1"/>
      <c r="E1389" s="1"/>
      <c r="F1389" s="164"/>
      <c r="G1389" s="165"/>
      <c r="H1389" s="163"/>
      <c r="J1389" s="2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2.75" x14ac:dyDescent="0.2">
      <c r="A1390" s="1"/>
      <c r="B1390" s="1"/>
      <c r="C1390" s="1"/>
      <c r="D1390" s="1"/>
      <c r="E1390" s="1"/>
      <c r="F1390" s="164"/>
      <c r="G1390" s="165"/>
      <c r="H1390" s="163"/>
      <c r="J1390" s="2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2.75" x14ac:dyDescent="0.2">
      <c r="A1391" s="1"/>
      <c r="B1391" s="1"/>
      <c r="C1391" s="1"/>
      <c r="D1391" s="1"/>
      <c r="E1391" s="1"/>
      <c r="F1391" s="164"/>
      <c r="G1391" s="165"/>
      <c r="H1391" s="163"/>
      <c r="J1391" s="2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2.75" x14ac:dyDescent="0.2">
      <c r="A1392" s="1"/>
      <c r="B1392" s="1"/>
      <c r="C1392" s="1"/>
      <c r="D1392" s="1"/>
      <c r="E1392" s="1"/>
      <c r="F1392" s="164"/>
      <c r="G1392" s="165"/>
      <c r="H1392" s="163"/>
      <c r="J1392" s="2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2.75" x14ac:dyDescent="0.2">
      <c r="A1393" s="1"/>
      <c r="B1393" s="1"/>
      <c r="C1393" s="1"/>
      <c r="D1393" s="1"/>
      <c r="E1393" s="1"/>
      <c r="F1393" s="164"/>
      <c r="G1393" s="165"/>
      <c r="H1393" s="163"/>
      <c r="J1393" s="2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2.75" x14ac:dyDescent="0.2">
      <c r="A1394" s="1"/>
      <c r="B1394" s="1"/>
      <c r="C1394" s="1"/>
      <c r="D1394" s="1"/>
      <c r="E1394" s="1"/>
      <c r="F1394" s="164"/>
      <c r="G1394" s="165"/>
      <c r="H1394" s="163"/>
      <c r="J1394" s="2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2.75" x14ac:dyDescent="0.2">
      <c r="A1395" s="1"/>
      <c r="B1395" s="1"/>
      <c r="C1395" s="1"/>
      <c r="D1395" s="1"/>
      <c r="E1395" s="1"/>
      <c r="F1395" s="164"/>
      <c r="G1395" s="165"/>
      <c r="H1395" s="163"/>
      <c r="J1395" s="2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2.75" x14ac:dyDescent="0.2">
      <c r="A1396" s="1"/>
      <c r="B1396" s="1"/>
      <c r="C1396" s="1"/>
      <c r="D1396" s="1"/>
      <c r="E1396" s="1"/>
      <c r="F1396" s="164"/>
      <c r="G1396" s="165"/>
      <c r="H1396" s="163"/>
      <c r="J1396" s="2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2.75" x14ac:dyDescent="0.2">
      <c r="A1397" s="1"/>
      <c r="B1397" s="1"/>
      <c r="C1397" s="1"/>
      <c r="D1397" s="1"/>
      <c r="E1397" s="1"/>
      <c r="F1397" s="164"/>
      <c r="G1397" s="165"/>
      <c r="H1397" s="163"/>
      <c r="J1397" s="2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2.75" x14ac:dyDescent="0.2">
      <c r="A1398" s="1"/>
      <c r="B1398" s="1"/>
      <c r="C1398" s="1"/>
      <c r="D1398" s="1"/>
      <c r="E1398" s="1"/>
      <c r="F1398" s="164"/>
      <c r="G1398" s="165"/>
      <c r="H1398" s="163"/>
      <c r="J1398" s="2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2.75" x14ac:dyDescent="0.2">
      <c r="A1399" s="1"/>
      <c r="B1399" s="1"/>
      <c r="C1399" s="1"/>
      <c r="D1399" s="1"/>
      <c r="E1399" s="1"/>
      <c r="F1399" s="164"/>
      <c r="G1399" s="165"/>
      <c r="H1399" s="163"/>
      <c r="J1399" s="2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2.75" x14ac:dyDescent="0.2">
      <c r="A1400" s="1"/>
      <c r="B1400" s="1"/>
      <c r="C1400" s="1"/>
      <c r="D1400" s="1"/>
      <c r="E1400" s="1"/>
      <c r="F1400" s="164"/>
      <c r="G1400" s="165"/>
      <c r="H1400" s="163"/>
      <c r="J1400" s="2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2.75" x14ac:dyDescent="0.2">
      <c r="A1401" s="1"/>
      <c r="B1401" s="1"/>
      <c r="C1401" s="1"/>
      <c r="D1401" s="1"/>
      <c r="E1401" s="1"/>
      <c r="F1401" s="164"/>
      <c r="G1401" s="165"/>
      <c r="H1401" s="163"/>
      <c r="J1401" s="2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2.75" x14ac:dyDescent="0.2">
      <c r="A1402" s="1"/>
      <c r="B1402" s="1"/>
      <c r="C1402" s="1"/>
      <c r="D1402" s="1"/>
      <c r="E1402" s="1"/>
      <c r="F1402" s="164"/>
      <c r="G1402" s="165"/>
      <c r="H1402" s="163"/>
      <c r="J1402" s="2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2.75" x14ac:dyDescent="0.2">
      <c r="A1403" s="1"/>
      <c r="B1403" s="1"/>
      <c r="C1403" s="1"/>
      <c r="D1403" s="1"/>
      <c r="E1403" s="1"/>
      <c r="F1403" s="164"/>
      <c r="G1403" s="165"/>
      <c r="H1403" s="163"/>
      <c r="J1403" s="2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2.75" x14ac:dyDescent="0.2">
      <c r="A1404" s="1"/>
      <c r="B1404" s="1"/>
      <c r="C1404" s="1"/>
      <c r="D1404" s="1"/>
      <c r="E1404" s="1"/>
      <c r="F1404" s="164"/>
      <c r="G1404" s="165"/>
      <c r="H1404" s="163"/>
      <c r="J1404" s="2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2.75" x14ac:dyDescent="0.2">
      <c r="A1405" s="1"/>
      <c r="B1405" s="1"/>
      <c r="C1405" s="1"/>
      <c r="D1405" s="1"/>
      <c r="E1405" s="1"/>
      <c r="F1405" s="164"/>
      <c r="G1405" s="165"/>
      <c r="H1405" s="163"/>
      <c r="J1405" s="2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2.75" x14ac:dyDescent="0.2">
      <c r="A1406" s="1"/>
      <c r="B1406" s="1"/>
      <c r="C1406" s="1"/>
      <c r="D1406" s="1"/>
      <c r="E1406" s="1"/>
      <c r="F1406" s="164"/>
      <c r="G1406" s="165"/>
      <c r="H1406" s="163"/>
      <c r="J1406" s="2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2.75" x14ac:dyDescent="0.2">
      <c r="A1407" s="1"/>
      <c r="B1407" s="1"/>
      <c r="C1407" s="1"/>
      <c r="D1407" s="1"/>
      <c r="E1407" s="1"/>
      <c r="F1407" s="164"/>
      <c r="G1407" s="165"/>
      <c r="H1407" s="163"/>
      <c r="J1407" s="2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2.75" x14ac:dyDescent="0.2">
      <c r="A1408" s="1"/>
      <c r="B1408" s="1"/>
      <c r="C1408" s="1"/>
      <c r="D1408" s="1"/>
      <c r="E1408" s="1"/>
      <c r="F1408" s="164"/>
      <c r="G1408" s="165"/>
      <c r="H1408" s="163"/>
      <c r="J1408" s="2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2.75" x14ac:dyDescent="0.2">
      <c r="A1409" s="1"/>
      <c r="B1409" s="1"/>
      <c r="C1409" s="1"/>
      <c r="D1409" s="1"/>
      <c r="E1409" s="1"/>
      <c r="F1409" s="164"/>
      <c r="G1409" s="165"/>
      <c r="H1409" s="163"/>
      <c r="J1409" s="2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2.75" x14ac:dyDescent="0.2">
      <c r="A1410" s="1"/>
      <c r="B1410" s="1"/>
      <c r="C1410" s="1"/>
      <c r="D1410" s="1"/>
      <c r="E1410" s="1"/>
      <c r="F1410" s="164"/>
      <c r="G1410" s="165"/>
      <c r="H1410" s="163"/>
      <c r="J1410" s="2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2.75" x14ac:dyDescent="0.2">
      <c r="A1411" s="1"/>
      <c r="B1411" s="1"/>
      <c r="C1411" s="1"/>
      <c r="D1411" s="1"/>
      <c r="E1411" s="1"/>
      <c r="F1411" s="164"/>
      <c r="G1411" s="165"/>
      <c r="H1411" s="163"/>
      <c r="J1411" s="2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2.75" x14ac:dyDescent="0.2">
      <c r="A1412" s="1"/>
      <c r="B1412" s="1"/>
      <c r="C1412" s="1"/>
      <c r="D1412" s="1"/>
      <c r="E1412" s="1"/>
      <c r="F1412" s="164"/>
      <c r="G1412" s="165"/>
      <c r="H1412" s="163"/>
      <c r="J1412" s="2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</sheetData>
  <customSheetViews>
    <customSheetView guid="{8E53735F-36F0-42F4-A48C-203EA167752A}" filter="1" showAutoFilter="1">
      <pageMargins left="0" right="0" top="0" bottom="0" header="0" footer="0"/>
      <autoFilter ref="A1:Q995" xr:uid="{093443B5-3ACB-4622-8EEC-849A2202F19A}">
        <filterColumn colId="15">
          <filters>
            <filter val="2020"/>
            <filter val="2021"/>
            <filter val="2022"/>
          </filters>
        </filterColumn>
      </autoFilter>
    </customSheetView>
  </customSheetViews>
  <conditionalFormatting sqref="L2:L325 P2:T455 M392:M449 L426:L443 U438:U1412 L445:L449 L450:M450 M451:M453 M454:N1412">
    <cfRule type="containsBlanks" dxfId="3" priority="7">
      <formula>LEN(TRIM(L2))=0</formula>
    </cfRule>
  </conditionalFormatting>
  <conditionalFormatting sqref="L451">
    <cfRule type="containsBlanks" dxfId="2" priority="1">
      <formula>LEN(TRIM(L451))=0</formula>
    </cfRule>
  </conditionalFormatting>
  <conditionalFormatting sqref="L453">
    <cfRule type="containsBlanks" dxfId="1" priority="2">
      <formula>LEN(TRIM(L453))=0</formula>
    </cfRule>
  </conditionalFormatting>
  <conditionalFormatting sqref="L2:M391 L392:L420">
    <cfRule type="containsBlanks" dxfId="0" priority="8">
      <formula>LEN(TRIM(L2))=0</formula>
    </cfRule>
  </conditionalFormatting>
  <dataValidations count="2">
    <dataValidation type="whole" errorStyle="information" operator="greaterThan" allowBlank="1" showInputMessage="1" showErrorMessage="1" errorTitle="Error Ingreso de Datos" error="Ingrese sólo números, sin puntos, comas, letras ó caracteres especiales" sqref="A315:A323 A310:A313" xr:uid="{D01D07A0-6F0B-467C-98F3-C4CD9483DFA1}">
      <formula1>0</formula1>
    </dataValidation>
    <dataValidation type="custom" errorStyle="information" allowBlank="1" showInputMessage="1" showErrorMessage="1" errorTitle="Error de Ingreso de Datos" error="Debe ingresar sólo TEXTO, sin números, letras ó caracteres especiales." sqref="B315:B323 B310:B313" xr:uid="{1E1A7D4A-58CE-427C-9E71-BABD2EB905CA}">
      <formula1>ISTEXT(B310)</formula1>
    </dataValidation>
  </dataValidations>
  <pageMargins left="0.7" right="0.7" top="0.75" bottom="0.75" header="0.3" footer="0.3"/>
  <pageSetup orientation="portrait" r:id="rId1"/>
  <ignoredErrors>
    <ignoredError sqref="K421:K425 K426:K431 K432:K437 K415:K420 K408:K414 K399:K407 K387:K398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000-000001000000}">
          <x14:formula1>
            <xm:f>VALIDACIONES!$I$2:$I$4</xm:f>
          </x14:formula1>
          <xm:sqref>D2:D295 C296:D296 D297:D1412</xm:sqref>
        </x14:dataValidation>
        <x14:dataValidation type="list" allowBlank="1" showInputMessage="1" showErrorMessage="1" xr:uid="{E6E824C1-55E6-439A-962C-1273D214D365}">
          <x14:formula1>
            <xm:f>VALIDACIONES!$L$2:$L$4</xm:f>
          </x14:formula1>
          <xm:sqref>P2:P443</xm:sqref>
        </x14:dataValidation>
        <x14:dataValidation type="list" allowBlank="1" showErrorMessage="1" xr:uid="{00000000-0002-0000-0000-000000000000}">
          <x14:formula1>
            <xm:f>VALIDACIONES!$K$2:$K$11</xm:f>
          </x14:formula1>
          <xm:sqref>M2:M455 N454:N1412</xm:sqref>
        </x14:dataValidation>
        <x14:dataValidation type="list" allowBlank="1" showInputMessage="1" showErrorMessage="1" xr:uid="{C229E6EB-A790-4CAD-8CF1-2298F4C9D3D7}">
          <x14:formula1>
            <xm:f>VALIDACIONES!$M$2:$M$4</xm:f>
          </x14:formula1>
          <xm:sqref>K1:K455 L444:L448 L452 L454:L1048576</xm:sqref>
        </x14:dataValidation>
        <x14:dataValidation type="list" allowBlank="1" showErrorMessage="1" xr:uid="{2C14D561-5D39-4E51-B637-CF3D941AEE00}">
          <x14:formula1>
            <xm:f>VALIDACIONES!$J$2:$J$17</xm:f>
          </x14:formula1>
          <xm:sqref>E1:E438</xm:sqref>
        </x14:dataValidation>
        <x14:dataValidation type="list" allowBlank="1" showInputMessage="1" showErrorMessage="1" xr:uid="{1929997C-9C75-4DCC-8EF5-3430BC630DD4}">
          <x14:formula1>
            <xm:f>VALIDACIONES!$N$2:$N$3</xm:f>
          </x14:formula1>
          <xm:sqref>Q2:Q455</xm:sqref>
        </x14:dataValidation>
        <x14:dataValidation type="list" allowBlank="1" showInputMessage="1" showErrorMessage="1" xr:uid="{226D16D6-0191-4E3F-9EE9-776CC9643833}">
          <x14:formula1>
            <xm:f>VALIDACIONES!$O$2:$O$3</xm:f>
          </x14:formula1>
          <xm:sqref>R2:T437 P2:P443</xm:sqref>
        </x14:dataValidation>
        <x14:dataValidation type="list" allowBlank="1" showErrorMessage="1" xr:uid="{00000000-0002-0000-0000-000002000000}">
          <x14:formula1>
            <xm:f>VALIDACIONES!$J$2:$J$15</xm:f>
          </x14:formula1>
          <xm:sqref>E439:E449 E456:E1412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17F3249C97DE4A90C6CA3DEEBC9989" ma:contentTypeVersion="5" ma:contentTypeDescription="Crear nuevo documento." ma:contentTypeScope="" ma:versionID="fe15534206660eeb00da1fe1c813b339">
  <xsd:schema xmlns:xsd="http://www.w3.org/2001/XMLSchema" xmlns:xs="http://www.w3.org/2001/XMLSchema" xmlns:p="http://schemas.microsoft.com/office/2006/metadata/properties" xmlns:ns3="40af6126-590e-4f29-9159-ff840c72eabb" xmlns:ns4="474b4ec2-0679-4f83-98a0-0e694b3a4911" targetNamespace="http://schemas.microsoft.com/office/2006/metadata/properties" ma:root="true" ma:fieldsID="cd8f6a2eae59512631c9d323f1a342f8" ns3:_="" ns4:_="">
    <xsd:import namespace="40af6126-590e-4f29-9159-ff840c72eabb"/>
    <xsd:import namespace="474b4ec2-0679-4f83-98a0-0e694b3a49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f6126-590e-4f29-9159-ff840c72e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b4ec2-0679-4f83-98a0-0e694b3a49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8F94FEE-8449-42E0-ADB0-65A8CB6927F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C341950-6C2D-410E-B8FF-4852BA5CD2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f6126-590e-4f29-9159-ff840c72eabb"/>
    <ds:schemaRef ds:uri="474b4ec2-0679-4f83-98a0-0e694b3a4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E79A9C-D3CF-4F9E-B986-42B1256AAB6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746FF5E-2C83-42C0-9FE5-2596CD83C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 INFRACCIONES </vt:lpstr>
      <vt:lpstr>CORRESPONDENCIA</vt:lpstr>
      <vt:lpstr>VALIDACIONES</vt:lpstr>
      <vt:lpstr>INFRACCIONES 2017-2024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Dayana Restrepo</dc:creator>
  <cp:keywords/>
  <dc:description/>
  <cp:lastModifiedBy>Alejandra Betancur</cp:lastModifiedBy>
  <cp:revision/>
  <dcterms:created xsi:type="dcterms:W3CDTF">2022-06-10T19:07:33Z</dcterms:created>
  <dcterms:modified xsi:type="dcterms:W3CDTF">2026-06-27T02:57:30Z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0x010100B417F3249C97DE4A90C6CA3DEEBC9989</vt:lpwstr>
  </property>
</Properties>
</file>