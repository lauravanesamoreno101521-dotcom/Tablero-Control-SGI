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ejandra.betancur\Desktop\TABLERO DE CONTROL GERENCIA 2026\PARA TRABAJAR TABLERO\"/>
    </mc:Choice>
  </mc:AlternateContent>
  <xr:revisionPtr revIDLastSave="0" documentId="13_ncr:1_{B71EF495-2921-4894-A6F0-72A1E015A58F}" xr6:coauthVersionLast="47" xr6:coauthVersionMax="47" xr10:uidLastSave="{00000000-0000-0000-0000-000000000000}"/>
  <bookViews>
    <workbookView xWindow="-120" yWindow="-120" windowWidth="20730" windowHeight="11040" firstSheet="1" activeTab="1" xr2:uid="{00000000-000D-0000-FFFF-FFFF00000000}"/>
  </bookViews>
  <sheets>
    <sheet name="FT-GEI-SO-017-2026" sheetId="11" r:id="rId1"/>
    <sheet name="bd_AT_SV_IT_2026" sheetId="27" r:id="rId2"/>
    <sheet name="FT-GEI-SO-017-2025" sheetId="28" r:id="rId3"/>
    <sheet name="FT-GEI-SO-017-2024" sheetId="29" r:id="rId4"/>
    <sheet name="FT-GEI-SO-017-2023" sheetId="30" r:id="rId5"/>
    <sheet name="INFORMACION GENERAL" sheetId="10" r:id="rId6"/>
    <sheet name="Lista" sheetId="7" state="hidden" r:id="rId7"/>
  </sheets>
  <externalReferences>
    <externalReference r:id="rId8"/>
    <externalReference r:id="rId9"/>
    <externalReference r:id="rId10"/>
    <externalReference r:id="rId11"/>
  </externalReferences>
  <definedNames>
    <definedName name="_xlnm._FilterDatabase" localSheetId="1" hidden="1">bd_AT_SV_IT_2026!$A$1:$AG$48</definedName>
    <definedName name="AMBIENTAL">#REF!</definedName>
    <definedName name="_xlnm.Print_Area" localSheetId="0">'FT-GEI-SO-017-2026'!$A$1:$O$61</definedName>
    <definedName name="CALIDAD">#REF!</definedName>
    <definedName name="EPM">#REF!</definedName>
    <definedName name="HIGIENE">#REF!</definedName>
    <definedName name="Proceso">#REF!</definedName>
    <definedName name="SALUD">#REF!</definedName>
    <definedName name="SEGUR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2" i="27" l="1"/>
  <c r="AF42" i="27"/>
  <c r="AE43" i="27"/>
  <c r="AF43" i="27"/>
  <c r="AE44" i="27"/>
  <c r="AF44" i="27"/>
  <c r="AE45" i="27"/>
  <c r="AF45" i="27"/>
  <c r="AE46" i="27"/>
  <c r="AF46" i="27"/>
  <c r="AE47" i="27"/>
  <c r="AF47" i="27"/>
  <c r="AE48" i="27"/>
  <c r="AF48" i="27"/>
  <c r="AF3" i="27"/>
  <c r="AF4" i="27"/>
  <c r="AF5" i="27"/>
  <c r="AF6" i="27"/>
  <c r="AF7" i="27"/>
  <c r="AF8" i="27"/>
  <c r="AF9" i="27"/>
  <c r="AF10" i="27"/>
  <c r="AF11" i="27"/>
  <c r="AF12" i="27"/>
  <c r="AF13" i="27"/>
  <c r="AF14" i="27"/>
  <c r="AF15" i="27"/>
  <c r="AF16" i="27"/>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2" i="27"/>
  <c r="AE3" i="27"/>
  <c r="AE4" i="27"/>
  <c r="AE5" i="27"/>
  <c r="AE6" i="27"/>
  <c r="AE7"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35" i="27"/>
  <c r="AE36" i="27"/>
  <c r="AE37" i="27"/>
  <c r="AE38" i="27"/>
  <c r="AE39" i="27"/>
  <c r="AE40" i="27"/>
  <c r="AE41" i="27"/>
  <c r="AE2" i="27"/>
  <c r="A5" i="27"/>
  <c r="A4" i="27"/>
  <c r="A3" i="27"/>
  <c r="A2" i="27"/>
  <c r="M25" i="28" l="1"/>
  <c r="L25" i="28"/>
  <c r="K25" i="28"/>
  <c r="J25" i="28"/>
  <c r="I25" i="28"/>
  <c r="H25" i="28"/>
  <c r="G25" i="28"/>
  <c r="F25" i="28"/>
  <c r="N25" i="28" s="1"/>
  <c r="E25" i="28"/>
  <c r="D25" i="28"/>
  <c r="C25" i="28"/>
  <c r="B25" i="28"/>
  <c r="M24" i="28"/>
  <c r="L24" i="28"/>
  <c r="K24" i="28"/>
  <c r="J24" i="28"/>
  <c r="I24" i="28"/>
  <c r="H24" i="28"/>
  <c r="G24" i="28"/>
  <c r="F24" i="28"/>
  <c r="E24" i="28"/>
  <c r="D24" i="28"/>
  <c r="C24" i="28"/>
  <c r="N24" i="28" s="1"/>
  <c r="B24" i="28"/>
  <c r="M23" i="28"/>
  <c r="L23" i="28"/>
  <c r="K23" i="28"/>
  <c r="J23" i="28"/>
  <c r="I23" i="28"/>
  <c r="H23" i="28"/>
  <c r="G23" i="28"/>
  <c r="F23" i="28"/>
  <c r="E23" i="28"/>
  <c r="D23" i="28"/>
  <c r="C23" i="28"/>
  <c r="B23" i="28"/>
  <c r="M22" i="28"/>
  <c r="L22" i="28"/>
  <c r="K22" i="28"/>
  <c r="J22" i="28"/>
  <c r="I22" i="28"/>
  <c r="H22" i="28"/>
  <c r="G22" i="28"/>
  <c r="F22" i="28"/>
  <c r="E22" i="28"/>
  <c r="N22" i="28" s="1"/>
  <c r="D22" i="28"/>
  <c r="C22" i="28"/>
  <c r="B22" i="28"/>
  <c r="M21" i="28"/>
  <c r="L21" i="28"/>
  <c r="K21" i="28"/>
  <c r="J21" i="28"/>
  <c r="I21" i="28"/>
  <c r="H21" i="28"/>
  <c r="G21" i="28"/>
  <c r="F21" i="28"/>
  <c r="E21" i="28"/>
  <c r="D21" i="28"/>
  <c r="C21" i="28"/>
  <c r="B21" i="28"/>
  <c r="N21" i="28" s="1"/>
  <c r="H20" i="28"/>
  <c r="G20" i="28"/>
  <c r="M19" i="28"/>
  <c r="L19" i="28"/>
  <c r="K19" i="28"/>
  <c r="J19" i="28"/>
  <c r="I19" i="28"/>
  <c r="H19" i="28"/>
  <c r="G19" i="28"/>
  <c r="F19" i="28"/>
  <c r="F20" i="28" s="1"/>
  <c r="E19" i="28"/>
  <c r="D19" i="28"/>
  <c r="N19" i="28" s="1"/>
  <c r="C19" i="28"/>
  <c r="B19" i="28"/>
  <c r="M18" i="28"/>
  <c r="M20" i="28" s="1"/>
  <c r="L18" i="28"/>
  <c r="L20" i="28" s="1"/>
  <c r="K18" i="28"/>
  <c r="K20" i="28" s="1"/>
  <c r="J18" i="28"/>
  <c r="J20" i="28" s="1"/>
  <c r="I18" i="28"/>
  <c r="I20" i="28" s="1"/>
  <c r="H18" i="28"/>
  <c r="G18" i="28"/>
  <c r="F18" i="28"/>
  <c r="E18" i="28"/>
  <c r="E20" i="28" s="1"/>
  <c r="D18" i="28"/>
  <c r="D20" i="28" s="1"/>
  <c r="C18" i="28"/>
  <c r="C20" i="28" s="1"/>
  <c r="B18" i="28"/>
  <c r="B20" i="28" s="1"/>
  <c r="N20" i="28" s="1"/>
  <c r="N17" i="28"/>
  <c r="N16" i="28"/>
  <c r="N15" i="28"/>
  <c r="N14" i="28"/>
  <c r="D13" i="28"/>
  <c r="C13" i="28"/>
  <c r="B13" i="28"/>
  <c r="N13" i="28" s="1"/>
  <c r="N12" i="28"/>
  <c r="N11" i="28"/>
  <c r="N10" i="28"/>
  <c r="N9" i="28"/>
  <c r="N8" i="28"/>
  <c r="N23" i="28" s="1"/>
  <c r="N7" i="28"/>
  <c r="N6" i="28"/>
  <c r="N5" i="28"/>
  <c r="N18" i="28" l="1"/>
  <c r="M24" i="29" l="1"/>
  <c r="L24" i="29"/>
  <c r="K24" i="29"/>
  <c r="J24" i="29"/>
  <c r="I24" i="29"/>
  <c r="H24" i="29"/>
  <c r="G24" i="29"/>
  <c r="F24" i="29"/>
  <c r="E24" i="29"/>
  <c r="D24" i="29"/>
  <c r="C24" i="29"/>
  <c r="N24" i="29" s="1"/>
  <c r="B24" i="29"/>
  <c r="M23" i="29"/>
  <c r="L23" i="29"/>
  <c r="K23" i="29"/>
  <c r="J23" i="29"/>
  <c r="I23" i="29"/>
  <c r="H23" i="29"/>
  <c r="G23" i="29"/>
  <c r="F23" i="29"/>
  <c r="E23" i="29"/>
  <c r="D23" i="29"/>
  <c r="C23" i="29"/>
  <c r="B23" i="29"/>
  <c r="N23" i="29" s="1"/>
  <c r="M22" i="29"/>
  <c r="L22" i="29"/>
  <c r="K22" i="29"/>
  <c r="J22" i="29"/>
  <c r="I22" i="29"/>
  <c r="H22" i="29"/>
  <c r="G22" i="29"/>
  <c r="F22" i="29"/>
  <c r="E22" i="29"/>
  <c r="D22" i="29"/>
  <c r="C22" i="29"/>
  <c r="B22" i="29"/>
  <c r="M21" i="29"/>
  <c r="L21" i="29"/>
  <c r="K21" i="29"/>
  <c r="J21" i="29"/>
  <c r="I21" i="29"/>
  <c r="H21" i="29"/>
  <c r="G21" i="29"/>
  <c r="F21" i="29"/>
  <c r="E21" i="29"/>
  <c r="D21" i="29"/>
  <c r="C21" i="29"/>
  <c r="B21" i="29"/>
  <c r="N21" i="29" s="1"/>
  <c r="M20" i="29"/>
  <c r="L20" i="29"/>
  <c r="K20" i="29"/>
  <c r="J20" i="29"/>
  <c r="I20" i="29"/>
  <c r="H20" i="29"/>
  <c r="G20" i="29"/>
  <c r="F20" i="29"/>
  <c r="E20" i="29"/>
  <c r="D20" i="29"/>
  <c r="C20" i="29"/>
  <c r="B20" i="29"/>
  <c r="N20" i="29" s="1"/>
  <c r="M19" i="29"/>
  <c r="L19" i="29"/>
  <c r="E19" i="29"/>
  <c r="D19" i="29"/>
  <c r="M18" i="29"/>
  <c r="L18" i="29"/>
  <c r="K18" i="29"/>
  <c r="J18" i="29"/>
  <c r="I18" i="29"/>
  <c r="H18" i="29"/>
  <c r="G18" i="29"/>
  <c r="F18" i="29"/>
  <c r="E18" i="29"/>
  <c r="D18" i="29"/>
  <c r="C18" i="29"/>
  <c r="B18" i="29"/>
  <c r="N18" i="29" s="1"/>
  <c r="M17" i="29"/>
  <c r="L17" i="29"/>
  <c r="K17" i="29"/>
  <c r="K19" i="29" s="1"/>
  <c r="J17" i="29"/>
  <c r="J19" i="29" s="1"/>
  <c r="I17" i="29"/>
  <c r="I19" i="29" s="1"/>
  <c r="H17" i="29"/>
  <c r="H19" i="29" s="1"/>
  <c r="G17" i="29"/>
  <c r="G19" i="29" s="1"/>
  <c r="F17" i="29"/>
  <c r="F19" i="29" s="1"/>
  <c r="E17" i="29"/>
  <c r="D17" i="29"/>
  <c r="C17" i="29"/>
  <c r="C19" i="29" s="1"/>
  <c r="B17" i="29"/>
  <c r="B19" i="29" s="1"/>
  <c r="N16" i="29"/>
  <c r="N15" i="29"/>
  <c r="N14" i="29"/>
  <c r="N13" i="29"/>
  <c r="C13" i="29"/>
  <c r="B13" i="29"/>
  <c r="N12" i="29"/>
  <c r="N11" i="29"/>
  <c r="N10" i="29"/>
  <c r="N9" i="29"/>
  <c r="N8" i="29"/>
  <c r="N22" i="29" s="1"/>
  <c r="N7" i="29"/>
  <c r="N6" i="29"/>
  <c r="N5" i="29"/>
  <c r="N19" i="29" l="1"/>
  <c r="N17" i="29"/>
  <c r="M24" i="30" l="1"/>
  <c r="L24" i="30"/>
  <c r="K24" i="30"/>
  <c r="J24" i="30"/>
  <c r="I24" i="30"/>
  <c r="H24" i="30"/>
  <c r="G24" i="30"/>
  <c r="F24" i="30"/>
  <c r="E24" i="30"/>
  <c r="N24" i="30" s="1"/>
  <c r="D24" i="30"/>
  <c r="C24" i="30"/>
  <c r="B24" i="30"/>
  <c r="M23" i="30"/>
  <c r="L23" i="30"/>
  <c r="K23" i="30"/>
  <c r="J23" i="30"/>
  <c r="I23" i="30"/>
  <c r="H23" i="30"/>
  <c r="G23" i="30"/>
  <c r="F23" i="30"/>
  <c r="E23" i="30"/>
  <c r="D23" i="30"/>
  <c r="C23" i="30"/>
  <c r="B23" i="30"/>
  <c r="N23" i="30" s="1"/>
  <c r="M22" i="30"/>
  <c r="L22" i="30"/>
  <c r="K22" i="30"/>
  <c r="J22" i="30"/>
  <c r="I22" i="30"/>
  <c r="H22" i="30"/>
  <c r="G22" i="30"/>
  <c r="F22" i="30"/>
  <c r="E22" i="30"/>
  <c r="D22" i="30"/>
  <c r="C22" i="30"/>
  <c r="B22" i="30"/>
  <c r="M21" i="30"/>
  <c r="L21" i="30"/>
  <c r="K21" i="30"/>
  <c r="J21" i="30"/>
  <c r="I21" i="30"/>
  <c r="H21" i="30"/>
  <c r="G21" i="30"/>
  <c r="F21" i="30"/>
  <c r="E21" i="30"/>
  <c r="D21" i="30"/>
  <c r="N21" i="30" s="1"/>
  <c r="C21" i="30"/>
  <c r="B21" i="30"/>
  <c r="N20" i="30"/>
  <c r="M20" i="30"/>
  <c r="L20" i="30"/>
  <c r="K20" i="30"/>
  <c r="J20" i="30"/>
  <c r="I20" i="30"/>
  <c r="H20" i="30"/>
  <c r="G20" i="30"/>
  <c r="F20" i="30"/>
  <c r="E20" i="30"/>
  <c r="D20" i="30"/>
  <c r="C20" i="30"/>
  <c r="B20" i="30"/>
  <c r="J19" i="30"/>
  <c r="I19" i="30"/>
  <c r="B19" i="30"/>
  <c r="M18" i="30"/>
  <c r="L18" i="30"/>
  <c r="K18" i="30"/>
  <c r="J18" i="30"/>
  <c r="I18" i="30"/>
  <c r="H18" i="30"/>
  <c r="G18" i="30"/>
  <c r="G19" i="30" s="1"/>
  <c r="F18" i="30"/>
  <c r="F19" i="30" s="1"/>
  <c r="E18" i="30"/>
  <c r="D18" i="30"/>
  <c r="C18" i="30"/>
  <c r="N18" i="30" s="1"/>
  <c r="B18" i="30"/>
  <c r="M17" i="30"/>
  <c r="M19" i="30" s="1"/>
  <c r="L17" i="30"/>
  <c r="L19" i="30" s="1"/>
  <c r="K17" i="30"/>
  <c r="K19" i="30" s="1"/>
  <c r="J17" i="30"/>
  <c r="I17" i="30"/>
  <c r="H17" i="30"/>
  <c r="H19" i="30" s="1"/>
  <c r="G17" i="30"/>
  <c r="F17" i="30"/>
  <c r="E17" i="30"/>
  <c r="E19" i="30" s="1"/>
  <c r="D17" i="30"/>
  <c r="D19" i="30" s="1"/>
  <c r="C17" i="30"/>
  <c r="C19" i="30" s="1"/>
  <c r="N19" i="30" s="1"/>
  <c r="B17" i="30"/>
  <c r="N17" i="30" s="1"/>
  <c r="N16" i="30"/>
  <c r="N15" i="30"/>
  <c r="N14" i="30"/>
  <c r="N13" i="30"/>
  <c r="N12" i="30"/>
  <c r="N11" i="30"/>
  <c r="N10" i="30"/>
  <c r="N9" i="30"/>
  <c r="N8" i="30"/>
  <c r="N22" i="30" s="1"/>
  <c r="N7" i="30"/>
  <c r="N6" i="30"/>
  <c r="N5" i="30"/>
  <c r="E14" i="11" l="1"/>
  <c r="D14" i="11"/>
  <c r="C14" i="11"/>
  <c r="B14" i="11"/>
  <c r="C32" i="11"/>
  <c r="D32" i="11"/>
  <c r="E32" i="11"/>
  <c r="F32" i="11"/>
  <c r="B32" i="11"/>
  <c r="D31" i="11"/>
  <c r="C31" i="11"/>
  <c r="B31" i="11"/>
  <c r="N9" i="11"/>
  <c r="N21" i="11"/>
  <c r="N22" i="11"/>
  <c r="N23" i="11"/>
  <c r="N24" i="11"/>
  <c r="N25" i="11"/>
  <c r="N18" i="11"/>
  <c r="N20" i="11" l="1"/>
  <c r="N19" i="11"/>
  <c r="N5" i="11"/>
  <c r="N6" i="11"/>
  <c r="N7" i="11"/>
  <c r="N8" i="11"/>
  <c r="N10" i="11"/>
  <c r="N11" i="11"/>
  <c r="N12" i="11"/>
  <c r="N13" i="11"/>
  <c r="N14" i="11"/>
  <c r="N15" i="11"/>
  <c r="N16" i="11"/>
  <c r="N17" i="11"/>
  <c r="N32" i="11" l="1"/>
  <c r="F26" i="11" l="1"/>
  <c r="F27" i="11"/>
  <c r="F29" i="11"/>
  <c r="F30" i="11"/>
  <c r="F31" i="11"/>
  <c r="F33" i="11"/>
  <c r="F34" i="11"/>
  <c r="E26" i="11"/>
  <c r="E27" i="11"/>
  <c r="E29" i="11"/>
  <c r="E30" i="11"/>
  <c r="E31" i="11"/>
  <c r="E33" i="11"/>
  <c r="E34" i="11"/>
  <c r="D26" i="11"/>
  <c r="D27" i="11"/>
  <c r="D29" i="11"/>
  <c r="D30" i="11"/>
  <c r="D33" i="11"/>
  <c r="D34" i="11"/>
  <c r="F28" i="11" l="1"/>
  <c r="E28" i="11"/>
  <c r="D28" i="11"/>
  <c r="C30" i="11"/>
  <c r="B30" i="11"/>
  <c r="B27" i="11"/>
  <c r="N31" i="11" l="1"/>
  <c r="C29" i="11" l="1"/>
  <c r="C27" i="11"/>
  <c r="C26" i="11" l="1"/>
  <c r="C28" i="11" s="1"/>
  <c r="B26" i="11"/>
  <c r="B29" i="11" l="1"/>
  <c r="C33" i="11"/>
  <c r="B33" i="11"/>
  <c r="C34" i="11"/>
  <c r="B34" i="11"/>
  <c r="B28" i="11"/>
  <c r="N30" i="11" l="1"/>
  <c r="N26" i="11"/>
  <c r="N34" i="11"/>
  <c r="N33" i="11"/>
  <c r="N29" i="11"/>
  <c r="N27" i="11"/>
  <c r="N28" i="11" l="1"/>
</calcChain>
</file>

<file path=xl/sharedStrings.xml><?xml version="1.0" encoding="utf-8"?>
<sst xmlns="http://schemas.openxmlformats.org/spreadsheetml/2006/main" count="1569" uniqueCount="484">
  <si>
    <t>ENERO</t>
  </si>
  <si>
    <t>FEBRERO</t>
  </si>
  <si>
    <t>MARZO</t>
  </si>
  <si>
    <t>ABRIL</t>
  </si>
  <si>
    <t>MAYO</t>
  </si>
  <si>
    <t>JUNIO</t>
  </si>
  <si>
    <t>JULIO</t>
  </si>
  <si>
    <t>AGOSTO</t>
  </si>
  <si>
    <t>SEPTIEMBRE</t>
  </si>
  <si>
    <t>OCTUBRE</t>
  </si>
  <si>
    <t>NOVIEMBRE</t>
  </si>
  <si>
    <t>DICIEMBRE</t>
  </si>
  <si>
    <t>Ind. De Lesiones Incapacitantes (ILI)</t>
  </si>
  <si>
    <t>Tasa de Accidentalidad  (TA)</t>
  </si>
  <si>
    <t>Ind. de Frecuencia (IF)</t>
  </si>
  <si>
    <t>Ind. de Severidad (IS)</t>
  </si>
  <si>
    <t>MES</t>
  </si>
  <si>
    <t>Proporción de Incidencia (PI*100W)</t>
  </si>
  <si>
    <t>OTROS</t>
  </si>
  <si>
    <t>01-Incidentes Laborales</t>
  </si>
  <si>
    <t xml:space="preserve">02-Accidentes Incapacitantes </t>
  </si>
  <si>
    <t xml:space="preserve">03-Accidentes Sin Incapacidad </t>
  </si>
  <si>
    <t>04-Accidentes de transito laboral</t>
  </si>
  <si>
    <t>05-Dias Perdidos por A.L</t>
  </si>
  <si>
    <t>06-Dias Perdidas por A.L Transito</t>
  </si>
  <si>
    <t>07-N° de Trabajadores en el mes</t>
  </si>
  <si>
    <t>08-Horas Hombre Trabajadas (HHT)</t>
  </si>
  <si>
    <t>ADMON</t>
  </si>
  <si>
    <t>ARGOS</t>
  </si>
  <si>
    <t>ENERGIA DE PEREIRA</t>
  </si>
  <si>
    <t>05-Dias Perdidos por A.L (dias incapacidad + prorroga+ dias cargados por perdida de capacidad laboral o mortal)</t>
  </si>
  <si>
    <t>META MENSUAL DEL ILI</t>
  </si>
  <si>
    <t>K ANUAL</t>
  </si>
  <si>
    <t>K MENSUAL=</t>
  </si>
  <si>
    <t xml:space="preserve">K SMESTRAL </t>
  </si>
  <si>
    <t>SEGURIDAD Y SALUD EN EL TRABAJO</t>
  </si>
  <si>
    <t>DESCRIPCION</t>
  </si>
  <si>
    <t>TOTALES</t>
  </si>
  <si>
    <t>GRAFICAS</t>
  </si>
  <si>
    <t>EPM</t>
  </si>
  <si>
    <t>EMTELCO</t>
  </si>
  <si>
    <t>Proporción de accidente de trabajo Mortales</t>
  </si>
  <si>
    <t>09-No. Accidente de trabajo Mortal</t>
  </si>
  <si>
    <t>INFORME ACCIDENTALIDAD GENERAL</t>
  </si>
  <si>
    <t>OBSERVACIÓN SST</t>
  </si>
  <si>
    <t>TIGO - UNE</t>
  </si>
  <si>
    <t>ISA/INTERCOLOMBIA</t>
  </si>
  <si>
    <t>FUNDACIÓN EPM</t>
  </si>
  <si>
    <t>ISAGEN</t>
  </si>
  <si>
    <t>CHEC</t>
  </si>
  <si>
    <t>MEJIA Y ACEVEDO</t>
  </si>
  <si>
    <t>CORPORACIÓN AYUDA HUMANITARIA</t>
  </si>
  <si>
    <t>DINAMICA / SURA</t>
  </si>
  <si>
    <t>N/A</t>
  </si>
  <si>
    <t>Accidentes con impacto Medio Ambiente</t>
  </si>
  <si>
    <t>PLAN DE ACCIÓN SST</t>
  </si>
  <si>
    <t>Jefe directo responsable del reporte</t>
  </si>
  <si>
    <t>Contrato o cliente</t>
  </si>
  <si>
    <t>DESCRIPCION DEL RIESGO</t>
  </si>
  <si>
    <t>DIA DE LA SEMANA EN LA QUE OCURRE EL EVENTO</t>
  </si>
  <si>
    <t>CAUSAS BÁSICA</t>
  </si>
  <si>
    <t>CAUSAS INMEDIATA</t>
  </si>
  <si>
    <t>Si</t>
  </si>
  <si>
    <t>No</t>
  </si>
  <si>
    <t>LEVE</t>
  </si>
  <si>
    <t>AT</t>
  </si>
  <si>
    <t xml:space="preserve">CONDUCTOR </t>
  </si>
  <si>
    <t>VARGAS GARCÍA LEONEL ALEXANDER</t>
  </si>
  <si>
    <t>ACOSTA RODAS GUILLERMO LEON</t>
  </si>
  <si>
    <t>SURA</t>
  </si>
  <si>
    <t>JYX640</t>
  </si>
  <si>
    <t>GRAVE</t>
  </si>
  <si>
    <t>FWK571</t>
  </si>
  <si>
    <t>GDZ164</t>
  </si>
  <si>
    <t>DIANA ALVAREZ</t>
  </si>
  <si>
    <t>LEONEL ALEXANDER VARGAS GARCIA</t>
  </si>
  <si>
    <t>JONATHAN GIRALDO ORREGO</t>
  </si>
  <si>
    <t>CARLOS FRANCO</t>
  </si>
  <si>
    <t>1017148606</t>
  </si>
  <si>
    <t>04-Accidentes de transito - siniestro vial laboral</t>
  </si>
  <si>
    <t>06-Dias Perdidas por Siniestro vial Laboral</t>
  </si>
  <si>
    <t>10-Accidente de transito - Siniestro vial NO laboral</t>
  </si>
  <si>
    <t>11-Dias perididos de accidente de transito-siniestro vial  No laboral</t>
  </si>
  <si>
    <t>Tasa de accidentes de Siniestro vial</t>
  </si>
  <si>
    <t>Indice de Severidad Siniestro vial incapacitante</t>
  </si>
  <si>
    <t>año 2025</t>
  </si>
  <si>
    <t>CAH</t>
  </si>
  <si>
    <t>Reportados a la ARL rechazados como accidente de origen laborial - Total NEGADOS</t>
  </si>
  <si>
    <t>Siniestros viales Mortal  (fallecimiento de otro actor vial)</t>
  </si>
  <si>
    <t>Siniestros viales Mortal  (fallecimiento de conductor trabajdor de emprestur)</t>
  </si>
  <si>
    <t>Siniestros viales Grave  (Lesiones de mas de 30 dias  de conductor trabajdor de emprestur)</t>
  </si>
  <si>
    <t>Siniestros viales Grave (Lesiones de mas de 30 dias de otro actor vial)</t>
  </si>
  <si>
    <t>Siniestros viales - Choque Simple (Solo afectación de maquinaria y equipos)</t>
  </si>
  <si>
    <t>Siniestros viales Leve (Lesiones de menos de 30 dias de otro actor vial)</t>
  </si>
  <si>
    <t>Siniestros viales Leve  (Lesiones de menos de 30 dias  de conductor trabajdor de emprestur)</t>
  </si>
  <si>
    <t>Dias de incapacidad por ARL Reportado y rechazadas por la ARL y Trasladados a la EPS</t>
  </si>
  <si>
    <t>Se evidencia la ocurrencia de 2 accidentes laborales (1 incapacitante y 1 sin incapacidad), lo que genera un impacto significativo en la severidad, reflejado en 50 días perdidos. Adicionalmente, se presentan 7 siniestros viales laborales, en su mayoría asociados a choques simples (6 casos), lo que indica posibles fallas en la conducción preventiva o condiciones de operación. También se registra 1 accidente con impacto ambiental.
Los indicadores muestran un Índice de Frecuencia (0,280) y un Índice de Severidad alto (7,003), siendo el mes con mayor afectación en accidentalidad laboral del trimestre.</t>
  </si>
  <si>
    <t>Reforzar capacitaciones en conducción segura y defensiva.
Implementar inspecciones preoperacionales más rigurosas a vehículos.
Realizar campañas de sensibilización sobre prevención de accidentes laborales.
Analizar causas raíz de los accidentes incapacitantes para establecer controles específicos.
Fortalecer controles operacionales para prevenir impactos ambientales.</t>
  </si>
  <si>
    <t>No se registran accidentes laborales ni días perdidos, lo que evidencia una mejora significativa en la gestión de seguridad. Sin embargo, se presenta 1 incidente laboral que debe analizarse como alerta preventiva.
Se mantienen 7 siniestros viales laborales, todos asociados a choques simples, lo que indica que persisten riesgos en la operación vial.
El Índice de Frecuencia y la Tasa de Accidentalidad se reducen a 0, pero el Índice de Severidad (6,592) sigue influenciado por días perdidos acumulados.</t>
  </si>
  <si>
    <t>Investigar el incidente presentado para evitar su materialización en accidente.
Continuar fortaleciendo programas de seguridad vial, especialmente en control de choques simples.
Implementar seguimiento a conductores con mayor exposición al riesgo.
Mantener campañas de autocuidado y reporte oportuno de condiciones inseguras.</t>
  </si>
  <si>
    <t>Intensificar controles en seguridad vial, especialmente en prevención de choques simples.
Implementar campañas de cultura vial enfocadas en atención, velocidad y distancia de seguridad.
Realizar seguimiento y retroalimentación a conductores involucrados en eventos.
Fortalecer pausas activas y control de fatiga en conductores.
Revisar rutas, condiciones de tráfico y factores externos que puedan estar influyendo en el aumento de eventos.</t>
  </si>
  <si>
    <t>Tasa de accidentes de Siniestro vial en el desarrollo de la labor</t>
  </si>
  <si>
    <t>Tasa de accidentes de Siniestro vial fuera del desarrollo de la labor</t>
  </si>
  <si>
    <t>Indice de Severidad Siniestro vial incapacitante (Conductor de emprestur incapacitado)</t>
  </si>
  <si>
    <t>04-Accidentes de transito - siniestro vial fuera del desarrollo de la labor NO LABORAL</t>
  </si>
  <si>
    <t>06-Dias Perdidas por Siniestro vial Laboral - ARL</t>
  </si>
  <si>
    <t>No se presentan accidentes laborales ni incapacidades, manteniendo el comportamiento positivo del mes anterior en los accidentes laborales.
Sin embargo, aumentan los siniestros viales laborales a 9 eventos, todos clasificados como choques simples, lo que evidencia una tendencia creciente en eventos viales.
Se registra un accidente de tránsito no laboral con resultado fatal de un tercero, lo cual, aunque no afecta directamente los indicadores laborales, genera impacto reputacional y de seguridad vial.
El Índice de Severidad (6,734) se mantiene elevado por acumulación de días perdidos.</t>
  </si>
  <si>
    <t>No se presentan accidentes laborales ni incapacidades, manteniendo el comportamiento positivo del mes anterior en los accidentes laborales.
Sin embargo, aumentan los siniestros viales laborales a 7 eventos, todos clasificados como choques simples, lo que evidencia una tendencia creciente en eventos viales.
El Índice de Severidad (0,141) se mantiene elevado por acumulación de días perdidos.</t>
  </si>
  <si>
    <t>No se presentan accidentes laborales ni incapacidades, manteniendo el comportamiento positivo del mes anterior en los accidentes laborales
Sin embargo, aumentan los siniestros viales laborales a 10 eventos, todos clasificados como choques simples, lo que evidencia una tendencia creciente en eventos viales.
El Índice de Severidad (0,581) se mantiene elevado por acumulación de días perdidos.</t>
  </si>
  <si>
    <t>AÑO 2023</t>
  </si>
  <si>
    <t>En el mes de enero de 2023 se presentaron 1 evento el cual genero 19 días de incapacidad y se presentaron 3 accidentes de tránsito durante el desarrollo de la labor; no se presentan accidentes mortales. El indice de severidad es de 1,967 dias promedio por cada evento que se presento, el indice de lesiones incapacitantes ILI sigue estandon por debajo del límite permitido estando e un 0,0002.</t>
  </si>
  <si>
    <t>Sensibilización de lecciones aprendidas, autocuidado, manejo defensivo, señales de transito, manipulación de quipos y herramientas, Higiene postural entre otras</t>
  </si>
  <si>
    <t>En el mes de febrero de 2023 se presentaron 1 accidentes laborales los cuales generaron 0 días de incapacidad, se presentaron 5 accidente de tránsito; no se presentan accidentes mortales. El indice de severidad es de 0,000 dias promedio por cada evento que se presento, el indice de lesiones incapacitantes ILI sigue estandon por debajo del límite permitido estando e un 0,0000.</t>
  </si>
  <si>
    <t>Se continua reforzando a través de los momentos de seguridad la prevención de las condiciones de riesgo, sensibilización de lecciones aprendidas, autocuidado, manejo defensivo, señales de transito, manipulación de quipos y herramientas, Higiene postural, entre otras.</t>
  </si>
  <si>
    <t>En el mes de marzo de 2023 se presentaron 2 evento de accidente laboral con 22 días de incapacidad durante el desarrollo de la labor; se presentaron 5 accidentes de tránsito; no se presentan accidentes mortales. El indice de severidad es de 2,294 dias promedio por cada evento que se presento, el indice de lesiones incapacitantes ILI sigue estandon por debajo del límite permitido estando e un 0,0005.</t>
  </si>
  <si>
    <t>En el mes de abril de 2023 se presentaron 2 evento de accidente laboral con 0 días de incapacidad, se cargan; se presentaron 3 accidentes de tránsito; no se presentan accidentes mortales. El indice de severidad es de 0,0000 dias promedio por cada evento que se presento, el indice de lesiones incapacitantes ILI sigue estandon por debajo del límite permitido estando e un 0,0000.</t>
  </si>
  <si>
    <t>En el mes de mayo de 2023 se presentaron 2 evento de accidente laboral con 6 días de incapacidad  y se cargan 30 dias de incapacidad por prorroga de AT; se presentaron 3 accidentes de tránsito; no se presentan accidentes mortales. El indice de severidad es de 0,368 dias promedio por cada evento que se presento, el indice de lesiones incapacitantes ILI sigue estandon por debajo del límite permitido estando e un 0,0001.</t>
  </si>
  <si>
    <t>En el mes de junio de 2023 se presentaron 0 evento de accidente laboral con 0 días de incapacidad; se presentaron 4 accidentes de tránsito; no se presentan accidentes mortales. El indice de severidad es de 0,0000 dias promedio por cada evento que se presento, el indice de lesiones incapacitantes ILI sigue estandon por debajo del límite permitido estando e un 0,0000.</t>
  </si>
  <si>
    <t>En el mes de julio de 2023 se presentaron 0 evento de accidente laboral con 0 días de incapacidad; se presentaron 6 accidentes de tránsito; no se presentan accidentes mortales. El indice de severidad es de 0,000 dias promedio por cada evento que se presento, el indice de lesiones incapacitantes ILI sigue estandon por debajo del límite permitido estando e un 0,0000</t>
  </si>
  <si>
    <t>En el mes de agosto de 2023 se presentaron 0 evento de accidente laboral con 0 días de incapacidad; se presentaron 5 accidentes de tránsito; no se presentan accidentes mortales. El indice de severidad es de 0,000 dias promedio por cada evento que se presento, el indice de lesiones incapacitantes ILI sigue estandon por debajo del límite permitido estando e un 0,0000</t>
  </si>
  <si>
    <t>En el mes de septiembre de 2023 se presentaron 3 evento de accidente laboral con 41 días de incapacidad; se presentaron 9 accidentes de tránsito; no se presentan accidentes mortales. El indice de severidad es de 4,841 dias promedio por cada evento que se presento, el indice de lesiones incapacitantes ILI sigue estandon por debajo del límite permitido estando e un 0,0017</t>
  </si>
  <si>
    <t>En el mes de octubre de 2023 se presentaron 2 evento de accidente laboral con 7 días de incapacidad; se presentaron 5 accidentes de tránsito; no se presentan accidentes mortales. El indice de severidad es de 0,829 dias promedio por cada evento que se presento, el indice de lesiones incapacitantes ILI sigue estandon por debajo del límite permitido estando e un 0,0002</t>
  </si>
  <si>
    <t>En el mes de noviembre de 2023 se presentaron 2 evento de accidente laboral con 50 días de incapacidad; se presentaron 5 accidentes de tránsito; no se presentan accidentes mortales. El indice de severidad es de 5,931 dias promedio por cada evento que se presento, el indice de lesiones incapacitantes ILI sigue estandon por debajo del límite permitido estando e un 0,0014</t>
  </si>
  <si>
    <t>En el mes de diciembre de 2023 se presentaron 0 evento de accidente laboral con 0 días de incapacidad; se presentaron 4 accidentes de tránsito; no se presentan accidentes mortales. El indice de severidad es de 0,000 dias promedio por cada evento que se presento, el indice de lesiones incapacitantes ILI sigue estandon por debajo del límite permitido estando e un 0,0000</t>
  </si>
  <si>
    <t>AÑO 2024</t>
  </si>
  <si>
    <t>En el mes de enero de 2024 se presentaron 0 eventos sin días de incapacidad y se presentaron 5 siniestros viales de los cuales 1 es con fatalidad (peatón), presentado durante el desarrollo de la labor; no se presentan accidentes de trabajo mortales. El indice de severidad es de 0 dias promedio por cada evento que se presento, el indice de lesiones incapacitantes ILI sigue estandon por debajo del límite permitido estando e un 0,0000</t>
  </si>
  <si>
    <t>Se continua trabajando con la identificación de peligros y riesgos  y la sensibilización de las lecciones aprendidas de los eventos que se han presentado para generar toma de conciencia y reducir la accidentalidad y los siniestros viales</t>
  </si>
  <si>
    <t>En el mes de febrero de 2024 se presentaron 0 accidentes laborales los cuales generaron 0 días de incapacidad, se presentaron 1 siniestro vial; no se presentan accidentes mortales. El indice de severidad es de 0,000 dias promedio por cada evento que se presento, el indice de lesiones incapacitantes ILI sigue estandon por debajo del límite permitido estando e un 0,0000.</t>
  </si>
  <si>
    <t>En el mes de marzo de 2024 se presentaron 1 evento de accidente laboral con 0 días de incapacidad durante el desarrollo de la labor; se presentaron 2 Siniestros viales; no se presentan accidentes mortales. El indice de severidad es de 0,000 dias promedio por cada evento que se presento, el indice de lesiones incapacitantes ILI sigue estandon por debajo del límite permitido estando e un 0,0000.</t>
  </si>
  <si>
    <t>En el mes de abril de 2024 se presentaron 1 evento de accidente laboral con 30 días de incapacidad, se cargan; se presentaron 4 Siniestros viales; no se presentan accidentes mortales. El indice de severidad es de 3,778 dias promedio por cada evento que se presento, el indice de lesiones incapacitantes ILI sigue estandon por debajo del límite permitido estando e un 0,0005.</t>
  </si>
  <si>
    <t>En el mes de mayo de 2024 se presentaron 1 evento de accidente laboral con 7 días de incapacidad  y se cargan 30 dias de incapacidad por prorroga de AT; se presentaron 4 Siniestros viales; no se presentan accidentes mortales. El indice de severidad es de 4,637 dias promedio por cada evento que se presento, el indice de lesiones incapacitantes ILI sigue estandon por debajo del límite permitido estando e un 0,0006.</t>
  </si>
  <si>
    <t>En el mes de junio de 2024 se presentaron 1 evento de accidente laboral con 18 días de incapacidad  y se cargan 60 dias de incapacidad por prorroga de AT; se presentaron 1 Siniestro viales; no se presentan accidentes mortales. El indice de severidad es de 10,038 dias promedio por cada evento que se presento, el indice de lesiones incapacitantes ILI sigue estandon por debajo del límite permitido estando e un 0,0013.</t>
  </si>
  <si>
    <t>En el mes de julio de 2024 se presentaron 1 evento de accidente laboral con 5 días de incapacidad  y se cargan 45 dias de incapacidad por prorroga de AT; se presentaron 1 Siniestros viales; no se presentan accidentes mortales. El indice de severidad es de 6,068 dias promedio por cada evento que se presento, el indice de lesiones incapacitantes ILI sigue estandon por debajo del límite permitido estando e un 0,0007</t>
  </si>
  <si>
    <t>En el mes de agosto de 2024 se presentaron 1 evento de accidente laboral con 10 días de incapacidad; se presentaron 8 Siniestros viales; no se presentan accidentes mortales. El indice de severidad es de 1,279 dias promedio por cada evento que se presento, el indice de lesiones incapacitantes ILI sigue estandon por debajo del límite permitido estando e un 0,0002</t>
  </si>
  <si>
    <t>En el mes de septiembre de 2024 se presentaron 1 evento de accidente laboral con 8 días de incapacidad; se presentaron 6 Siniestros viales; no se presentan accidentes mortales. El indice de severidad es de 1,026 dias promedio por cada evento que se presento, el indice de lesiones incapacitantes ILI sigue estandon por debajo del límite permitido estando e un 0,0001</t>
  </si>
  <si>
    <t>En el mes de octubre de 2024 se presentaron 3 evento de accidente laboral y solo 1 presenta con 6 días de incapacidad; se presentaron 4 Siniestros viales; no se presentan accidentes mortales. El indice de severidad es de 0,769 dias promedio por cada evento que se presento, el indice de lesiones incapacitantes ILI sigue estandon por debajo del límite permitido estando e un 0,0003</t>
  </si>
  <si>
    <t>En el mes de noviembre de 2024 se presentaron 0 evento de accidente laboral con 0 días de incapacidad; se presentaron 6 Siniestros viales; no se presentan accidentes mortales. El indice de severidad es de 0,0000 dias promedio por cada evento que se presento, el indice de lesiones incapacitantes ILI sigue estandon por debajo del límite permitido estando e un 0,0000</t>
  </si>
  <si>
    <t>En el mes de diciembre de 2024 se presentaron 2 evento de accidente laboral y solo 1 presenta 6 días de incapacidad; se presentaron 5 Siniestros viales; no se presentan accidentes mortales. El indice de severidad es de 1,635 dias promedio por cada evento que se presento, el indice de lesiones incapacitantes ILI sigue estandon por debajo del límite permitido estando e un 0,0004</t>
  </si>
  <si>
    <t>En el mes de enero de 2025 se presentaron 0 eventos sin días de incapacidad y se presentaron 5 siniestros viales de los cuales 1 es con fatalidad (peatón), presentado durante el desarrollo de la labor; no se presentan accidentes de trabajo mortales. El indice de severidad es de 0 dias promedio por cada evento que se presento, el indice de lesiones incapacitantes ILI sigue estandon por debajo del límite permitido estando e un 0,0000</t>
  </si>
  <si>
    <t>En el mes de febrero de 2025 se presentaron 0 accidentes laborales los cuales generaron 0 días de incapacidad, se presentaron 1 siniestro vial; no se presentan accidentes mortales. El indice de severidad es de 0,000 dias promedio por cada evento que se presento, el indice de lesiones incapacitantes ILI sigue estandon por debajo del límite permitido estando e un 0,0000.</t>
  </si>
  <si>
    <t>En el mes de marzo de 2025 se presentaron 2 accidentes laborales los cuales generaron 3 días de incapacidad, se presentaron 7 siniestro vial; no se presentan accidentes mortales. El indice de severidad es de 0,412 dias promedio por cada evento que se presento, el indice de lesiones incapacitantes ILI sigue estandon por debajo del límite permitido estando e un 0,0001.</t>
  </si>
  <si>
    <t>En el mes de abril de 2025 se presentaron 0 accidentes laborales los cuales generaron 0 días de incapacidad, se presentaron 5 siniestro vial; no se presentan accidentes mortales. El indice de severidad es de 0,000 dias promedio por cada evento que se presento, el indice de lesiones incapacitantes ILI sigue estandon por debajo del límite permitido estando e un 0,0000.</t>
  </si>
  <si>
    <t>En el mes de mayo de 2025 se presentaron 1 accidentes laborales los cuales generaron 14 días de incapacidad, se presentaron 4 siniestro vial; no se presentan accidentes mortales. El indice de severidad es de 1,867 dias promedio por cada evento que se presento, el indice de lesiones incapacitantes ILI sigue estandon por debajo del límite permitido estando e un 0,0002.</t>
  </si>
  <si>
    <t>En el mes de junio de 2025 se presentaron 0 accidentes laborales los cuales generaron 0 días de incapacidad, se presentaron 4 siniestro vial; no se presentan accidentes mortales. El indice de severidad es de 0,000 dias promedio por cada evento que se presento, el indice de lesiones incapacitantes ILI sigue estandon por debajo del límite permitido estando e un 0,0000.</t>
  </si>
  <si>
    <t>En el mes de julio de 2025 se presentaron 1 accidentes laborales los cuales generaron 0 días de incapacidad, se presentaron 5 siniestro vial; no se presentan accidentes mortales. El indice de severidad es de 0,000 dias promedio por cada evento que se presento, el indice de lesiones incapacitantes ILI sigue estandon por debajo del límite permitido estando e un 0,0000.</t>
  </si>
  <si>
    <t>En el mes de agosto de 2025 se presentaron 1 accidentes laborales los cuales generaron 0 días de incapacidad, se presentaron 5 siniestro vial; no se presentan accidentes mortales. El indice de severidad es de 0,000 dias promedio por cada evento que se presento, el indice de lesiones incapacitantes ILI sigue estandon por debajo del límite permitido estando e un 0,0000.</t>
  </si>
  <si>
    <t>En el mes de septiembre de 2025 se presentaron 2 accidentes laborales los cuales generaron 5 días de incapacidad, se presentaron 8 siniestro vial; no se presentan accidentes mortales. El indice de severidad es de 0,711 dias promedio por cada evento que se presento, el indice de lesiones incapacitantes ILI sigue estandon por debajo del límite permitido estando e un 0,0003.</t>
  </si>
  <si>
    <t>En el mes de octubre de 2025 se presentaron 3 accidentes laborales los cuales generaron días de incapacidad los cuales aun estan pendientes de cargue a la ARL (45 días), se presentaron 8 siniestro vial; no se presentan accidentes mortales. El indice de severidad es de 0,000 dias promedio por cada evento que se presento, el indice de lesiones incapacitantes ILI sigue estandon por debajo del límite permitido estando e un 0,0000.</t>
  </si>
  <si>
    <t>En el mes de noviembre de 2025 se presentaron 0 accidentes laborales los cuales no generaron días de incapacidad, se presentaron 0 siniestro vial; no se presentan accidentes mortales. El indice de severidad es de 0,000 dias promedio por cada evento que se presento, el indice de lesiones incapacitantes ILI sigue estandon por debajo del límite permitido estando e un 0,0000.</t>
  </si>
  <si>
    <t>En el mes de diciembre de 2025 se presentaron 1 accidentes laborales el cual genera 25 días de incapacidad, se presentaron 4 siniestro vial; no se presentan accidentes mortales. El indice de severidad es de 0,000 dias promedio por cada evento que se presento, el indice de lesiones incapacitantes ILI sigue estandon por debajo del límite permitido estando e un 0,0005.</t>
  </si>
  <si>
    <t>Fecha del reporte</t>
  </si>
  <si>
    <t>GUSTAVO ALONSO ZAPATA MUÑOZ</t>
  </si>
  <si>
    <t>LEIDY JULIETH HIGUITA BUSTAMANTE</t>
  </si>
  <si>
    <t>julian david valencia ballesteros</t>
  </si>
  <si>
    <t>JUAN DAVID BLANDON</t>
  </si>
  <si>
    <t>JHON HAWER MURCIA</t>
  </si>
  <si>
    <t>JULIAN DAVID VALENCIA BALLESTEROS</t>
  </si>
  <si>
    <t>Jueves</t>
  </si>
  <si>
    <t>Martes</t>
  </si>
  <si>
    <t xml:space="preserve">5:55 P.M. </t>
  </si>
  <si>
    <t>Miércoles</t>
  </si>
  <si>
    <t xml:space="preserve">3:30 O.M. </t>
  </si>
  <si>
    <t xml:space="preserve">10:27 A.M. </t>
  </si>
  <si>
    <t>Lunes</t>
  </si>
  <si>
    <t xml:space="preserve">01:30 P.M. </t>
  </si>
  <si>
    <t xml:space="preserve">7:30 A.M. </t>
  </si>
  <si>
    <t xml:space="preserve">5:40 P.M. </t>
  </si>
  <si>
    <t xml:space="preserve">6:15 A.M. </t>
  </si>
  <si>
    <t xml:space="preserve">6:52 A.M. </t>
  </si>
  <si>
    <t>Viernes</t>
  </si>
  <si>
    <t xml:space="preserve">1:40 P.M. </t>
  </si>
  <si>
    <t xml:space="preserve">11:30 A.M. </t>
  </si>
  <si>
    <t xml:space="preserve">6:00 A.M. </t>
  </si>
  <si>
    <t xml:space="preserve">9: 25 A.M. </t>
  </si>
  <si>
    <t xml:space="preserve">4:17 P.M. </t>
  </si>
  <si>
    <t xml:space="preserve">10:00 A.M. </t>
  </si>
  <si>
    <t>Sábado</t>
  </si>
  <si>
    <t xml:space="preserve">8:05 A.M. </t>
  </si>
  <si>
    <t xml:space="preserve">11.30 p.m. </t>
  </si>
  <si>
    <t xml:space="preserve">7:50 A.M. </t>
  </si>
  <si>
    <t>01:40 a.m.</t>
  </si>
  <si>
    <t>Domingo</t>
  </si>
  <si>
    <t xml:space="preserve">1:00 P.M. </t>
  </si>
  <si>
    <t xml:space="preserve">4:20 P.M. </t>
  </si>
  <si>
    <t xml:space="preserve">9:20 P.M. </t>
  </si>
  <si>
    <t xml:space="preserve">12:45 P.M. </t>
  </si>
  <si>
    <t>10:41 a.m.</t>
  </si>
  <si>
    <t>8:30 p.m.</t>
  </si>
  <si>
    <t>3:15 p.m</t>
  </si>
  <si>
    <t>06:05 a.m.</t>
  </si>
  <si>
    <t>05:21 p.m.</t>
  </si>
  <si>
    <t>05:40 a.m.</t>
  </si>
  <si>
    <t>05:10 a.m.</t>
  </si>
  <si>
    <t>06:20 p.m</t>
  </si>
  <si>
    <t>02:10 p.m.</t>
  </si>
  <si>
    <t>1:30 p.m.</t>
  </si>
  <si>
    <t>5:00 p.m</t>
  </si>
  <si>
    <t>9:30 p.m.</t>
  </si>
  <si>
    <t>11:45 a.m.6:30 a.m</t>
  </si>
  <si>
    <t xml:space="preserve">LUNES </t>
  </si>
  <si>
    <t>9:30 a.m.</t>
  </si>
  <si>
    <t>10:40 p.m.</t>
  </si>
  <si>
    <t>8:30 a.m</t>
  </si>
  <si>
    <t>FECHA REAL DEL EVENTO</t>
  </si>
  <si>
    <t>HORA REAL DEL EVENTO</t>
  </si>
  <si>
    <t>Cedula del Empleado que presenta el accidente o la novedad</t>
  </si>
  <si>
    <t>80032485</t>
  </si>
  <si>
    <t xml:space="preserve">1017153519 </t>
  </si>
  <si>
    <t xml:space="preserve">1047460435 </t>
  </si>
  <si>
    <t>75064914</t>
  </si>
  <si>
    <t>43253094</t>
  </si>
  <si>
    <t>71718086</t>
  </si>
  <si>
    <t>1007243522</t>
  </si>
  <si>
    <t>10182967</t>
  </si>
  <si>
    <t>71777107</t>
  </si>
  <si>
    <t>98571036</t>
  </si>
  <si>
    <t>1128628081</t>
  </si>
  <si>
    <t>71941297</t>
  </si>
  <si>
    <t>1026134434</t>
  </si>
  <si>
    <t>4416185</t>
  </si>
  <si>
    <t>98522986</t>
  </si>
  <si>
    <t>98502321</t>
  </si>
  <si>
    <t>1128460588</t>
  </si>
  <si>
    <t>98636087</t>
  </si>
  <si>
    <t>9977142</t>
  </si>
  <si>
    <t>1017154790</t>
  </si>
  <si>
    <t>71174247</t>
  </si>
  <si>
    <t>8032911</t>
  </si>
  <si>
    <t>1037776812</t>
  </si>
  <si>
    <t>70253116</t>
  </si>
  <si>
    <t>71677396</t>
  </si>
  <si>
    <t>71701826</t>
  </si>
  <si>
    <t xml:space="preserve">1026061281 </t>
  </si>
  <si>
    <t>1054987482</t>
  </si>
  <si>
    <t>75004811</t>
  </si>
  <si>
    <t>71382678</t>
  </si>
  <si>
    <t>98586405</t>
  </si>
  <si>
    <t>1.018.343.886</t>
  </si>
  <si>
    <t>71734802</t>
  </si>
  <si>
    <t>1038361567</t>
  </si>
  <si>
    <t>98517151</t>
  </si>
  <si>
    <t>1214740293</t>
  </si>
  <si>
    <t>1047460435</t>
  </si>
  <si>
    <t>4417278</t>
  </si>
  <si>
    <t>1026061281</t>
  </si>
  <si>
    <t>98576827</t>
  </si>
  <si>
    <t>1037947401</t>
  </si>
  <si>
    <t>Nombre de Empleado que presenta el accidente o la novedad</t>
  </si>
  <si>
    <t>JUAN MANUEL TRIVINO MARTINEZ</t>
  </si>
  <si>
    <t>YAID ALEXIS SERNA ZULUAGA</t>
  </si>
  <si>
    <t>LEONARDO ANTONIO BAQUERO LASTRE</t>
  </si>
  <si>
    <t>BLADIMIR SALAZAR GARCIA</t>
  </si>
  <si>
    <t>MARIA TERESA JIMENEZ GUTIERREZ</t>
  </si>
  <si>
    <t xml:space="preserve">Elkin Dario Correa Zapata </t>
  </si>
  <si>
    <t>Juan Felipe Guzman Monsalve</t>
  </si>
  <si>
    <t xml:space="preserve">DARIO  MANCILLA TOVAR </t>
  </si>
  <si>
    <t>JUAN GUILLERMO VELEZ HOYOS</t>
  </si>
  <si>
    <t>WILLIAM ALBERTO ESPINAL BOTERO</t>
  </si>
  <si>
    <t>ROJAS GUZMAN JUAN CARLOS</t>
  </si>
  <si>
    <t>Diego Fernando Tavera</t>
  </si>
  <si>
    <t>Diego Fernando Tavera Gomez</t>
  </si>
  <si>
    <t>Yaid Alexis Serna Zuluaga</t>
  </si>
  <si>
    <t>HUGO ANDRES SANCHEZ MONTOYA</t>
  </si>
  <si>
    <t>ROBERTO FABIO GALVIS VALENCIA</t>
  </si>
  <si>
    <t>Mauricio Alberto Herrera Palacio</t>
  </si>
  <si>
    <t>Frey Jovan Alberto Londoño</t>
  </si>
  <si>
    <t>SEBASTIAN VELASQUEZ CADAVID</t>
  </si>
  <si>
    <t>Didier de Jesus Roldan Gaviria</t>
  </si>
  <si>
    <t>FABIO NELSON CADAVID GOMEZ</t>
  </si>
  <si>
    <t>CARLOS MARIO GUZMAN LOTERO</t>
  </si>
  <si>
    <t>JORGE ARMANDO ZAPATA SALINAS</t>
  </si>
  <si>
    <t xml:space="preserve"> DAVINSON ARLEY CORREA SUCERQUIA</t>
  </si>
  <si>
    <t>NELSON DE JESUS TABORDA GOMEZ</t>
  </si>
  <si>
    <t xml:space="preserve">OVIDIO DE JESUS </t>
  </si>
  <si>
    <t>Jorge Humberto Valencia Grajales</t>
  </si>
  <si>
    <t>WILDER PARDO PAMPLONA</t>
  </si>
  <si>
    <t>JUAN JOSE CASTRO</t>
  </si>
  <si>
    <t>JOHAN SANCHEZ CANO</t>
  </si>
  <si>
    <t>JUAN CARLOS LOPEZ ARENAS</t>
  </si>
  <si>
    <t>JUAN FERNANDO ECHEVERRY QUINTERO</t>
  </si>
  <si>
    <t>SANTIAGO ARLEY GARCIA RAMIREZ</t>
  </si>
  <si>
    <t>JAVIER DARIO USMA TORRES</t>
  </si>
  <si>
    <t>JORGE MARIO ORTIGOSA MORENO</t>
  </si>
  <si>
    <t>JOHN FERNANDO MONTOYA HOYOS</t>
  </si>
  <si>
    <t>DAVID ALEXANDER GOMEZ</t>
  </si>
  <si>
    <t xml:space="preserve">Juan Guillermo Vélez Hoyos </t>
  </si>
  <si>
    <t>MARIO ANDRES POLINDARA FIGUEROA</t>
  </si>
  <si>
    <t>JUAN JOSE RAMIREZ CASTRO</t>
  </si>
  <si>
    <t>WINSTON MARIO JARAMILLO RUA</t>
  </si>
  <si>
    <t>DIEGO CIRO CIRO</t>
  </si>
  <si>
    <t>Placa del vehículo (si es administrativo colocar NO APLICA)</t>
  </si>
  <si>
    <t>LKK334</t>
  </si>
  <si>
    <t>KTN224</t>
  </si>
  <si>
    <t>GTX035</t>
  </si>
  <si>
    <t>THZ316</t>
  </si>
  <si>
    <t>PXK186</t>
  </si>
  <si>
    <t>PXK221</t>
  </si>
  <si>
    <t>LPK784</t>
  </si>
  <si>
    <t>GTX204</t>
  </si>
  <si>
    <t>FVY879</t>
  </si>
  <si>
    <t>GTY542</t>
  </si>
  <si>
    <t>EQT285</t>
  </si>
  <si>
    <t>FLOTA PROPIA</t>
  </si>
  <si>
    <t>ESR661</t>
  </si>
  <si>
    <t>NUW974</t>
  </si>
  <si>
    <t>flota propia</t>
  </si>
  <si>
    <t>FVY537</t>
  </si>
  <si>
    <t>NNN114</t>
  </si>
  <si>
    <t xml:space="preserve">Flota Propia </t>
  </si>
  <si>
    <t>PXK627</t>
  </si>
  <si>
    <t>PXK507</t>
  </si>
  <si>
    <t>JYM622</t>
  </si>
  <si>
    <t>FWK335</t>
  </si>
  <si>
    <t>NLW559</t>
  </si>
  <si>
    <t>SNZ817</t>
  </si>
  <si>
    <t>NNN058</t>
  </si>
  <si>
    <t>GTY441</t>
  </si>
  <si>
    <t>GTX353</t>
  </si>
  <si>
    <t>NNN408</t>
  </si>
  <si>
    <t>GDZ051</t>
  </si>
  <si>
    <t>Flota Propia</t>
  </si>
  <si>
    <t>Flota propia</t>
  </si>
  <si>
    <t>WEF558</t>
  </si>
  <si>
    <t>GTX658</t>
  </si>
  <si>
    <t>GTY486</t>
  </si>
  <si>
    <t>MEDICARTE</t>
  </si>
  <si>
    <t>CIENCIA Y TECNOLOGÍA</t>
  </si>
  <si>
    <t>COMFAMA</t>
  </si>
  <si>
    <t>EPM CARGA</t>
  </si>
  <si>
    <t xml:space="preserve">ISAGEN </t>
  </si>
  <si>
    <t>Los hechos ocurrieron durante la prestación del servicio</t>
  </si>
  <si>
    <t xml:space="preserve">no </t>
  </si>
  <si>
    <t>AFECTACIÓN AMBIENTAL DESCRIBIR</t>
  </si>
  <si>
    <t>AFECTACIÓN ANIMAL DESCRIBIR</t>
  </si>
  <si>
    <t>AFECTACIÓN A PERSONA DESCRIBIR</t>
  </si>
  <si>
    <t>AFECTACIÓN A PATRIMONIO DESCRIBIR</t>
  </si>
  <si>
    <t>AFECTACIÓN A EQUIPO DESCRIBIR</t>
  </si>
  <si>
    <t>CARACTERISTICA
  (AT Accidente de Trabajo, IT Incidente de trabajo,  SVS Siniestro vial Simple, SVL Siniestro vial con lesionado menor a 30 dias de incapacidad, SVG Siniestro vial Grave con lesionado mayor a 30 días, SVF Siniestro vial Fatal, SVA Siniestro vial con afectación Ambiental, FM Falla mecánica)</t>
  </si>
  <si>
    <t xml:space="preserve">NO </t>
  </si>
  <si>
    <t xml:space="preserve">FALLECIMIENTO DE CANICO </t>
  </si>
  <si>
    <t>SVA</t>
  </si>
  <si>
    <t xml:space="preserve">*Golpe lateral derecho en la parte trasera
*vehiculo externo golpe frontal lateral izquierdo </t>
  </si>
  <si>
    <t>SVS</t>
  </si>
  <si>
    <t>Hundimiento a un costado del  bomper delantero</t>
  </si>
  <si>
    <t xml:space="preserve">HERNIA HUMBILICAL </t>
  </si>
  <si>
    <t xml:space="preserve"> Solo rayones en la parte trasera del vehículo </t>
  </si>
  <si>
    <t>Un pequeño rayón en el costado derecho del vehículo.</t>
  </si>
  <si>
    <t>-Rayón y hundimiento en el bumper delantero, rayón en la puerta del maletero, rayón en el bumper trasero y fisura del stop trasero derecho.
-El vehículo que impacté presentó rayón en el bumper trasero</t>
  </si>
  <si>
    <t>Vidrio trasero fragmentado y tapa trasera hundida.</t>
  </si>
  <si>
    <t>EN LA PARTE FRONTAL (BOMPER, PERSIANA Y ESTRUCTURA), Y EN LA PARTE TRASERA LATERAL.</t>
  </si>
  <si>
    <t xml:space="preserve">AL VEHICULO DEL OTRO CONDUCTOR SOLO UN RAYÓN </t>
  </si>
  <si>
    <t>Rayón superficial y leve tallón en la carrocería lateral sin daños estructurales.</t>
  </si>
  <si>
    <t xml:space="preserve">Se hunde al lado de la farola izquierda. </t>
  </si>
  <si>
    <t xml:space="preserve">IRRITACIÓN EN OJO </t>
  </si>
  <si>
    <t>la central de dirección, los rines del lados derecho rayados y  el retrovisor derecho.</t>
  </si>
  <si>
    <t xml:space="preserve">El rin trasero derecho y plato del eje. 
</t>
  </si>
  <si>
    <t xml:space="preserve"> rin trasero derecho y plato del eje. </t>
  </si>
  <si>
    <t xml:space="preserve">Hundimiento leve de la lata de la compuerta en el lado derecho 
</t>
  </si>
  <si>
    <t xml:space="preserve">hundimiento de la parte trasera. 
</t>
  </si>
  <si>
    <t>Daño de bómper lado derecho</t>
  </si>
  <si>
    <t xml:space="preserve">Ruptura del vidrio de la puerta lado derecho. </t>
  </si>
  <si>
    <t>Fallecimiento del conductor del motocarro y de una pasajer</t>
  </si>
  <si>
    <t>Punta del chasis, guardabarros derecho, parachoques derecho, farola derecha y activación de ocho airbags</t>
  </si>
  <si>
    <t>SVF</t>
  </si>
  <si>
    <t>Al otro vehículo se le hundió el bumper trasero. Al mío solo se presentó un tallón leve, sin hundimiento.</t>
  </si>
  <si>
    <t xml:space="preserve">Raspón superficial bomper trasero. </t>
  </si>
  <si>
    <t>*Se reventó el bómper en la parte central trasera;
*Se quebró el capo, la persiana, bómper, farola lado derecho y hundimiento parte frontal.</t>
  </si>
  <si>
    <t>Golpe en rodillas a tercero atendido por SOAT</t>
  </si>
  <si>
    <t>Estribo trasero averiado</t>
  </si>
  <si>
    <t>SVL</t>
  </si>
  <si>
    <t>Dos ocupantes de motocicleta lesionados; uno presenta golpe en rodillas atendido mediante SOA</t>
  </si>
  <si>
    <t xml:space="preserve">Persiana y bomper delantero del vehículo </t>
  </si>
  <si>
    <t>Abolladura en la contrapuerta del baúl</t>
  </si>
  <si>
    <t xml:space="preserve">: Los dos guardabarros delanteros, farolas, bomper tablero, cuna, radiador, toda la parte delantera
Tercero: Dos puertas del lado derecho
</t>
  </si>
  <si>
    <t>Tallón en el estribo izquierdo del vehículo NNN058</t>
  </si>
  <si>
    <t xml:space="preserve">Rayón a la defensa </t>
  </si>
  <si>
    <t>Daños en la Persiana y bómper delantero</t>
  </si>
  <si>
    <t>Stop trasero derecho averiado</t>
  </si>
  <si>
    <t>Rayón en la parte frontal izquierda del vehículo</t>
  </si>
  <si>
    <t>Rayones en parte trasera y daño en stop auxiliar</t>
  </si>
  <si>
    <t>Quiebre del vidrio lado derecho y rayones en la carrocería</t>
  </si>
  <si>
    <t>Hurto de pertenencias personales del conductor</t>
  </si>
  <si>
    <t>Quiebre del vidrio trasero lado izquierdo del vehículo.</t>
  </si>
  <si>
    <t>Rayones en la parte trasera del vehículo GDZ164</t>
  </si>
  <si>
    <t>Doblez de la lámina en la parte trasera lateral del vehículo y ruptura del bumper delantero central.</t>
  </si>
  <si>
    <t>Stop trasero izquierdo averiado.</t>
  </si>
  <si>
    <t xml:space="preserve">Lumbago </t>
  </si>
  <si>
    <t>SE REQUIERE RADICAR EL REPORTE A LA  ARL - FURAT
(Fecha - N/A)</t>
  </si>
  <si>
    <t>SE REQUIERE RADICAR AL MINISTERIO DE TRABAJO - ATG O ATF
(Fecha - N/A)</t>
  </si>
  <si>
    <t>SE REQUIERE RADICAR EL REPORTE A LA EPS
(Fecha - N/A)</t>
  </si>
  <si>
    <t>CARGO DEL TRABAJADOR</t>
  </si>
  <si>
    <t>TIPO DE VINCULACIÓN</t>
  </si>
  <si>
    <t>TIPO DE CONTRATACIÓN</t>
  </si>
  <si>
    <t>ANALISI TENDENCIAL POR CAUSASLIDAD POR EVENTO</t>
  </si>
  <si>
    <t>ANALISIS TENDENCIAL POR CAUSASLIDAD POR DAÑOS</t>
  </si>
  <si>
    <t xml:space="preserve">INDEPENDIENTE </t>
  </si>
  <si>
    <t>Terceros</t>
  </si>
  <si>
    <t>Capacidad Física/Fisiológica Inadecuada ( Falta de percepción de riesgo frente al ingreso en zonas residenciales )</t>
  </si>
  <si>
    <t>Riesgos Ambientales no Especificados en otra parte (Animal domestico sin aseguramiento)</t>
  </si>
  <si>
    <t>CAUSAS AMBIENTALES</t>
  </si>
  <si>
    <t>Planta / Nomina</t>
  </si>
  <si>
    <t xml:space="preserve">RIESGO DEL TRÁFICO </t>
  </si>
  <si>
    <t>CAUSAS HUMANAS</t>
  </si>
  <si>
    <t>MAQUINARIA EQUIPOS PROPIOS</t>
  </si>
  <si>
    <t>* Otros defectos no especificados en otra parte (Llanta Pinchada)
* No especificados en otra parte 
(Sobreesfuerzo fisico por 
postura inadecuada)</t>
  </si>
  <si>
    <t>PROPIO PERSONAS</t>
  </si>
  <si>
    <t xml:space="preserve">FALTA DE ATENCIÓN A LAS CONDICIONES DEL PISO O LAS VECINDADES </t>
  </si>
  <si>
    <t xml:space="preserve">*INSUFICIENTE ESPACIO DE TRABAJO 
*RIESGO DEL TRAFICO 
*PENDIENTE </t>
  </si>
  <si>
    <t xml:space="preserve">601 Conducir demasiado rápido o demasiado despacio  666 No guardar la distancia </t>
  </si>
  <si>
    <t xml:space="preserve">*RIESGO DEL TRÁFICO 
*CONDICIONES CLIMATICAS (LLUVIA) </t>
  </si>
  <si>
    <t xml:space="preserve">BAJA PERCEPCIÓN DEL RIESGO </t>
  </si>
  <si>
    <t>MAQUINARIA EQUIPOS TERCEROS</t>
  </si>
  <si>
    <t xml:space="preserve">
*Baja percepción del riesgo </t>
  </si>
  <si>
    <t>*Adelantamiento inapropiado 
*Restricciones Visuales</t>
  </si>
  <si>
    <t xml:space="preserve">EXPOSICIÓN A AGENTES CONTAMINANTES </t>
  </si>
  <si>
    <t xml:space="preserve">PASAR INAPROPIADAMENTE </t>
  </si>
  <si>
    <t xml:space="preserve">ACTUAR SIN VERIFICACIÓN DEL ENTORNO </t>
  </si>
  <si>
    <t xml:space="preserve">CONDUCIR DEMASIADO RÁPIDO O DEMASIADO DESPACIO </t>
  </si>
  <si>
    <t xml:space="preserve">UBICACIÓN INADECUADA DE BICILETA </t>
  </si>
  <si>
    <t xml:space="preserve">NO PRESTAR ATENCIÓN A LAS CONDICIONES DEL PISO O LAS VECINDADES </t>
  </si>
  <si>
    <t xml:space="preserve">*NO ASEGURAR EL VEHICULO 
*FALTA DE ATENCIÓN A LAS CONDICIONES DEL PISO O LAS VECINDADES </t>
  </si>
  <si>
    <t xml:space="preserve">*Agarrar el timón
 de forma errada
*Falta de atención a
 las condiciones del piso
 o las vecindades 
</t>
  </si>
  <si>
    <t xml:space="preserve">EXCESO DE CONFIANZA </t>
  </si>
  <si>
    <t>Maniobra en reversa en zona no completamente segura</t>
  </si>
  <si>
    <t>Independiente o Contratista</t>
  </si>
  <si>
    <t>Fatiga o disminución de la reacción y exceso de confianza</t>
  </si>
  <si>
    <t xml:space="preserve">Conducir a Exceso de velocidad </t>
  </si>
  <si>
    <t>TERCEROS PERSONAS</t>
  </si>
  <si>
    <t xml:space="preserve">*NO GUARDAR LA DISTANCIA 
*RIESGO DEL TRÁFICO </t>
  </si>
  <si>
    <t xml:space="preserve">*FALTA DE VERIFICACIÓN COMPLETA DEL ENTORNO ANTES DE MANIOBRAR
*RIESGO DLE TRÁFICO </t>
  </si>
  <si>
    <t>*DISTRACCIÓN 
*EXCESO DE CONFIANZA</t>
  </si>
  <si>
    <t>Distracción - Falta de atención a las condiciones del piso o las vecindades</t>
  </si>
  <si>
    <t>Error de conducción de tercero / Falta de conservación de distancia de seguridad</t>
  </si>
  <si>
    <t>Exceso de confianza; conducción bajo efectos del alcohol; falta de atención a las condiciones del entorno; capacidad mental afectada por consumo de alcohol</t>
  </si>
  <si>
    <t>Error de conducción; operar vehículo en condiciones inseguras; conducción bajo efectos del alcohol</t>
  </si>
  <si>
    <t xml:space="preserve">TERCEROS LESIONADOS MAQUINARIA EQUIPOS PROPIOS </t>
  </si>
  <si>
    <t>Distracción del conductor tercero y falta de conservación de distancia de seguridad.</t>
  </si>
  <si>
    <t>Colisión por alcance en condiciones de alto flujo vehicular.</t>
  </si>
  <si>
    <t>Restricciones visuales, condiciones de la vía y errores de conducción.</t>
  </si>
  <si>
    <t>Intersección, visibilidad reducida por vehículo de gran tamaño y reacción tardía.</t>
  </si>
  <si>
    <t xml:space="preserve">MAQUINARIA PROPIA Y TERCERO </t>
  </si>
  <si>
    <t>Exceso de confianza de la motociclista y lectura inadecuada del entorno vial.</t>
  </si>
  <si>
    <t>Error de conducción y no respeto de señal de pare por parte de la motociclista.</t>
  </si>
  <si>
    <t>Riesgo del tráfico; error de conducción del motociclista; adelantamiento inseguro por la derecha.</t>
  </si>
  <si>
    <t>Acto inseguro de tercero (motociclista).</t>
  </si>
  <si>
    <t>Condiciones ambientales peligrosas; estado de la vía; presencia de aceite o sustancia deslizante; vía húmeda por lluvia</t>
  </si>
  <si>
    <t>Pérdida de adherencia y control del vehículo en curva</t>
  </si>
  <si>
    <t>Riesgo del tráfico; errores de conducción del motociclista; velocidad insegura.</t>
  </si>
  <si>
    <t>Maniobra de adelantamiento insegura y velocidad inadecuada del motociclista.</t>
  </si>
  <si>
    <t>Falta de aseguramiento adecuado de la compuerta del vehículo tercero; deficiencias en procedimientos de operación del tercero.</t>
  </si>
  <si>
    <t>Apertura inesperada de compuerta durante maniobra de reversa.</t>
  </si>
  <si>
    <t>Riesgos naturales (animales en la vía)</t>
  </si>
  <si>
    <t>Falta de distancia de seguridad por parte del conductor de la motocicleta</t>
  </si>
  <si>
    <t>Actividades rutinarias, exceso de confianza en el área de trabajo y estándares deficientes de trabajo</t>
  </si>
  <si>
    <t>Falta de atención a las condiciones del entorno o vecindades durante la maniobra</t>
  </si>
  <si>
    <t>Estándares deficientes de trabajo frente a la supervisión del vehículo durante tiempos de espera y exposición al riesgo público.</t>
  </si>
  <si>
    <t>Falta de atención a las condiciones del entorno (vehículo estacionado en vía pública sin supervisión directa).</t>
  </si>
  <si>
    <t>Falta de atención a las condiciones del entorno, errores de conducción, restricción visual.</t>
  </si>
  <si>
    <t>Operar a velocidad insegura (N/A), acto subestándar por no verificar el entorno antes de la maniobra.</t>
  </si>
  <si>
    <t>Errores de conducción; restricción visual por geometría de la vía; condiciones del entorno; riesgo del tráfico.</t>
  </si>
  <si>
    <t>Falta de atención a las condiciones del entorno durante la maniobra evasiva; estado de la vía (curva, huecos y pérdida de banca).</t>
  </si>
  <si>
    <t>Riesgo del tráfico; errores de conducción del motociclista; falta de atención a las condiciones del entorno por parte del tercero.</t>
  </si>
  <si>
    <t>Imprudencia del motociclista que impactó un vehículo correctamente estacionado y huyó del lugar.</t>
  </si>
  <si>
    <t>ensión física y fisiológica derivada de la actividad de conducción y falta de conocimiento sobre técnicas adecuadas para el descenso del vehículo</t>
  </si>
  <si>
    <t>Adopción de una postura inadecuada al descender del vehículo (acto subestándar no especificado).</t>
  </si>
  <si>
    <t>CLASIFICACION SEGÚN NIVEL DE GRAVEDAD POR DAÑOS Y LESIONADOS
 (GRAVE, MODERADO, LEVE)</t>
  </si>
  <si>
    <t>DESCRIPCIÓN DEL NIVEL DE PERDIDA</t>
  </si>
  <si>
    <t xml:space="preserve">MEDIO </t>
  </si>
  <si>
    <t xml:space="preserve">BAJO </t>
  </si>
  <si>
    <t xml:space="preserve">ALTO </t>
  </si>
  <si>
    <t>Moderado</t>
  </si>
  <si>
    <t>EN PROCESO</t>
  </si>
  <si>
    <t>FECHA DE CITACIÓN PARA LA VERSIÓN DE LOS HECHOS</t>
  </si>
  <si>
    <t>DIAS DEMORA DEL REPORTE POR PARTE DEL GESTOR O JEFE INMEDIATO - PLAZO 24 HORAS O PRIMER DIA HABIL DESPUES DEL EVENTO</t>
  </si>
  <si>
    <t>DIAS DEMORA EN LA TOMA DE VERSIÓN DESDE EL TIEMPO DE REPORTE - PROMEDIO DE 5 DÍAS HABILES</t>
  </si>
  <si>
    <t>ADRIANA CASTILLO</t>
  </si>
  <si>
    <t xml:space="preserve">No </t>
  </si>
  <si>
    <t xml:space="preserve">Si </t>
  </si>
  <si>
    <t xml:space="preserve">SINIESTRO VIAL CON LESIONADO </t>
  </si>
  <si>
    <t xml:space="preserve">ACCIDENTE DE TRABAJO </t>
  </si>
  <si>
    <t>RIESGO PUBLICO 
(ALTERCADO CON HABITANTE DE CALLE)</t>
  </si>
  <si>
    <t xml:space="preserve">SINIESTRO VIAL CHOQUE SIMPLE </t>
  </si>
  <si>
    <t>SINIESTRO VIAL (FATALIDAD)</t>
  </si>
  <si>
    <t>AMBIETAL (ATROPELLAMIENTO A CANINO)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</si>
</sst>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000"/>
    <numFmt numFmtId="166" formatCode="0.000"/>
    <numFmt numFmtId="167" formatCode="0.0000000"/>
    <numFmt numFmtId="169" formatCode="[$-F400]h:mm:ss\ AM/PM"/>
  </numFmts>
  <fonts count="18" x14ac:knownFonts="1">
    <font>
      <sz val="11"/>
      <color theme="1"/>
      <name val="Calibri"/>
      <family val="2"/>
      <scheme val="minor"/>
    </font>
    <font>
      <sz val="10"/>
      <name val="Arial"/>
      <family val="2"/>
    </font>
    <font>
      <sz val="11"/>
      <color theme="1"/>
      <name val="Calibri"/>
      <family val="2"/>
      <scheme val="minor"/>
    </font>
    <font>
      <sz val="12"/>
      <color theme="1"/>
      <name val="Arial"/>
      <family val="2"/>
    </font>
    <font>
      <sz val="12"/>
      <name val="Arial"/>
      <family val="2"/>
    </font>
    <font>
      <b/>
      <sz val="12"/>
      <name val="Arial"/>
      <family val="2"/>
    </font>
    <font>
      <sz val="10"/>
      <color rgb="FF000000"/>
      <name val="Arial"/>
      <family val="2"/>
    </font>
    <font>
      <b/>
      <sz val="12"/>
      <color theme="1"/>
      <name val="Arial"/>
      <family val="2"/>
    </font>
    <font>
      <b/>
      <sz val="12"/>
      <color theme="0"/>
      <name val="Arial"/>
      <family val="2"/>
    </font>
    <font>
      <sz val="12"/>
      <color rgb="FF000000"/>
      <name val="Arial"/>
      <family val="2"/>
    </font>
    <font>
      <sz val="12"/>
      <color theme="0" tint="-0.499984740745262"/>
      <name val="Arial"/>
      <family val="2"/>
    </font>
    <font>
      <sz val="10"/>
      <color theme="1"/>
      <name val="Arial"/>
      <family val="2"/>
    </font>
    <font>
      <b/>
      <sz val="10"/>
      <color theme="1"/>
      <name val="Arial"/>
      <family val="2"/>
    </font>
    <font>
      <sz val="11"/>
      <color rgb="FFFF0000"/>
      <name val="Calibri"/>
      <family val="2"/>
      <scheme val="minor"/>
    </font>
    <font>
      <b/>
      <sz val="10"/>
      <name val="Arial"/>
      <family val="2"/>
    </font>
    <font>
      <b/>
      <sz val="10"/>
      <color theme="0"/>
      <name val="Arial"/>
      <family val="2"/>
    </font>
    <font>
      <sz val="10"/>
      <color theme="0" tint="-0.499984740745262"/>
      <name val="Arial"/>
      <family val="2"/>
    </font>
    <font>
      <b/>
      <sz val="10"/>
      <color theme="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bgColor theme="4"/>
      </patternFill>
    </fill>
    <fill>
      <patternFill patternType="solid">
        <fgColor rgb="FF00B050"/>
        <bgColor theme="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s>
  <cellStyleXfs count="4">
    <xf numFmtId="0" fontId="0" fillId="0" borderId="0"/>
    <xf numFmtId="0" fontId="1" fillId="0" borderId="0"/>
    <xf numFmtId="0" fontId="1" fillId="0" borderId="0"/>
    <xf numFmtId="9" fontId="2" fillId="0" borderId="0" applyFont="0" applyFill="0" applyBorder="0" applyAlignment="0" applyProtection="0"/>
  </cellStyleXfs>
  <cellXfs count="138">
    <xf numFmtId="0" fontId="0" fillId="0" borderId="0" xfId="0"/>
    <xf numFmtId="0" fontId="0" fillId="0" borderId="4" xfId="0" applyBorder="1"/>
    <xf numFmtId="0" fontId="0" fillId="0" borderId="5" xfId="0" applyBorder="1"/>
    <xf numFmtId="0" fontId="0" fillId="0" borderId="5" xfId="0" applyBorder="1"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3" fillId="0" borderId="0" xfId="0" applyFont="1"/>
    <xf numFmtId="0" fontId="3" fillId="5" borderId="0" xfId="0" applyFont="1" applyFill="1"/>
    <xf numFmtId="0" fontId="4" fillId="0" borderId="0" xfId="0" applyFont="1" applyAlignment="1">
      <alignment horizontal="center"/>
    </xf>
    <xf numFmtId="0" fontId="3" fillId="0" borderId="0" xfId="0" applyFont="1" applyAlignment="1">
      <alignment horizont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left"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5" borderId="0" xfId="1" applyFont="1" applyFill="1" applyAlignment="1">
      <alignment vertical="center"/>
    </xf>
    <xf numFmtId="0" fontId="7" fillId="0" borderId="0" xfId="0" applyFont="1" applyAlignment="1">
      <alignment vertical="center"/>
    </xf>
    <xf numFmtId="0" fontId="3" fillId="0" borderId="2" xfId="0" applyFont="1" applyBorder="1" applyAlignment="1">
      <alignment vertical="center"/>
    </xf>
    <xf numFmtId="0" fontId="9" fillId="0" borderId="1" xfId="0" applyFont="1" applyBorder="1" applyAlignment="1">
      <alignment horizontal="center" vertical="center" wrapText="1"/>
    </xf>
    <xf numFmtId="3" fontId="3" fillId="0" borderId="3" xfId="0" applyNumberFormat="1" applyFont="1" applyBorder="1" applyAlignment="1">
      <alignment horizontal="center" vertical="center"/>
    </xf>
    <xf numFmtId="3"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vertical="center" wrapText="1"/>
    </xf>
    <xf numFmtId="0" fontId="9" fillId="0" borderId="1" xfId="0" applyFont="1" applyBorder="1" applyAlignment="1">
      <alignment horizontal="center" vertical="center"/>
    </xf>
    <xf numFmtId="165" fontId="3" fillId="2" borderId="1" xfId="0" applyNumberFormat="1" applyFont="1" applyFill="1" applyBorder="1" applyAlignment="1">
      <alignment horizontal="center"/>
    </xf>
    <xf numFmtId="0" fontId="10" fillId="0" borderId="6"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0" xfId="0" applyFont="1" applyAlignment="1">
      <alignment vertical="center"/>
    </xf>
    <xf numFmtId="0" fontId="3" fillId="0" borderId="1" xfId="0" applyFont="1" applyBorder="1" applyAlignment="1">
      <alignment horizontal="center" vertical="center"/>
    </xf>
    <xf numFmtId="0" fontId="9" fillId="0" borderId="3" xfId="0" applyFont="1" applyBorder="1" applyAlignment="1">
      <alignment horizontal="center" vertical="center"/>
    </xf>
    <xf numFmtId="0" fontId="4" fillId="0" borderId="1" xfId="0" applyFont="1" applyBorder="1" applyAlignment="1">
      <alignment horizontal="center" vertical="center"/>
    </xf>
    <xf numFmtId="9" fontId="3" fillId="0" borderId="0" xfId="3" applyFont="1"/>
    <xf numFmtId="0" fontId="3" fillId="0" borderId="0" xfId="0" applyFont="1" applyAlignment="1">
      <alignment vertical="center"/>
    </xf>
    <xf numFmtId="0" fontId="3" fillId="2" borderId="1" xfId="0" applyFont="1" applyFill="1" applyBorder="1" applyAlignment="1">
      <alignment vertical="center"/>
    </xf>
    <xf numFmtId="0" fontId="3" fillId="8" borderId="0" xfId="0" applyFont="1" applyFill="1" applyAlignment="1">
      <alignment vertical="center"/>
    </xf>
    <xf numFmtId="165" fontId="3" fillId="2"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0" fontId="5" fillId="5" borderId="0" xfId="1" applyFont="1" applyFill="1" applyAlignment="1">
      <alignment horizontal="center" vertical="center"/>
    </xf>
    <xf numFmtId="0" fontId="8" fillId="5" borderId="0" xfId="1" applyFont="1" applyFill="1" applyAlignment="1">
      <alignment horizontal="center" vertical="center"/>
    </xf>
    <xf numFmtId="0" fontId="10" fillId="0" borderId="7" xfId="0" applyFont="1" applyBorder="1" applyAlignment="1">
      <alignment horizontal="center" vertical="center"/>
    </xf>
    <xf numFmtId="0" fontId="10" fillId="0" borderId="0" xfId="0" applyFont="1" applyAlignment="1">
      <alignment horizontal="center" vertical="center"/>
    </xf>
    <xf numFmtId="0" fontId="7" fillId="2" borderId="1" xfId="0" applyFont="1" applyFill="1" applyBorder="1" applyAlignment="1">
      <alignment vertical="center"/>
    </xf>
    <xf numFmtId="0" fontId="3" fillId="0" borderId="1" xfId="0" applyFont="1" applyBorder="1" applyAlignment="1">
      <alignment vertical="center"/>
    </xf>
    <xf numFmtId="0" fontId="5" fillId="4" borderId="1" xfId="0" applyFont="1" applyFill="1" applyBorder="1" applyAlignment="1">
      <alignment vertical="center"/>
    </xf>
    <xf numFmtId="166" fontId="3" fillId="2" borderId="12" xfId="0"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0" fontId="3" fillId="0" borderId="0" xfId="0" applyFont="1" applyAlignment="1">
      <alignment horizontal="center" vertical="center"/>
    </xf>
    <xf numFmtId="0" fontId="3" fillId="5" borderId="0" xfId="0" applyFont="1" applyFill="1" applyAlignment="1">
      <alignment vertical="center"/>
    </xf>
    <xf numFmtId="17" fontId="7" fillId="2" borderId="11" xfId="0" applyNumberFormat="1" applyFont="1" applyFill="1" applyBorder="1" applyAlignment="1">
      <alignment horizontal="center" vertical="center"/>
    </xf>
    <xf numFmtId="0" fontId="9" fillId="0" borderId="12" xfId="0" applyFont="1" applyBorder="1" applyAlignment="1">
      <alignment horizontal="center" vertical="center" wrapText="1"/>
    </xf>
    <xf numFmtId="0" fontId="4" fillId="0" borderId="12" xfId="0" applyFont="1" applyBorder="1" applyAlignment="1">
      <alignment horizontal="center" vertical="center" wrapText="1"/>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5" fillId="7" borderId="1" xfId="0" applyFont="1" applyFill="1" applyBorder="1" applyAlignment="1">
      <alignment horizontal="center" vertical="center"/>
    </xf>
    <xf numFmtId="167" fontId="3" fillId="3" borderId="6" xfId="0" applyNumberFormat="1" applyFont="1" applyFill="1" applyBorder="1" applyAlignment="1">
      <alignment horizontal="center" vertical="center"/>
    </xf>
    <xf numFmtId="167" fontId="3" fillId="3" borderId="8" xfId="0" applyNumberFormat="1" applyFont="1" applyFill="1" applyBorder="1" applyAlignment="1">
      <alignment horizontal="center" vertical="center"/>
    </xf>
    <xf numFmtId="167" fontId="3" fillId="3" borderId="10" xfId="0" applyNumberFormat="1" applyFont="1" applyFill="1" applyBorder="1" applyAlignment="1">
      <alignment horizontal="center" vertical="center"/>
    </xf>
    <xf numFmtId="165" fontId="3" fillId="6" borderId="7" xfId="0" applyNumberFormat="1" applyFont="1" applyFill="1" applyBorder="1" applyAlignment="1">
      <alignment horizontal="center" vertical="center"/>
    </xf>
    <xf numFmtId="165" fontId="3" fillId="6" borderId="0" xfId="0" applyNumberFormat="1" applyFont="1" applyFill="1" applyAlignment="1">
      <alignment horizontal="center" vertical="center"/>
    </xf>
    <xf numFmtId="165" fontId="3" fillId="6" borderId="9" xfId="0" applyNumberFormat="1" applyFont="1" applyFill="1" applyBorder="1" applyAlignment="1">
      <alignment horizontal="center" vertical="center"/>
    </xf>
    <xf numFmtId="0" fontId="5" fillId="4" borderId="1" xfId="0" applyFont="1" applyFill="1" applyBorder="1" applyAlignment="1">
      <alignment horizontal="center"/>
    </xf>
    <xf numFmtId="0" fontId="11" fillId="0" borderId="0" xfId="0" applyFont="1"/>
    <xf numFmtId="0" fontId="14" fillId="5" borderId="0" xfId="1" applyFont="1" applyFill="1" applyAlignment="1">
      <alignment vertical="center"/>
    </xf>
    <xf numFmtId="0" fontId="15" fillId="5" borderId="0" xfId="1" applyFont="1" applyFill="1" applyAlignment="1">
      <alignment vertical="center"/>
    </xf>
    <xf numFmtId="0" fontId="12" fillId="0" borderId="0" xfId="0" applyFont="1" applyAlignment="1">
      <alignment vertical="center"/>
    </xf>
    <xf numFmtId="0" fontId="14" fillId="7" borderId="1" xfId="0" applyFont="1" applyFill="1" applyBorder="1" applyAlignment="1">
      <alignment horizontal="center" vertical="center"/>
    </xf>
    <xf numFmtId="0" fontId="12" fillId="2" borderId="1" xfId="0" applyFont="1" applyFill="1" applyBorder="1" applyAlignment="1">
      <alignment horizontal="left" vertical="center"/>
    </xf>
    <xf numFmtId="0" fontId="12" fillId="2" borderId="11"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1" fillId="0" borderId="2" xfId="0" applyFont="1" applyBorder="1" applyAlignment="1">
      <alignment vertical="center"/>
    </xf>
    <xf numFmtId="0" fontId="6" fillId="0" borderId="1" xfId="0" applyFont="1" applyBorder="1" applyAlignment="1">
      <alignment horizontal="center" vertical="center" wrapText="1"/>
    </xf>
    <xf numFmtId="3" fontId="11" fillId="0" borderId="3" xfId="0" applyNumberFormat="1" applyFont="1" applyBorder="1" applyAlignment="1">
      <alignment horizontal="center" vertical="center"/>
    </xf>
    <xf numFmtId="3" fontId="11" fillId="0" borderId="1" xfId="0" applyNumberFormat="1" applyFont="1" applyBorder="1" applyAlignment="1">
      <alignment horizontal="center" vertical="center"/>
    </xf>
    <xf numFmtId="167" fontId="11" fillId="3" borderId="6" xfId="0" applyNumberFormat="1" applyFont="1" applyFill="1" applyBorder="1" applyAlignment="1">
      <alignment horizontal="center" vertical="center"/>
    </xf>
    <xf numFmtId="165" fontId="11" fillId="6" borderId="7" xfId="0" applyNumberFormat="1" applyFont="1" applyFill="1" applyBorder="1" applyAlignment="1">
      <alignment horizontal="center" vertical="center"/>
    </xf>
    <xf numFmtId="167" fontId="11" fillId="3" borderId="8" xfId="0" applyNumberFormat="1" applyFont="1" applyFill="1" applyBorder="1" applyAlignment="1">
      <alignment horizontal="center" vertical="center"/>
    </xf>
    <xf numFmtId="165" fontId="11" fillId="6" borderId="0" xfId="0" applyNumberFormat="1" applyFont="1" applyFill="1" applyAlignment="1">
      <alignment horizontal="center" vertical="center"/>
    </xf>
    <xf numFmtId="0" fontId="1" fillId="0" borderId="1" xfId="0" applyFont="1" applyBorder="1" applyAlignment="1">
      <alignment horizontal="center" vertical="center" wrapText="1"/>
    </xf>
    <xf numFmtId="0" fontId="11" fillId="0" borderId="2" xfId="0" applyFont="1" applyBorder="1" applyAlignment="1">
      <alignment vertical="center" wrapText="1"/>
    </xf>
    <xf numFmtId="0" fontId="6" fillId="0" borderId="1" xfId="0" applyFont="1" applyBorder="1" applyAlignment="1">
      <alignment horizontal="center" vertical="center"/>
    </xf>
    <xf numFmtId="0" fontId="1" fillId="0" borderId="1" xfId="0" applyFont="1" applyBorder="1" applyAlignment="1">
      <alignment horizontal="center" vertical="center"/>
    </xf>
    <xf numFmtId="9" fontId="11" fillId="0" borderId="0" xfId="3" applyFont="1"/>
    <xf numFmtId="0" fontId="11" fillId="0" borderId="1" xfId="0" applyFont="1" applyBorder="1" applyAlignment="1">
      <alignment horizontal="center" vertical="center"/>
    </xf>
    <xf numFmtId="0" fontId="6" fillId="0" borderId="3" xfId="0" applyFont="1" applyBorder="1" applyAlignment="1">
      <alignment horizontal="center" vertical="center"/>
    </xf>
    <xf numFmtId="3" fontId="11" fillId="0" borderId="13" xfId="0" applyNumberFormat="1" applyFont="1" applyBorder="1" applyAlignment="1">
      <alignment horizontal="center" vertical="center"/>
    </xf>
    <xf numFmtId="0" fontId="11" fillId="2" borderId="1" xfId="0" applyFont="1" applyFill="1" applyBorder="1"/>
    <xf numFmtId="166" fontId="11" fillId="2" borderId="12" xfId="0" applyNumberFormat="1" applyFont="1" applyFill="1" applyBorder="1" applyAlignment="1">
      <alignment horizontal="center"/>
    </xf>
    <xf numFmtId="165" fontId="11" fillId="2" borderId="1" xfId="0" applyNumberFormat="1" applyFont="1" applyFill="1" applyBorder="1" applyAlignment="1">
      <alignment horizontal="center"/>
    </xf>
    <xf numFmtId="0" fontId="11" fillId="5" borderId="0" xfId="0" applyFont="1" applyFill="1"/>
    <xf numFmtId="166" fontId="11" fillId="2" borderId="1" xfId="0" applyNumberFormat="1" applyFont="1" applyFill="1" applyBorder="1" applyAlignment="1">
      <alignment horizontal="center"/>
    </xf>
    <xf numFmtId="0" fontId="11" fillId="8" borderId="0" xfId="0" applyFont="1" applyFill="1"/>
    <xf numFmtId="0" fontId="11" fillId="8" borderId="1" xfId="0" applyFont="1" applyFill="1" applyBorder="1" applyAlignment="1">
      <alignment horizontal="center"/>
    </xf>
    <xf numFmtId="167" fontId="11" fillId="3" borderId="10" xfId="0" applyNumberFormat="1" applyFont="1" applyFill="1" applyBorder="1" applyAlignment="1">
      <alignment horizontal="center" vertical="center"/>
    </xf>
    <xf numFmtId="165" fontId="11" fillId="6" borderId="9" xfId="0" applyNumberFormat="1" applyFont="1" applyFill="1" applyBorder="1" applyAlignment="1">
      <alignment horizontal="center" vertical="center"/>
    </xf>
    <xf numFmtId="0" fontId="16" fillId="0" borderId="6" xfId="0" applyFont="1" applyBorder="1" applyAlignment="1">
      <alignment vertical="center"/>
    </xf>
    <xf numFmtId="0" fontId="16" fillId="0" borderId="7" xfId="0" applyFont="1" applyBorder="1" applyAlignment="1">
      <alignment vertical="center"/>
    </xf>
    <xf numFmtId="0" fontId="16" fillId="0" borderId="8" xfId="0" applyFont="1" applyBorder="1" applyAlignment="1">
      <alignment vertical="center"/>
    </xf>
    <xf numFmtId="0" fontId="16" fillId="0" borderId="0" xfId="0" applyFont="1" applyAlignment="1">
      <alignment vertical="center"/>
    </xf>
    <xf numFmtId="0" fontId="14" fillId="4" borderId="1" xfId="0" applyFont="1" applyFill="1" applyBorder="1" applyAlignment="1">
      <alignment horizontal="center"/>
    </xf>
    <xf numFmtId="0" fontId="14" fillId="4" borderId="1" xfId="0" applyFont="1" applyFill="1" applyBorder="1" applyAlignment="1">
      <alignment horizontal="center"/>
    </xf>
    <xf numFmtId="0" fontId="1" fillId="0" borderId="0" xfId="0" applyFont="1" applyAlignment="1">
      <alignment horizontal="center"/>
    </xf>
    <xf numFmtId="0" fontId="11" fillId="0" borderId="0" xfId="0" applyFont="1" applyAlignment="1">
      <alignment horizont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vertical="center"/>
    </xf>
    <xf numFmtId="0" fontId="14" fillId="5" borderId="0" xfId="1" applyFont="1" applyFill="1" applyAlignment="1">
      <alignment horizontal="center" vertical="center"/>
    </xf>
    <xf numFmtId="0" fontId="15" fillId="5" borderId="0" xfId="1" applyFont="1" applyFill="1" applyAlignment="1">
      <alignment horizontal="center" vertical="center"/>
    </xf>
    <xf numFmtId="0" fontId="12" fillId="2" borderId="1" xfId="0" applyFont="1" applyFill="1" applyBorder="1" applyAlignment="1">
      <alignment vertical="center"/>
    </xf>
    <xf numFmtId="0" fontId="11" fillId="2" borderId="1" xfId="0" applyFont="1" applyFill="1" applyBorder="1" applyAlignment="1">
      <alignment vertical="center"/>
    </xf>
    <xf numFmtId="166" fontId="11" fillId="2" borderId="12" xfId="0" applyNumberFormat="1" applyFont="1" applyFill="1" applyBorder="1" applyAlignment="1">
      <alignment horizontal="center" vertical="center"/>
    </xf>
    <xf numFmtId="166" fontId="11" fillId="2" borderId="1" xfId="0" applyNumberFormat="1" applyFont="1" applyFill="1" applyBorder="1" applyAlignment="1">
      <alignment horizontal="center" vertical="center"/>
    </xf>
    <xf numFmtId="165" fontId="11" fillId="2" borderId="1" xfId="0" applyNumberFormat="1" applyFont="1" applyFill="1" applyBorder="1" applyAlignment="1">
      <alignment horizontal="center" vertical="center"/>
    </xf>
    <xf numFmtId="0" fontId="11" fillId="8" borderId="0" xfId="0" applyFont="1" applyFill="1" applyAlignment="1">
      <alignment vertical="center"/>
    </xf>
    <xf numFmtId="0" fontId="11" fillId="8" borderId="1" xfId="0" applyFont="1" applyFill="1" applyBorder="1" applyAlignment="1">
      <alignment horizontal="center" vertical="center"/>
    </xf>
    <xf numFmtId="0" fontId="11" fillId="5" borderId="0" xfId="0" applyFont="1" applyFill="1" applyAlignment="1">
      <alignment vertical="center"/>
    </xf>
    <xf numFmtId="0" fontId="16" fillId="0" borderId="7" xfId="0" applyFont="1" applyBorder="1" applyAlignment="1">
      <alignment horizontal="center" vertical="center"/>
    </xf>
    <xf numFmtId="0" fontId="16" fillId="0" borderId="0" xfId="0" applyFont="1" applyAlignment="1">
      <alignment horizontal="center" vertical="center"/>
    </xf>
    <xf numFmtId="0" fontId="14" fillId="4" borderId="1" xfId="0" applyFont="1" applyFill="1" applyBorder="1" applyAlignment="1">
      <alignment vertical="center"/>
    </xf>
    <xf numFmtId="0" fontId="11" fillId="0" borderId="1" xfId="0" applyFont="1" applyBorder="1" applyAlignment="1">
      <alignment vertical="center"/>
    </xf>
    <xf numFmtId="17" fontId="12" fillId="2" borderId="11" xfId="0" applyNumberFormat="1" applyFont="1" applyFill="1" applyBorder="1" applyAlignment="1">
      <alignment horizontal="center" vertical="center"/>
    </xf>
    <xf numFmtId="0" fontId="6" fillId="0" borderId="12" xfId="0" applyFont="1" applyBorder="1" applyAlignment="1">
      <alignment horizontal="center" vertical="center" wrapText="1"/>
    </xf>
    <xf numFmtId="0" fontId="17" fillId="10" borderId="0" xfId="0" applyFont="1" applyFill="1" applyAlignment="1">
      <alignment horizontal="center" vertical="center" wrapText="1"/>
    </xf>
    <xf numFmtId="22" fontId="0" fillId="0" borderId="14" xfId="0" applyNumberFormat="1" applyBorder="1" applyAlignment="1">
      <alignment horizontal="center" vertical="center" wrapText="1"/>
    </xf>
    <xf numFmtId="22" fontId="0" fillId="0" borderId="0" xfId="0" applyNumberFormat="1" applyAlignment="1">
      <alignment horizontal="center" vertical="center" wrapText="1"/>
    </xf>
    <xf numFmtId="22" fontId="0" fillId="9" borderId="0" xfId="0" applyNumberFormat="1" applyFill="1" applyAlignment="1">
      <alignment horizontal="center" vertical="center" wrapText="1"/>
    </xf>
    <xf numFmtId="49" fontId="0" fillId="0" borderId="0" xfId="0" applyNumberFormat="1" applyAlignment="1">
      <alignment horizontal="center" vertical="center" wrapText="1"/>
    </xf>
    <xf numFmtId="49" fontId="0" fillId="9" borderId="0" xfId="0" applyNumberFormat="1" applyFill="1" applyAlignment="1">
      <alignment horizontal="center" vertical="center" wrapText="1"/>
    </xf>
    <xf numFmtId="14" fontId="0" fillId="0" borderId="0" xfId="0" applyNumberFormat="1" applyAlignment="1">
      <alignment horizontal="center" vertical="center" wrapText="1"/>
    </xf>
    <xf numFmtId="14" fontId="0" fillId="0" borderId="0" xfId="0" applyNumberFormat="1" applyAlignment="1">
      <alignment vertical="center"/>
    </xf>
    <xf numFmtId="169" fontId="0" fillId="0" borderId="0" xfId="0" applyNumberFormat="1" applyAlignment="1">
      <alignment horizontal="center" vertical="center"/>
    </xf>
    <xf numFmtId="0" fontId="0" fillId="9" borderId="0" xfId="0" applyFill="1" applyAlignment="1">
      <alignment horizontal="center" vertical="center" wrapText="1"/>
    </xf>
    <xf numFmtId="1" fontId="0" fillId="0" borderId="0" xfId="0" applyNumberFormat="1" applyAlignment="1">
      <alignment horizontal="center" vertical="center"/>
    </xf>
    <xf numFmtId="1" fontId="13" fillId="0" borderId="0" xfId="0" applyNumberFormat="1" applyFont="1" applyAlignment="1">
      <alignment horizontal="center" vertical="center"/>
    </xf>
    <xf numFmtId="0" fontId="17" fillId="11" borderId="0" xfId="0" applyFont="1" applyFill="1" applyAlignment="1">
      <alignment horizontal="center" vertical="center" wrapText="1"/>
    </xf>
  </cellXfs>
  <cellStyles count="4">
    <cellStyle name="Normal" xfId="0" builtinId="0"/>
    <cellStyle name="Normal 2" xfId="1" xr:uid="{00000000-0005-0000-0000-000003000000}"/>
    <cellStyle name="Normal 3" xfId="2" xr:uid="{00000000-0005-0000-0000-000004000000}"/>
    <cellStyle name="Porcentaje" xfId="3" builtinId="5"/>
  </cellStyles>
  <dxfs count="12">
    <dxf>
      <fill>
        <patternFill>
          <bgColor rgb="FFFFC7CE"/>
        </patternFill>
      </fill>
    </dxf>
    <dxf>
      <fill>
        <patternFill>
          <bgColor rgb="FFFFFF00"/>
        </patternFill>
      </fill>
    </dxf>
    <dxf>
      <fill>
        <patternFill>
          <bgColor rgb="FFFFFF00"/>
        </patternFill>
      </fill>
    </dxf>
    <dxf>
      <fill>
        <patternFill>
          <bgColor rgb="FFFFC7CE"/>
        </patternFill>
      </fill>
    </dxf>
    <dxf>
      <fill>
        <patternFill>
          <bgColor rgb="FFFFFF00"/>
        </patternFill>
      </fill>
    </dxf>
    <dxf>
      <fill>
        <patternFill>
          <bgColor rgb="FFFFFF00"/>
        </patternFill>
      </fill>
    </dxf>
    <dxf>
      <fill>
        <patternFill>
          <bgColor rgb="FFFFC7CE"/>
        </patternFill>
      </fill>
    </dxf>
    <dxf>
      <fill>
        <patternFill>
          <bgColor rgb="FFFFFF00"/>
        </patternFill>
      </fill>
    </dxf>
    <dxf>
      <fill>
        <patternFill>
          <bgColor rgb="FFFFFF00"/>
        </patternFill>
      </fill>
    </dxf>
    <dxf>
      <fill>
        <patternFill>
          <bgColor rgb="FFFFC7CE"/>
        </patternFill>
      </fill>
    </dxf>
    <dxf>
      <fill>
        <patternFill>
          <bgColor rgb="FFFFFF00"/>
        </patternFill>
      </fill>
    </dxf>
    <dxf>
      <fill>
        <patternFill>
          <bgColor rgb="FFFFFF00"/>
        </patternFill>
      </fill>
    </dxf>
  </dxfs>
  <tableStyles count="0" defaultTableStyle="TableStyleMedium2" defaultPivotStyle="PivotStyleLight16"/>
  <colors>
    <mruColors>
      <color rgb="FF006600"/>
      <color rgb="FF0DE756"/>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INDICE DE FRECUENCIA DE ACCIDENTALIDAD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'FT-GEI-SO-017-2026'!$B$26:$M$26</c:f>
              <c:numCache>
                <c:formatCode>0.000</c:formatCode>
                <c:ptCount val="12"/>
                <c:pt idx="0">
                  <c:v>0.28011204481792717</c:v>
                </c:pt>
                <c:pt idx="1">
                  <c:v>0</c:v>
                </c:pt>
                <c:pt idx="2">
                  <c:v>0</c:v>
                </c:pt>
                <c:pt idx="3">
                  <c:v>0</c:v>
                </c:pt>
                <c:pt idx="4">
                  <c:v>0.14534883720930233</c:v>
                </c:pt>
              </c:numCache>
            </c:numRef>
          </c:val>
          <c:extLst>
            <c:ext xmlns:c16="http://schemas.microsoft.com/office/drawing/2014/chart" uri="{C3380CC4-5D6E-409C-BE32-E72D297353CC}">
              <c16:uniqueId val="{00000000-7930-4125-84AE-1BF1170177AB}"/>
            </c:ext>
          </c:extLst>
        </c:ser>
        <c:dLbls>
          <c:showLegendKey val="0"/>
          <c:showVal val="0"/>
          <c:showCatName val="0"/>
          <c:showSerName val="0"/>
          <c:showPercent val="0"/>
          <c:showBubbleSize val="0"/>
        </c:dLbls>
        <c:gapWidth val="65"/>
        <c:shape val="box"/>
        <c:axId val="-1374514720"/>
        <c:axId val="-1374515808"/>
        <c:axId val="0"/>
      </c:bar3DChart>
      <c:catAx>
        <c:axId val="-137451472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74515808"/>
        <c:crosses val="autoZero"/>
        <c:auto val="1"/>
        <c:lblAlgn val="ctr"/>
        <c:lblOffset val="100"/>
        <c:noMultiLvlLbl val="0"/>
      </c:catAx>
      <c:valAx>
        <c:axId val="-1374515808"/>
        <c:scaling>
          <c:orientation val="minMax"/>
        </c:scaling>
        <c:delete val="0"/>
        <c:axPos val="l"/>
        <c:majorGridlines>
          <c:spPr>
            <a:ln w="9525" cap="flat" cmpd="sng" algn="ctr">
              <a:solidFill>
                <a:schemeClr val="dk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745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s-CO"/>
              <a:t>Indice</a:t>
            </a:r>
            <a:r>
              <a:rPr lang="es-CO" baseline="0"/>
              <a:t> de severidad ACCIDENTALIDAD</a:t>
            </a:r>
            <a:endParaRPr lang="es-CO"/>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'FT-GEI-SO-017-2026'!$B$27:$M$27</c:f>
              <c:numCache>
                <c:formatCode>0.000</c:formatCode>
                <c:ptCount val="12"/>
                <c:pt idx="0">
                  <c:v>3.3613445378151261</c:v>
                </c:pt>
                <c:pt idx="1">
                  <c:v>3.7868162692847123</c:v>
                </c:pt>
                <c:pt idx="2">
                  <c:v>5.0143266475644692</c:v>
                </c:pt>
                <c:pt idx="3">
                  <c:v>0.14084507042253522</c:v>
                </c:pt>
                <c:pt idx="4">
                  <c:v>0.58139534883720934</c:v>
                </c:pt>
              </c:numCache>
            </c:numRef>
          </c:val>
          <c:extLst>
            <c:ext xmlns:c16="http://schemas.microsoft.com/office/drawing/2014/chart" uri="{C3380CC4-5D6E-409C-BE32-E72D297353CC}">
              <c16:uniqueId val="{00000000-54C8-4367-846A-E80D27285314}"/>
            </c:ext>
          </c:extLst>
        </c:ser>
        <c:dLbls>
          <c:showLegendKey val="0"/>
          <c:showVal val="1"/>
          <c:showCatName val="0"/>
          <c:showSerName val="0"/>
          <c:showPercent val="0"/>
          <c:showBubbleSize val="0"/>
        </c:dLbls>
        <c:gapWidth val="84"/>
        <c:gapDepth val="53"/>
        <c:shape val="box"/>
        <c:axId val="-1374509280"/>
        <c:axId val="-1374508736"/>
        <c:axId val="0"/>
      </c:bar3DChart>
      <c:catAx>
        <c:axId val="-13745092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374508736"/>
        <c:crosses val="autoZero"/>
        <c:auto val="1"/>
        <c:lblAlgn val="ctr"/>
        <c:lblOffset val="100"/>
        <c:noMultiLvlLbl val="0"/>
      </c:catAx>
      <c:valAx>
        <c:axId val="-1374508736"/>
        <c:scaling>
          <c:orientation val="minMax"/>
        </c:scaling>
        <c:delete val="1"/>
        <c:axPos val="l"/>
        <c:numFmt formatCode="0.000" sourceLinked="1"/>
        <c:majorTickMark val="out"/>
        <c:minorTickMark val="none"/>
        <c:tickLblPos val="nextTo"/>
        <c:crossAx val="-13745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a:t>tASA DE ACCIDENTALIDAD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'FT-GEI-SO-017-2026'!$B$29:$M$29</c:f>
              <c:numCache>
                <c:formatCode>0.0000</c:formatCode>
                <c:ptCount val="12"/>
                <c:pt idx="0">
                  <c:v>0.28011204481792717</c:v>
                </c:pt>
                <c:pt idx="1">
                  <c:v>0</c:v>
                </c:pt>
                <c:pt idx="2">
                  <c:v>0</c:v>
                </c:pt>
                <c:pt idx="3">
                  <c:v>0</c:v>
                </c:pt>
                <c:pt idx="4">
                  <c:v>0.14534883720930233</c:v>
                </c:pt>
              </c:numCache>
            </c:numRef>
          </c:val>
          <c:extLst>
            <c:ext xmlns:c16="http://schemas.microsoft.com/office/drawing/2014/chart" uri="{C3380CC4-5D6E-409C-BE32-E72D297353CC}">
              <c16:uniqueId val="{00000000-AF0D-44DB-9ADC-E5A978635D02}"/>
            </c:ext>
          </c:extLst>
        </c:ser>
        <c:dLbls>
          <c:showLegendKey val="0"/>
          <c:showVal val="0"/>
          <c:showCatName val="0"/>
          <c:showSerName val="0"/>
          <c:showPercent val="0"/>
          <c:showBubbleSize val="0"/>
        </c:dLbls>
        <c:gapWidth val="160"/>
        <c:gapDepth val="0"/>
        <c:shape val="box"/>
        <c:axId val="-1374523424"/>
        <c:axId val="-1374522880"/>
        <c:axId val="0"/>
      </c:bar3DChart>
      <c:catAx>
        <c:axId val="-1374523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2880"/>
        <c:crosses val="autoZero"/>
        <c:auto val="1"/>
        <c:lblAlgn val="ctr"/>
        <c:lblOffset val="100"/>
        <c:noMultiLvlLbl val="0"/>
      </c:catAx>
      <c:valAx>
        <c:axId val="-1374522880"/>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PROPORCIÓN DE ACCIDENTES DE TRABAJO MORTALES</a:t>
            </a:r>
          </a:p>
        </c:rich>
      </c:tx>
      <c:layout>
        <c:manualLayout>
          <c:xMode val="edge"/>
          <c:yMode val="edge"/>
          <c:x val="0.14185016852596277"/>
          <c:y val="3.2557459888220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'FT-GEI-SO-017-2026'!$A$34</c:f>
              <c:strCache>
                <c:ptCount val="1"/>
                <c:pt idx="0">
                  <c:v>Proporción de accidente de trabajo Mortales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'FT-GEI-SO-017-2026'!$B$34:$M$34</c:f>
              <c:numCache>
                <c:formatCode>0.0000</c:formatCode>
                <c:ptCount val="12"/>
                <c:pt idx="0">
                  <c:v>0</c:v>
                </c:pt>
                <c:pt idx="1">
                  <c:v>0</c:v>
                </c:pt>
                <c:pt idx="2">
                  <c:v>0</c:v>
                </c:pt>
                <c:pt idx="3">
                  <c:v>0</c:v>
                </c:pt>
                <c:pt idx="4">
                  <c:v>0</c:v>
                </c:pt>
              </c:numCache>
            </c:numRef>
          </c:val>
          <c:extLst>
            <c:ext xmlns:c16="http://schemas.microsoft.com/office/drawing/2014/chart" uri="{C3380CC4-5D6E-409C-BE32-E72D297353CC}">
              <c16:uniqueId val="{00000000-C7F3-4785-A2FF-2056729FEB28}"/>
            </c:ext>
          </c:extLst>
        </c:ser>
        <c:dLbls>
          <c:showLegendKey val="0"/>
          <c:showVal val="0"/>
          <c:showCatName val="0"/>
          <c:showSerName val="0"/>
          <c:showPercent val="0"/>
          <c:showBubbleSize val="0"/>
        </c:dLbls>
        <c:gapWidth val="65"/>
        <c:shape val="box"/>
        <c:axId val="-1672187968"/>
        <c:axId val="-1672184704"/>
        <c:axId val="0"/>
      </c:bar3DChart>
      <c:catAx>
        <c:axId val="-167218796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72184704"/>
        <c:crosses val="autoZero"/>
        <c:auto val="1"/>
        <c:lblAlgn val="ctr"/>
        <c:lblOffset val="100"/>
        <c:noMultiLvlLbl val="0"/>
      </c:catAx>
      <c:valAx>
        <c:axId val="-1672184704"/>
        <c:scaling>
          <c:orientation val="minMax"/>
        </c:scaling>
        <c:delete val="0"/>
        <c:axPos val="l"/>
        <c:majorGridlines>
          <c:spPr>
            <a:ln w="9525" cap="flat" cmpd="sng" algn="ctr">
              <a:solidFill>
                <a:schemeClr val="dk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6721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TASA DE SINIESTRO</a:t>
            </a:r>
            <a:r>
              <a:rPr lang="en-US" baseline="0"/>
              <a:t> VIALES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'FT-GEI-SO-017-2026'!$A$31</c:f>
              <c:strCache>
                <c:ptCount val="1"/>
                <c:pt idx="0">
                  <c:v>Tasa de accidentes de Siniestro vial en el desarrollo de la labor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'FT-GEI-SO-017-2026'!$B$31:$M$31</c:f>
              <c:numCache>
                <c:formatCode>0.0000</c:formatCode>
                <c:ptCount val="12"/>
                <c:pt idx="0">
                  <c:v>0.42016806722689076</c:v>
                </c:pt>
                <c:pt idx="1">
                  <c:v>0.84151472650771386</c:v>
                </c:pt>
                <c:pt idx="2">
                  <c:v>1.2893982808022924</c:v>
                </c:pt>
                <c:pt idx="3">
                  <c:v>0.9859154929577465</c:v>
                </c:pt>
                <c:pt idx="4">
                  <c:v>1.4534883720930232</c:v>
                </c:pt>
              </c:numCache>
            </c:numRef>
          </c:val>
          <c:extLst>
            <c:ext xmlns:c16="http://schemas.microsoft.com/office/drawing/2014/chart" uri="{C3380CC4-5D6E-409C-BE32-E72D297353CC}">
              <c16:uniqueId val="{00000000-D5D3-4D70-88A9-6015007EF9DB}"/>
            </c:ext>
          </c:extLst>
        </c:ser>
        <c:dLbls>
          <c:showLegendKey val="0"/>
          <c:showVal val="0"/>
          <c:showCatName val="0"/>
          <c:showSerName val="0"/>
          <c:showPercent val="0"/>
          <c:showBubbleSize val="0"/>
        </c:dLbls>
        <c:gapWidth val="150"/>
        <c:shape val="box"/>
        <c:axId val="-1370860080"/>
        <c:axId val="-1370861712"/>
        <c:axId val="0"/>
      </c:bar3DChart>
      <c:catAx>
        <c:axId val="-13708600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1712"/>
        <c:crosses val="autoZero"/>
        <c:auto val="1"/>
        <c:lblAlgn val="ctr"/>
        <c:lblOffset val="100"/>
        <c:noMultiLvlLbl val="0"/>
      </c:catAx>
      <c:valAx>
        <c:axId val="-1370861712"/>
        <c:scaling>
          <c:orientation val="minMax"/>
        </c:scaling>
        <c:delete val="0"/>
        <c:axPos val="l"/>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lineChart>
        <c:grouping val="standard"/>
        <c:varyColors val="0"/>
        <c:ser>
          <c:idx val="0"/>
          <c:order val="0"/>
          <c:tx>
            <c:strRef>
              <c:f>'FT-GEI-SO-017-2026'!$A$28</c:f>
              <c:strCache>
                <c:ptCount val="1"/>
                <c:pt idx="0">
                  <c:v>Ind. De Lesiones Incapacitantes (ILI)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'FT-GEI-SO-017-2026'!$B$28:$J$28</c:f>
              <c:numCache>
                <c:formatCode>0.0000</c:formatCode>
                <c:ptCount val="9"/>
                <c:pt idx="0">
                  <c:v>9.415530918249653E-4</c:v>
                </c:pt>
                <c:pt idx="1">
                  <c:v>0</c:v>
                </c:pt>
                <c:pt idx="2">
                  <c:v>0</c:v>
                </c:pt>
                <c:pt idx="3">
                  <c:v>0</c:v>
                </c:pt>
                <c:pt idx="4">
                  <c:v>8.4505137912385076E-5</c:v>
                </c:pt>
              </c:numCache>
            </c:numRef>
          </c:val>
          <c:smooth val="0"/>
          <c:extLst>
            <c:ext xmlns:c16="http://schemas.microsoft.com/office/drawing/2014/chart" uri="{C3380CC4-5D6E-409C-BE32-E72D297353CC}">
              <c16:uniqueId val="{00000000-6E95-489F-9D5F-8B22414A5C1C}"/>
            </c:ext>
          </c:extLst>
        </c:ser>
        <c:ser>
          <c:idx val="1"/>
          <c:order val="1"/>
          <c:tx>
            <c:strRef>
              <c:f>'FT-GEI-SO-017-2026'!$A$35</c:f>
              <c:strCache>
                <c:ptCount val="1"/>
                <c:pt idx="0">
                  <c:v>META MENSUAL DEL ILI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'FT-GEI-SO-017-2026'!$B$35:$J$35</c:f>
              <c:numCache>
                <c:formatCode>General</c:formatCode>
                <c:ptCount val="9"/>
                <c:pt idx="0">
                  <c:v>2.3917000000000001E-3</c:v>
                </c:pt>
                <c:pt idx="1">
                  <c:v>2.3917000000000001E-3</c:v>
                </c:pt>
                <c:pt idx="2">
                  <c:v>2.3917000000000001E-3</c:v>
                </c:pt>
                <c:pt idx="3">
                  <c:v>2.3917000000000001E-3</c:v>
                </c:pt>
                <c:pt idx="4">
                  <c:v>2.3917000000000001E-3</c:v>
                </c:pt>
              </c:numCache>
            </c:numRef>
          </c:val>
          <c:smooth val="0"/>
          <c:extLst>
            <c:ext xmlns:c16="http://schemas.microsoft.com/office/drawing/2014/chart" uri="{C3380CC4-5D6E-409C-BE32-E72D297353CC}">
              <c16:uniqueId val="{00000001-6E95-489F-9D5F-8B22414A5C1C}"/>
            </c:ext>
          </c:extLst>
        </c:ser>
        <c:dLbls>
          <c:dLblPos val="ctr"/>
          <c:showLegendKey val="0"/>
          <c:showVal val="1"/>
          <c:showCatName val="0"/>
          <c:showSerName val="0"/>
          <c:showPercent val="0"/>
          <c:showBubbleSize val="0"/>
        </c:dLbls>
        <c:marker val="1"/>
        <c:smooth val="0"/>
        <c:axId val="1669705455"/>
        <c:axId val="1669705871"/>
      </c:lineChart>
      <c:catAx>
        <c:axId val="166970545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69705871"/>
        <c:crosses val="autoZero"/>
        <c:auto val="1"/>
        <c:lblAlgn val="ctr"/>
        <c:lblOffset val="100"/>
        <c:noMultiLvlLbl val="0"/>
      </c:catAx>
      <c:valAx>
        <c:axId val="1669705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 sourceLinked="1"/>
        <c:majorTickMark val="none"/>
        <c:minorTickMark val="none"/>
        <c:tickLblPos val="nextTo"/>
        <c:crossAx val="16697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INDICE DE FRECUENCIA DE ACCIDENTALIDAD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'[3]FORMATO FT-GEI-SO-017'!$B$18:$M$18</c:f>
              <c:numCache>
                <c:formatCode>General</c:formatCode>
                <c:ptCount val="12"/>
                <c:pt idx="0">
                  <c:v>0</c:v>
                </c:pt>
                <c:pt idx="1">
                  <c:v>0.14124293785310735</c:v>
                </c:pt>
                <c:pt idx="2">
                  <c:v>0.2743484224965706</c:v>
                </c:pt>
                <c:pt idx="3">
                  <c:v>0</c:v>
                </c:pt>
                <c:pt idx="4">
                  <c:v>0.13333333333333333</c:v>
                </c:pt>
                <c:pt idx="5">
                  <c:v>0</c:v>
                </c:pt>
                <c:pt idx="6">
                  <c:v>0.28208744710860367</c:v>
                </c:pt>
                <c:pt idx="7">
                  <c:v>0.14492753623188406</c:v>
                </c:pt>
                <c:pt idx="8">
                  <c:v>0.28449502133712662</c:v>
                </c:pt>
                <c:pt idx="9">
                  <c:v>0.5494505494505495</c:v>
                </c:pt>
                <c:pt idx="10">
                  <c:v>0.13458950201884254</c:v>
                </c:pt>
                <c:pt idx="11">
                  <c:v>0.13986013986013987</c:v>
                </c:pt>
              </c:numCache>
            </c:numRef>
          </c:val>
          <c:extLst>
            <c:ext xmlns:c16="http://schemas.microsoft.com/office/drawing/2014/chart" uri="{C3380CC4-5D6E-409C-BE32-E72D297353CC}">
              <c16:uniqueId val="{00000000-1881-444E-B7D2-AC0F3D2D8C54}"/>
            </c:ext>
          </c:extLst>
        </c:ser>
        <c:dLbls>
          <c:showLegendKey val="0"/>
          <c:showVal val="0"/>
          <c:showCatName val="0"/>
          <c:showSerName val="0"/>
          <c:showPercent val="0"/>
          <c:showBubbleSize val="0"/>
        </c:dLbls>
        <c:gapWidth val="65"/>
        <c:shape val="box"/>
        <c:axId val="-1374514720"/>
        <c:axId val="-1374515808"/>
        <c:axId val="0"/>
      </c:bar3DChart>
      <c:catAx>
        <c:axId val="-137451472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74515808"/>
        <c:crosses val="autoZero"/>
        <c:auto val="1"/>
        <c:lblAlgn val="ctr"/>
        <c:lblOffset val="100"/>
        <c:noMultiLvlLbl val="0"/>
      </c:catAx>
      <c:valAx>
        <c:axId val="-13745158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745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s-CO"/>
              <a:t>Indice</a:t>
            </a:r>
            <a:r>
              <a:rPr lang="es-CO" baseline="0"/>
              <a:t> de severidad ACCIDENTALIDAD</a:t>
            </a:r>
            <a:endParaRPr lang="es-CO"/>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'[3]FORMATO FT-GEI-SO-017'!$B$19:$M$19</c:f>
              <c:numCache>
                <c:formatCode>General</c:formatCode>
                <c:ptCount val="12"/>
                <c:pt idx="0">
                  <c:v>0</c:v>
                </c:pt>
                <c:pt idx="1">
                  <c:v>0.14124293785310735</c:v>
                </c:pt>
                <c:pt idx="2">
                  <c:v>0.2743484224965706</c:v>
                </c:pt>
                <c:pt idx="3">
                  <c:v>0</c:v>
                </c:pt>
                <c:pt idx="4">
                  <c:v>1.8666666666666669</c:v>
                </c:pt>
                <c:pt idx="5">
                  <c:v>0</c:v>
                </c:pt>
                <c:pt idx="6">
                  <c:v>0</c:v>
                </c:pt>
                <c:pt idx="7">
                  <c:v>0</c:v>
                </c:pt>
                <c:pt idx="8">
                  <c:v>0.56899004267425324</c:v>
                </c:pt>
                <c:pt idx="9">
                  <c:v>21.153846153846153</c:v>
                </c:pt>
                <c:pt idx="10">
                  <c:v>0</c:v>
                </c:pt>
                <c:pt idx="11">
                  <c:v>10.48951048951049</c:v>
                </c:pt>
              </c:numCache>
            </c:numRef>
          </c:val>
          <c:extLst>
            <c:ext xmlns:c16="http://schemas.microsoft.com/office/drawing/2014/chart" uri="{C3380CC4-5D6E-409C-BE32-E72D297353CC}">
              <c16:uniqueId val="{00000000-ED4B-4B9E-88E0-5C7D4AC7F2A5}"/>
            </c:ext>
          </c:extLst>
        </c:ser>
        <c:dLbls>
          <c:showLegendKey val="0"/>
          <c:showVal val="1"/>
          <c:showCatName val="0"/>
          <c:showSerName val="0"/>
          <c:showPercent val="0"/>
          <c:showBubbleSize val="0"/>
        </c:dLbls>
        <c:gapWidth val="84"/>
        <c:gapDepth val="53"/>
        <c:shape val="box"/>
        <c:axId val="-1374509280"/>
        <c:axId val="-1374508736"/>
        <c:axId val="0"/>
      </c:bar3DChart>
      <c:catAx>
        <c:axId val="-13745092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374508736"/>
        <c:crosses val="autoZero"/>
        <c:auto val="1"/>
        <c:lblAlgn val="ctr"/>
        <c:lblOffset val="100"/>
        <c:noMultiLvlLbl val="0"/>
      </c:catAx>
      <c:valAx>
        <c:axId val="-1374508736"/>
        <c:scaling>
          <c:orientation val="minMax"/>
        </c:scaling>
        <c:delete val="1"/>
        <c:axPos val="l"/>
        <c:numFmt formatCode="General" sourceLinked="1"/>
        <c:majorTickMark val="out"/>
        <c:minorTickMark val="none"/>
        <c:tickLblPos val="nextTo"/>
        <c:crossAx val="-13745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a:t>tASA DE ACCIDENTALIDAD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'[3]FORMATO FT-GEI-SO-017'!$B$21:$M$21</c:f>
              <c:numCache>
                <c:formatCode>General</c:formatCode>
                <c:ptCount val="12"/>
                <c:pt idx="0">
                  <c:v>0</c:v>
                </c:pt>
                <c:pt idx="1">
                  <c:v>0.14124293785310735</c:v>
                </c:pt>
                <c:pt idx="2">
                  <c:v>0.2743484224965706</c:v>
                </c:pt>
                <c:pt idx="3">
                  <c:v>0</c:v>
                </c:pt>
                <c:pt idx="4">
                  <c:v>0.13333333333333333</c:v>
                </c:pt>
                <c:pt idx="5">
                  <c:v>0</c:v>
                </c:pt>
                <c:pt idx="6">
                  <c:v>0.28208744710860367</c:v>
                </c:pt>
                <c:pt idx="7">
                  <c:v>0.14492753623188406</c:v>
                </c:pt>
                <c:pt idx="8">
                  <c:v>0.28449502133712662</c:v>
                </c:pt>
                <c:pt idx="9">
                  <c:v>0.5494505494505495</c:v>
                </c:pt>
                <c:pt idx="10">
                  <c:v>0.13458950201884254</c:v>
                </c:pt>
                <c:pt idx="11">
                  <c:v>0.13986013986013987</c:v>
                </c:pt>
              </c:numCache>
            </c:numRef>
          </c:val>
          <c:extLst>
            <c:ext xmlns:c16="http://schemas.microsoft.com/office/drawing/2014/chart" uri="{C3380CC4-5D6E-409C-BE32-E72D297353CC}">
              <c16:uniqueId val="{00000000-4D03-445C-B3FD-EAD4DA0D9D93}"/>
            </c:ext>
          </c:extLst>
        </c:ser>
        <c:dLbls>
          <c:showLegendKey val="0"/>
          <c:showVal val="0"/>
          <c:showCatName val="0"/>
          <c:showSerName val="0"/>
          <c:showPercent val="0"/>
          <c:showBubbleSize val="0"/>
        </c:dLbls>
        <c:gapWidth val="160"/>
        <c:gapDepth val="0"/>
        <c:shape val="box"/>
        <c:axId val="-1374523424"/>
        <c:axId val="-1374522880"/>
        <c:axId val="0"/>
      </c:bar3DChart>
      <c:catAx>
        <c:axId val="-1374523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2880"/>
        <c:crosses val="autoZero"/>
        <c:auto val="1"/>
        <c:lblAlgn val="ctr"/>
        <c:lblOffset val="100"/>
        <c:noMultiLvlLbl val="0"/>
      </c:catAx>
      <c:valAx>
        <c:axId val="-137452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PROPORCIÓN DE ACCIDENTES DE TRABAJO MORTALES</a:t>
            </a:r>
          </a:p>
        </c:rich>
      </c:tx>
      <c:layout>
        <c:manualLayout>
          <c:xMode val="edge"/>
          <c:yMode val="edge"/>
          <c:x val="0.14185016852596277"/>
          <c:y val="3.2557459888220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'[3]FORMATO FT-GEI-SO-017'!$A$25</c:f>
              <c:strCache>
                <c:ptCount val="1"/>
                <c:pt idx="0">
                  <c:v>Proporción de accidente de trabajo Mortales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'[3]FORMATO FT-GEI-SO-017'!$B$25:$M$25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D85-472B-97D9-CE20B6EBDD57}"/>
            </c:ext>
          </c:extLst>
        </c:ser>
        <c:dLbls>
          <c:showLegendKey val="0"/>
          <c:showVal val="0"/>
          <c:showCatName val="0"/>
          <c:showSerName val="0"/>
          <c:showPercent val="0"/>
          <c:showBubbleSize val="0"/>
        </c:dLbls>
        <c:gapWidth val="65"/>
        <c:shape val="box"/>
        <c:axId val="-1672187968"/>
        <c:axId val="-1672184704"/>
        <c:axId val="0"/>
      </c:bar3DChart>
      <c:catAx>
        <c:axId val="-167218796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72184704"/>
        <c:crosses val="autoZero"/>
        <c:auto val="1"/>
        <c:lblAlgn val="ctr"/>
        <c:lblOffset val="100"/>
        <c:noMultiLvlLbl val="0"/>
      </c:catAx>
      <c:valAx>
        <c:axId val="-16721847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6721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TASA DE ACCIDENTES DE TRÁNSITO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'[3]FORMATO FT-GEI-SO-017'!$A$23</c:f>
              <c:strCache>
                <c:ptCount val="1"/>
                <c:pt idx="0">
                  <c:v>Tasa de accidentes de Siniestro vial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'[3]FORMATO FT-GEI-SO-017'!$B$23:$M$23</c:f>
              <c:numCache>
                <c:formatCode>General</c:formatCode>
                <c:ptCount val="12"/>
                <c:pt idx="0">
                  <c:v>0.54200542005420049</c:v>
                </c:pt>
                <c:pt idx="1">
                  <c:v>0.42372881355932202</c:v>
                </c:pt>
                <c:pt idx="2">
                  <c:v>0.82304526748971196</c:v>
                </c:pt>
                <c:pt idx="3">
                  <c:v>1.0723860589812333</c:v>
                </c:pt>
                <c:pt idx="4">
                  <c:v>0.8</c:v>
                </c:pt>
                <c:pt idx="5">
                  <c:v>0.54570259208731242</c:v>
                </c:pt>
                <c:pt idx="6">
                  <c:v>0.70521861777150918</c:v>
                </c:pt>
                <c:pt idx="7">
                  <c:v>0.72463768115942029</c:v>
                </c:pt>
                <c:pt idx="8">
                  <c:v>1.1379800853485065</c:v>
                </c:pt>
                <c:pt idx="9">
                  <c:v>1.3736263736263736</c:v>
                </c:pt>
                <c:pt idx="10">
                  <c:v>0.53835800807537015</c:v>
                </c:pt>
                <c:pt idx="11">
                  <c:v>0.41958041958041958</c:v>
                </c:pt>
              </c:numCache>
            </c:numRef>
          </c:val>
          <c:extLst>
            <c:ext xmlns:c16="http://schemas.microsoft.com/office/drawing/2014/chart" uri="{C3380CC4-5D6E-409C-BE32-E72D297353CC}">
              <c16:uniqueId val="{00000000-EF44-498B-A617-AC663C929639}"/>
            </c:ext>
          </c:extLst>
        </c:ser>
        <c:dLbls>
          <c:showLegendKey val="0"/>
          <c:showVal val="0"/>
          <c:showCatName val="0"/>
          <c:showSerName val="0"/>
          <c:showPercent val="0"/>
          <c:showBubbleSize val="0"/>
        </c:dLbls>
        <c:gapWidth val="150"/>
        <c:shape val="box"/>
        <c:axId val="-1370860080"/>
        <c:axId val="-1370861712"/>
        <c:axId val="0"/>
      </c:bar3DChart>
      <c:catAx>
        <c:axId val="-13708600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1712"/>
        <c:crosses val="autoZero"/>
        <c:auto val="1"/>
        <c:lblAlgn val="ctr"/>
        <c:lblOffset val="100"/>
        <c:noMultiLvlLbl val="0"/>
      </c:catAx>
      <c:valAx>
        <c:axId val="-13708617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lineChart>
        <c:grouping val="standard"/>
        <c:varyColors val="0"/>
        <c:ser>
          <c:idx val="0"/>
          <c:order val="0"/>
          <c:tx>
            <c:strRef>
              <c:f>'[3]FORMATO FT-GEI-SO-017'!$A$20</c:f>
              <c:strCache>
                <c:ptCount val="1"/>
                <c:pt idx="0">
                  <c:v>Ind. De Lesiones Incapacitantes (ILI)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'[3]FORMATO FT-GEI-SO-017'!$B$20:$J$20</c:f>
              <c:numCache>
                <c:formatCode>General</c:formatCode>
                <c:ptCount val="9"/>
                <c:pt idx="0">
                  <c:v>0</c:v>
                </c:pt>
                <c:pt idx="1">
                  <c:v>1.9949567493376745E-5</c:v>
                </c:pt>
                <c:pt idx="2">
                  <c:v>7.5267056926356813E-5</c:v>
                </c:pt>
                <c:pt idx="3">
                  <c:v>0</c:v>
                </c:pt>
                <c:pt idx="4">
                  <c:v>2.4888888888888893E-4</c:v>
                </c:pt>
                <c:pt idx="5">
                  <c:v>0</c:v>
                </c:pt>
                <c:pt idx="6">
                  <c:v>0</c:v>
                </c:pt>
                <c:pt idx="7">
                  <c:v>0</c:v>
                </c:pt>
                <c:pt idx="8">
                  <c:v>1.6187483433122426E-4</c:v>
                </c:pt>
              </c:numCache>
            </c:numRef>
          </c:val>
          <c:smooth val="0"/>
          <c:extLst>
            <c:ext xmlns:c16="http://schemas.microsoft.com/office/drawing/2014/chart" uri="{C3380CC4-5D6E-409C-BE32-E72D297353CC}">
              <c16:uniqueId val="{00000000-6899-45B0-BC4A-22B99060A2AD}"/>
            </c:ext>
          </c:extLst>
        </c:ser>
        <c:ser>
          <c:idx val="1"/>
          <c:order val="1"/>
          <c:tx>
            <c:strRef>
              <c:f>'[3]FORMATO FT-GEI-SO-017'!$A$26</c:f>
              <c:strCache>
                <c:ptCount val="1"/>
                <c:pt idx="0">
                  <c:v>META MENSUAL DEL ILI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'[3]FORMATO FT-GEI-SO-017'!$B$26:$J$26</c:f>
              <c:numCache>
                <c:formatCode>General</c:formatCode>
                <c:ptCount val="9"/>
                <c:pt idx="0">
                  <c:v>2.3917000000000001E-3</c:v>
                </c:pt>
                <c:pt idx="1">
                  <c:v>2.3917000000000001E-3</c:v>
                </c:pt>
                <c:pt idx="2">
                  <c:v>2.3917000000000001E-3</c:v>
                </c:pt>
                <c:pt idx="3">
                  <c:v>2.3917000000000001E-3</c:v>
                </c:pt>
                <c:pt idx="4">
                  <c:v>2.3917000000000001E-3</c:v>
                </c:pt>
                <c:pt idx="5">
                  <c:v>2.3917000000000001E-3</c:v>
                </c:pt>
                <c:pt idx="6">
                  <c:v>2.3917000000000001E-3</c:v>
                </c:pt>
                <c:pt idx="7">
                  <c:v>2.3917000000000001E-3</c:v>
                </c:pt>
                <c:pt idx="8">
                  <c:v>2.3917000000000001E-3</c:v>
                </c:pt>
              </c:numCache>
            </c:numRef>
          </c:val>
          <c:smooth val="0"/>
          <c:extLst>
            <c:ext xmlns:c16="http://schemas.microsoft.com/office/drawing/2014/chart" uri="{C3380CC4-5D6E-409C-BE32-E72D297353CC}">
              <c16:uniqueId val="{00000001-6899-45B0-BC4A-22B99060A2AD}"/>
            </c:ext>
          </c:extLst>
        </c:ser>
        <c:dLbls>
          <c:dLblPos val="ctr"/>
          <c:showLegendKey val="0"/>
          <c:showVal val="1"/>
          <c:showCatName val="0"/>
          <c:showSerName val="0"/>
          <c:showPercent val="0"/>
          <c:showBubbleSize val="0"/>
        </c:dLbls>
        <c:marker val="1"/>
        <c:smooth val="0"/>
        <c:axId val="1669705455"/>
        <c:axId val="1669705871"/>
      </c:lineChart>
      <c:catAx>
        <c:axId val="166970545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69705871"/>
        <c:crosses val="autoZero"/>
        <c:auto val="1"/>
        <c:lblAlgn val="ctr"/>
        <c:lblOffset val="100"/>
        <c:noMultiLvlLbl val="0"/>
      </c:catAx>
      <c:valAx>
        <c:axId val="1669705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697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INDICE DE FRECUENCIA DE ACCIDENTALIDAD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'[2]FORMATO FT-GEI-SO-017'!$B$17:$M$17</c:f>
              <c:numCache>
                <c:formatCode>General</c:formatCode>
                <c:ptCount val="12"/>
                <c:pt idx="0">
                  <c:v>0</c:v>
                </c:pt>
                <c:pt idx="1">
                  <c:v>0</c:v>
                </c:pt>
                <c:pt idx="2">
                  <c:v>0.12578616352201258</c:v>
                </c:pt>
                <c:pt idx="3">
                  <c:v>0.12594458438287154</c:v>
                </c:pt>
                <c:pt idx="4">
                  <c:v>0.12531328320802004</c:v>
                </c:pt>
                <c:pt idx="5">
                  <c:v>0.12919896640826875</c:v>
                </c:pt>
                <c:pt idx="6">
                  <c:v>0.12135922330097086</c:v>
                </c:pt>
                <c:pt idx="7">
                  <c:v>0.12787723785166241</c:v>
                </c:pt>
                <c:pt idx="8">
                  <c:v>0.12820512820512819</c:v>
                </c:pt>
                <c:pt idx="9">
                  <c:v>0.38216560509554143</c:v>
                </c:pt>
                <c:pt idx="10">
                  <c:v>0</c:v>
                </c:pt>
                <c:pt idx="11">
                  <c:v>0.27247956403269752</c:v>
                </c:pt>
              </c:numCache>
            </c:numRef>
          </c:val>
          <c:extLst>
            <c:ext xmlns:c16="http://schemas.microsoft.com/office/drawing/2014/chart" uri="{C3380CC4-5D6E-409C-BE32-E72D297353CC}">
              <c16:uniqueId val="{00000000-03B1-4799-B4B1-2686CD23569F}"/>
            </c:ext>
          </c:extLst>
        </c:ser>
        <c:dLbls>
          <c:showLegendKey val="0"/>
          <c:showVal val="0"/>
          <c:showCatName val="0"/>
          <c:showSerName val="0"/>
          <c:showPercent val="0"/>
          <c:showBubbleSize val="0"/>
        </c:dLbls>
        <c:gapWidth val="65"/>
        <c:shape val="box"/>
        <c:axId val="-1374514720"/>
        <c:axId val="-1374515808"/>
        <c:axId val="0"/>
      </c:bar3DChart>
      <c:catAx>
        <c:axId val="-137451472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74515808"/>
        <c:crosses val="autoZero"/>
        <c:auto val="1"/>
        <c:lblAlgn val="ctr"/>
        <c:lblOffset val="100"/>
        <c:noMultiLvlLbl val="0"/>
      </c:catAx>
      <c:valAx>
        <c:axId val="-13745158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745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s-CO"/>
              <a:t>Indice</a:t>
            </a:r>
            <a:r>
              <a:rPr lang="es-CO" baseline="0"/>
              <a:t> de severidad ACCIDENTALIDAD</a:t>
            </a:r>
            <a:endParaRPr lang="es-CO"/>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'[2]FORMATO FT-GEI-SO-017'!$B$18:$M$18</c:f>
              <c:numCache>
                <c:formatCode>General</c:formatCode>
                <c:ptCount val="12"/>
                <c:pt idx="0">
                  <c:v>0</c:v>
                </c:pt>
                <c:pt idx="1">
                  <c:v>0</c:v>
                </c:pt>
                <c:pt idx="2">
                  <c:v>0</c:v>
                </c:pt>
                <c:pt idx="3">
                  <c:v>3.7783375314861463</c:v>
                </c:pt>
                <c:pt idx="4">
                  <c:v>4.6365914786967419</c:v>
                </c:pt>
                <c:pt idx="5">
                  <c:v>10.077519379844961</c:v>
                </c:pt>
                <c:pt idx="6">
                  <c:v>6.0679611650485441</c:v>
                </c:pt>
                <c:pt idx="7">
                  <c:v>1.2787723785166241</c:v>
                </c:pt>
                <c:pt idx="8">
                  <c:v>1.0256410256410255</c:v>
                </c:pt>
                <c:pt idx="9">
                  <c:v>0.76433121019108285</c:v>
                </c:pt>
                <c:pt idx="10">
                  <c:v>0</c:v>
                </c:pt>
                <c:pt idx="11">
                  <c:v>1.6348773841961852</c:v>
                </c:pt>
              </c:numCache>
            </c:numRef>
          </c:val>
          <c:extLst>
            <c:ext xmlns:c16="http://schemas.microsoft.com/office/drawing/2014/chart" uri="{C3380CC4-5D6E-409C-BE32-E72D297353CC}">
              <c16:uniqueId val="{00000000-A23D-42F8-8453-7F3726BF6DF4}"/>
            </c:ext>
          </c:extLst>
        </c:ser>
        <c:dLbls>
          <c:showLegendKey val="0"/>
          <c:showVal val="1"/>
          <c:showCatName val="0"/>
          <c:showSerName val="0"/>
          <c:showPercent val="0"/>
          <c:showBubbleSize val="0"/>
        </c:dLbls>
        <c:gapWidth val="84"/>
        <c:gapDepth val="53"/>
        <c:shape val="box"/>
        <c:axId val="-1374509280"/>
        <c:axId val="-1374508736"/>
        <c:axId val="0"/>
      </c:bar3DChart>
      <c:catAx>
        <c:axId val="-13745092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374508736"/>
        <c:crosses val="autoZero"/>
        <c:auto val="1"/>
        <c:lblAlgn val="ctr"/>
        <c:lblOffset val="100"/>
        <c:noMultiLvlLbl val="0"/>
      </c:catAx>
      <c:valAx>
        <c:axId val="-1374508736"/>
        <c:scaling>
          <c:orientation val="minMax"/>
        </c:scaling>
        <c:delete val="1"/>
        <c:axPos val="l"/>
        <c:numFmt formatCode="General" sourceLinked="1"/>
        <c:majorTickMark val="out"/>
        <c:minorTickMark val="none"/>
        <c:tickLblPos val="nextTo"/>
        <c:crossAx val="-13745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a:t>tASA DE ACCIDENTALIDAD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'[2]FORMATO FT-GEI-SO-017'!$B$20:$M$20</c:f>
              <c:numCache>
                <c:formatCode>General</c:formatCode>
                <c:ptCount val="12"/>
                <c:pt idx="0">
                  <c:v>0</c:v>
                </c:pt>
                <c:pt idx="1">
                  <c:v>0</c:v>
                </c:pt>
                <c:pt idx="2">
                  <c:v>0.12578616352201258</c:v>
                </c:pt>
                <c:pt idx="3">
                  <c:v>0.12594458438287154</c:v>
                </c:pt>
                <c:pt idx="4">
                  <c:v>0.12531328320802004</c:v>
                </c:pt>
                <c:pt idx="5">
                  <c:v>0.12919896640826875</c:v>
                </c:pt>
                <c:pt idx="6">
                  <c:v>0.12135922330097086</c:v>
                </c:pt>
                <c:pt idx="7">
                  <c:v>0.12787723785166241</c:v>
                </c:pt>
                <c:pt idx="8">
                  <c:v>0.12820512820512819</c:v>
                </c:pt>
                <c:pt idx="9">
                  <c:v>0.38216560509554143</c:v>
                </c:pt>
                <c:pt idx="10">
                  <c:v>0</c:v>
                </c:pt>
                <c:pt idx="11">
                  <c:v>0.27247956403269752</c:v>
                </c:pt>
              </c:numCache>
            </c:numRef>
          </c:val>
          <c:extLst>
            <c:ext xmlns:c16="http://schemas.microsoft.com/office/drawing/2014/chart" uri="{C3380CC4-5D6E-409C-BE32-E72D297353CC}">
              <c16:uniqueId val="{00000000-349A-425B-B900-9BAAA7A141E3}"/>
            </c:ext>
          </c:extLst>
        </c:ser>
        <c:dLbls>
          <c:showLegendKey val="0"/>
          <c:showVal val="0"/>
          <c:showCatName val="0"/>
          <c:showSerName val="0"/>
          <c:showPercent val="0"/>
          <c:showBubbleSize val="0"/>
        </c:dLbls>
        <c:gapWidth val="160"/>
        <c:gapDepth val="0"/>
        <c:shape val="box"/>
        <c:axId val="-1374523424"/>
        <c:axId val="-1374522880"/>
        <c:axId val="0"/>
      </c:bar3DChart>
      <c:catAx>
        <c:axId val="-1374523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2880"/>
        <c:crosses val="autoZero"/>
        <c:auto val="1"/>
        <c:lblAlgn val="ctr"/>
        <c:lblOffset val="100"/>
        <c:noMultiLvlLbl val="0"/>
      </c:catAx>
      <c:valAx>
        <c:axId val="-137452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PROPORCIÓN DE ACCIDENTES DE TRABAJO MORTALES</a:t>
            </a:r>
          </a:p>
        </c:rich>
      </c:tx>
      <c:layout>
        <c:manualLayout>
          <c:xMode val="edge"/>
          <c:yMode val="edge"/>
          <c:x val="0.14185016852596277"/>
          <c:y val="3.2557459888220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'[2]FORMATO FT-GEI-SO-017'!$A$24</c:f>
              <c:strCache>
                <c:ptCount val="1"/>
                <c:pt idx="0">
                  <c:v>Proporción de accidente de trabajo Mortales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'[2]FORMATO FT-GEI-SO-017'!$B$24:$M$24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7BA-44EB-8B4A-A33EF46A5D8C}"/>
            </c:ext>
          </c:extLst>
        </c:ser>
        <c:dLbls>
          <c:showLegendKey val="0"/>
          <c:showVal val="0"/>
          <c:showCatName val="0"/>
          <c:showSerName val="0"/>
          <c:showPercent val="0"/>
          <c:showBubbleSize val="0"/>
        </c:dLbls>
        <c:gapWidth val="65"/>
        <c:shape val="box"/>
        <c:axId val="-1672187968"/>
        <c:axId val="-1672184704"/>
        <c:axId val="0"/>
      </c:bar3DChart>
      <c:catAx>
        <c:axId val="-167218796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72184704"/>
        <c:crosses val="autoZero"/>
        <c:auto val="1"/>
        <c:lblAlgn val="ctr"/>
        <c:lblOffset val="100"/>
        <c:noMultiLvlLbl val="0"/>
      </c:catAx>
      <c:valAx>
        <c:axId val="-16721847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6721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TASA DE ACCIDENTES DE TRÁNSITO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'[2]FORMATO FT-GEI-SO-017'!$A$22</c:f>
              <c:strCache>
                <c:ptCount val="1"/>
                <c:pt idx="0">
                  <c:v>Tasa de accidentes de Siniestro vial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'[2]FORMATO FT-GEI-SO-017'!$B$22:$M$22</c:f>
              <c:numCache>
                <c:formatCode>General</c:formatCode>
                <c:ptCount val="12"/>
                <c:pt idx="0">
                  <c:v>0.60459492140266025</c:v>
                </c:pt>
                <c:pt idx="1">
                  <c:v>0.12239902080783352</c:v>
                </c:pt>
                <c:pt idx="2">
                  <c:v>0.25157232704402516</c:v>
                </c:pt>
                <c:pt idx="3">
                  <c:v>0.50377833753148615</c:v>
                </c:pt>
                <c:pt idx="4">
                  <c:v>0.50125313283208017</c:v>
                </c:pt>
                <c:pt idx="5">
                  <c:v>0.2583979328165375</c:v>
                </c:pt>
                <c:pt idx="6">
                  <c:v>0.12135922330097086</c:v>
                </c:pt>
                <c:pt idx="7">
                  <c:v>1.0230179028132993</c:v>
                </c:pt>
                <c:pt idx="8">
                  <c:v>0.76923076923076927</c:v>
                </c:pt>
                <c:pt idx="9">
                  <c:v>0.50955414012738853</c:v>
                </c:pt>
                <c:pt idx="10">
                  <c:v>0.77419354838709675</c:v>
                </c:pt>
                <c:pt idx="11">
                  <c:v>0.68119891008174382</c:v>
                </c:pt>
              </c:numCache>
            </c:numRef>
          </c:val>
          <c:extLst>
            <c:ext xmlns:c16="http://schemas.microsoft.com/office/drawing/2014/chart" uri="{C3380CC4-5D6E-409C-BE32-E72D297353CC}">
              <c16:uniqueId val="{00000000-5FAD-4084-9432-2B78E06C7AA8}"/>
            </c:ext>
          </c:extLst>
        </c:ser>
        <c:dLbls>
          <c:showLegendKey val="0"/>
          <c:showVal val="0"/>
          <c:showCatName val="0"/>
          <c:showSerName val="0"/>
          <c:showPercent val="0"/>
          <c:showBubbleSize val="0"/>
        </c:dLbls>
        <c:gapWidth val="150"/>
        <c:shape val="box"/>
        <c:axId val="-1370860080"/>
        <c:axId val="-1370861712"/>
        <c:axId val="0"/>
      </c:bar3DChart>
      <c:catAx>
        <c:axId val="-13708600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1712"/>
        <c:crosses val="autoZero"/>
        <c:auto val="1"/>
        <c:lblAlgn val="ctr"/>
        <c:lblOffset val="100"/>
        <c:noMultiLvlLbl val="0"/>
      </c:catAx>
      <c:valAx>
        <c:axId val="-13708617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lineChart>
        <c:grouping val="standard"/>
        <c:varyColors val="0"/>
        <c:ser>
          <c:idx val="0"/>
          <c:order val="0"/>
          <c:tx>
            <c:strRef>
              <c:f>'[2]FORMATO FT-GEI-SO-017'!$A$19</c:f>
              <c:strCache>
                <c:ptCount val="1"/>
                <c:pt idx="0">
                  <c:v>Ind. De Lesiones Incapacitantes (ILI)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'[2]FORMATO FT-GEI-SO-017'!$B$19:$J$19</c:f>
              <c:numCache>
                <c:formatCode>General</c:formatCode>
                <c:ptCount val="9"/>
                <c:pt idx="0">
                  <c:v>0</c:v>
                </c:pt>
                <c:pt idx="1">
                  <c:v>0</c:v>
                </c:pt>
                <c:pt idx="2">
                  <c:v>0</c:v>
                </c:pt>
                <c:pt idx="3">
                  <c:v>4.758611500612275E-4</c:v>
                </c:pt>
                <c:pt idx="4">
                  <c:v>5.8102650108981721E-4</c:v>
                </c:pt>
                <c:pt idx="5">
                  <c:v>1.3020050878352666E-3</c:v>
                </c:pt>
                <c:pt idx="6">
                  <c:v>7.3640305401074559E-4</c:v>
                </c:pt>
                <c:pt idx="7">
                  <c:v>1.6352587960570642E-4</c:v>
                </c:pt>
                <c:pt idx="8">
                  <c:v>1.3149243918474685E-4</c:v>
                </c:pt>
              </c:numCache>
            </c:numRef>
          </c:val>
          <c:smooth val="0"/>
          <c:extLst>
            <c:ext xmlns:c16="http://schemas.microsoft.com/office/drawing/2014/chart" uri="{C3380CC4-5D6E-409C-BE32-E72D297353CC}">
              <c16:uniqueId val="{00000000-A465-47BB-B70F-08606152594D}"/>
            </c:ext>
          </c:extLst>
        </c:ser>
        <c:ser>
          <c:idx val="1"/>
          <c:order val="1"/>
          <c:tx>
            <c:strRef>
              <c:f>'[2]FORMATO FT-GEI-SO-017'!$A$25</c:f>
              <c:strCache>
                <c:ptCount val="1"/>
                <c:pt idx="0">
                  <c:v>META MENSUAL DEL ILI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'[2]FORMATO FT-GEI-SO-017'!$B$25:$J$25</c:f>
              <c:numCache>
                <c:formatCode>General</c:formatCode>
                <c:ptCount val="9"/>
                <c:pt idx="0">
                  <c:v>2.3917000000000001E-3</c:v>
                </c:pt>
                <c:pt idx="1">
                  <c:v>2.3917000000000001E-3</c:v>
                </c:pt>
                <c:pt idx="2">
                  <c:v>2.3917000000000001E-3</c:v>
                </c:pt>
                <c:pt idx="3">
                  <c:v>2.3917000000000001E-3</c:v>
                </c:pt>
                <c:pt idx="4">
                  <c:v>2.3917000000000001E-3</c:v>
                </c:pt>
                <c:pt idx="5">
                  <c:v>2.3917000000000001E-3</c:v>
                </c:pt>
                <c:pt idx="6">
                  <c:v>2.3917000000000001E-3</c:v>
                </c:pt>
                <c:pt idx="7">
                  <c:v>2.3917000000000001E-3</c:v>
                </c:pt>
                <c:pt idx="8">
                  <c:v>2.3917000000000001E-3</c:v>
                </c:pt>
              </c:numCache>
            </c:numRef>
          </c:val>
          <c:smooth val="0"/>
          <c:extLst>
            <c:ext xmlns:c16="http://schemas.microsoft.com/office/drawing/2014/chart" uri="{C3380CC4-5D6E-409C-BE32-E72D297353CC}">
              <c16:uniqueId val="{00000001-A465-47BB-B70F-08606152594D}"/>
            </c:ext>
          </c:extLst>
        </c:ser>
        <c:dLbls>
          <c:dLblPos val="ctr"/>
          <c:showLegendKey val="0"/>
          <c:showVal val="1"/>
          <c:showCatName val="0"/>
          <c:showSerName val="0"/>
          <c:showPercent val="0"/>
          <c:showBubbleSize val="0"/>
        </c:dLbls>
        <c:marker val="1"/>
        <c:smooth val="0"/>
        <c:axId val="1669705455"/>
        <c:axId val="1669705871"/>
      </c:lineChart>
      <c:catAx>
        <c:axId val="166970545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69705871"/>
        <c:crosses val="autoZero"/>
        <c:auto val="1"/>
        <c:lblAlgn val="ctr"/>
        <c:lblOffset val="100"/>
        <c:noMultiLvlLbl val="0"/>
      </c:catAx>
      <c:valAx>
        <c:axId val="1669705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697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INDICE DE FRECUENCIA DE ACCIDENTALIDAD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'[1]FORMATO FT-GEI-SO-017'!$B$17:$M$17</c:f>
              <c:numCache>
                <c:formatCode>General</c:formatCode>
                <c:ptCount val="12"/>
                <c:pt idx="0">
                  <c:v>0.10351966873706005</c:v>
                </c:pt>
                <c:pt idx="1">
                  <c:v>0.10162601626016261</c:v>
                </c:pt>
                <c:pt idx="2">
                  <c:v>0.20855057351407716</c:v>
                </c:pt>
                <c:pt idx="3">
                  <c:v>0.245398773006135</c:v>
                </c:pt>
                <c:pt idx="4">
                  <c:v>0.245398773006135</c:v>
                </c:pt>
                <c:pt idx="5">
                  <c:v>0</c:v>
                </c:pt>
                <c:pt idx="6">
                  <c:v>0</c:v>
                </c:pt>
                <c:pt idx="7">
                  <c:v>0</c:v>
                </c:pt>
                <c:pt idx="8">
                  <c:v>0.35419126328217237</c:v>
                </c:pt>
                <c:pt idx="9">
                  <c:v>0.23696682464454977</c:v>
                </c:pt>
                <c:pt idx="10">
                  <c:v>0.23724792408066431</c:v>
                </c:pt>
                <c:pt idx="11">
                  <c:v>0.23923444976076555</c:v>
                </c:pt>
              </c:numCache>
            </c:numRef>
          </c:val>
          <c:extLst>
            <c:ext xmlns:c16="http://schemas.microsoft.com/office/drawing/2014/chart" uri="{C3380CC4-5D6E-409C-BE32-E72D297353CC}">
              <c16:uniqueId val="{00000000-CFD5-4F24-B95C-F584DA7C29C3}"/>
            </c:ext>
          </c:extLst>
        </c:ser>
        <c:dLbls>
          <c:showLegendKey val="0"/>
          <c:showVal val="0"/>
          <c:showCatName val="0"/>
          <c:showSerName val="0"/>
          <c:showPercent val="0"/>
          <c:showBubbleSize val="0"/>
        </c:dLbls>
        <c:gapWidth val="65"/>
        <c:shape val="box"/>
        <c:axId val="-1374514720"/>
        <c:axId val="-1374515808"/>
        <c:axId val="0"/>
      </c:bar3DChart>
      <c:catAx>
        <c:axId val="-137451472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74515808"/>
        <c:crosses val="autoZero"/>
        <c:auto val="1"/>
        <c:lblAlgn val="ctr"/>
        <c:lblOffset val="100"/>
        <c:noMultiLvlLbl val="0"/>
      </c:catAx>
      <c:valAx>
        <c:axId val="-13745158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745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s-CO"/>
              <a:t>Indice</a:t>
            </a:r>
            <a:r>
              <a:rPr lang="es-CO" baseline="0"/>
              <a:t> de severidad ACCIDENTALIDAD</a:t>
            </a:r>
            <a:endParaRPr lang="es-CO"/>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'[1]FORMATO FT-GEI-SO-017'!$B$18:$M$18</c:f>
              <c:numCache>
                <c:formatCode>General</c:formatCode>
                <c:ptCount val="12"/>
                <c:pt idx="0">
                  <c:v>1.9668737060041408</c:v>
                </c:pt>
                <c:pt idx="1">
                  <c:v>0</c:v>
                </c:pt>
                <c:pt idx="2">
                  <c:v>2.2940563086548487</c:v>
                </c:pt>
                <c:pt idx="3">
                  <c:v>0</c:v>
                </c:pt>
                <c:pt idx="4">
                  <c:v>0.36809815950920244</c:v>
                </c:pt>
                <c:pt idx="5">
                  <c:v>0</c:v>
                </c:pt>
                <c:pt idx="6">
                  <c:v>0</c:v>
                </c:pt>
                <c:pt idx="7">
                  <c:v>0</c:v>
                </c:pt>
                <c:pt idx="8">
                  <c:v>4.8406139315230226</c:v>
                </c:pt>
                <c:pt idx="9">
                  <c:v>0.82938388625592419</c:v>
                </c:pt>
                <c:pt idx="10">
                  <c:v>5.9311981020166078</c:v>
                </c:pt>
                <c:pt idx="11">
                  <c:v>1.4354066985645932</c:v>
                </c:pt>
              </c:numCache>
            </c:numRef>
          </c:val>
          <c:extLst>
            <c:ext xmlns:c16="http://schemas.microsoft.com/office/drawing/2014/chart" uri="{C3380CC4-5D6E-409C-BE32-E72D297353CC}">
              <c16:uniqueId val="{00000000-E5C2-4E47-9D6A-E0A3E077BAA3}"/>
            </c:ext>
          </c:extLst>
        </c:ser>
        <c:dLbls>
          <c:showLegendKey val="0"/>
          <c:showVal val="1"/>
          <c:showCatName val="0"/>
          <c:showSerName val="0"/>
          <c:showPercent val="0"/>
          <c:showBubbleSize val="0"/>
        </c:dLbls>
        <c:gapWidth val="84"/>
        <c:gapDepth val="53"/>
        <c:shape val="box"/>
        <c:axId val="-1374509280"/>
        <c:axId val="-1374508736"/>
        <c:axId val="0"/>
      </c:bar3DChart>
      <c:catAx>
        <c:axId val="-13745092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374508736"/>
        <c:crosses val="autoZero"/>
        <c:auto val="1"/>
        <c:lblAlgn val="ctr"/>
        <c:lblOffset val="100"/>
        <c:noMultiLvlLbl val="0"/>
      </c:catAx>
      <c:valAx>
        <c:axId val="-1374508736"/>
        <c:scaling>
          <c:orientation val="minMax"/>
        </c:scaling>
        <c:delete val="1"/>
        <c:axPos val="l"/>
        <c:numFmt formatCode="General" sourceLinked="1"/>
        <c:majorTickMark val="out"/>
        <c:minorTickMark val="none"/>
        <c:tickLblPos val="nextTo"/>
        <c:crossAx val="-13745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a:t>tASA DE ACCIDENTALIDAD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'[1]FORMATO FT-GEI-SO-017'!$B$20:$M$20</c:f>
              <c:numCache>
                <c:formatCode>General</c:formatCode>
                <c:ptCount val="12"/>
                <c:pt idx="0">
                  <c:v>0.10351966873706005</c:v>
                </c:pt>
                <c:pt idx="1">
                  <c:v>0.10162601626016261</c:v>
                </c:pt>
                <c:pt idx="2">
                  <c:v>0.20855057351407716</c:v>
                </c:pt>
                <c:pt idx="3">
                  <c:v>0.245398773006135</c:v>
                </c:pt>
                <c:pt idx="4">
                  <c:v>0.245398773006135</c:v>
                </c:pt>
                <c:pt idx="5">
                  <c:v>0</c:v>
                </c:pt>
                <c:pt idx="6">
                  <c:v>0</c:v>
                </c:pt>
                <c:pt idx="7">
                  <c:v>0</c:v>
                </c:pt>
                <c:pt idx="8">
                  <c:v>0.35419126328217237</c:v>
                </c:pt>
                <c:pt idx="9">
                  <c:v>0.23696682464454977</c:v>
                </c:pt>
                <c:pt idx="10">
                  <c:v>0.23724792408066431</c:v>
                </c:pt>
                <c:pt idx="11">
                  <c:v>0.23923444976076555</c:v>
                </c:pt>
              </c:numCache>
            </c:numRef>
          </c:val>
          <c:extLst>
            <c:ext xmlns:c16="http://schemas.microsoft.com/office/drawing/2014/chart" uri="{C3380CC4-5D6E-409C-BE32-E72D297353CC}">
              <c16:uniqueId val="{00000000-5F07-47F5-ACBF-19B9EEB1C438}"/>
            </c:ext>
          </c:extLst>
        </c:ser>
        <c:dLbls>
          <c:showLegendKey val="0"/>
          <c:showVal val="0"/>
          <c:showCatName val="0"/>
          <c:showSerName val="0"/>
          <c:showPercent val="0"/>
          <c:showBubbleSize val="0"/>
        </c:dLbls>
        <c:gapWidth val="160"/>
        <c:gapDepth val="0"/>
        <c:shape val="box"/>
        <c:axId val="-1374523424"/>
        <c:axId val="-1374522880"/>
        <c:axId val="0"/>
      </c:bar3DChart>
      <c:catAx>
        <c:axId val="-1374523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2880"/>
        <c:crosses val="autoZero"/>
        <c:auto val="1"/>
        <c:lblAlgn val="ctr"/>
        <c:lblOffset val="100"/>
        <c:noMultiLvlLbl val="0"/>
      </c:catAx>
      <c:valAx>
        <c:axId val="-137452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74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PROPORCIÓN DE ACCIDENTES DE TRABAJO MORTALES</a:t>
            </a:r>
          </a:p>
        </c:rich>
      </c:tx>
      <c:layout>
        <c:manualLayout>
          <c:xMode val="edge"/>
          <c:yMode val="edge"/>
          <c:x val="0.14185016852596277"/>
          <c:y val="3.2557459888220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'[1]FORMATO FT-GEI-SO-017'!$A$24</c:f>
              <c:strCache>
                <c:ptCount val="1"/>
                <c:pt idx="0">
                  <c:v>Proporción de accidente de trabajo Mortales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'[1]FORMATO FT-GEI-SO-017'!$B$24:$M$24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F40-4740-B707-43ADB3D285A8}"/>
            </c:ext>
          </c:extLst>
        </c:ser>
        <c:dLbls>
          <c:showLegendKey val="0"/>
          <c:showVal val="0"/>
          <c:showCatName val="0"/>
          <c:showSerName val="0"/>
          <c:showPercent val="0"/>
          <c:showBubbleSize val="0"/>
        </c:dLbls>
        <c:gapWidth val="65"/>
        <c:shape val="box"/>
        <c:axId val="-1672187968"/>
        <c:axId val="-1672184704"/>
        <c:axId val="0"/>
      </c:bar3DChart>
      <c:catAx>
        <c:axId val="-167218796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72184704"/>
        <c:crosses val="autoZero"/>
        <c:auto val="1"/>
        <c:lblAlgn val="ctr"/>
        <c:lblOffset val="100"/>
        <c:noMultiLvlLbl val="0"/>
      </c:catAx>
      <c:valAx>
        <c:axId val="-16721847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6721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TASA DE ACCIDENTES DE TRÁNSITO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'[1]FORMATO FT-GEI-SO-017'!$A$22</c:f>
              <c:strCache>
                <c:ptCount val="1"/>
                <c:pt idx="0">
                  <c:v>Tasa de accidentes de Siniestro vial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'[1]FORMATO FT-GEI-SO-017'!$B$22:$M$22</c:f>
              <c:numCache>
                <c:formatCode>General</c:formatCode>
                <c:ptCount val="12"/>
                <c:pt idx="0">
                  <c:v>0.3105590062111801</c:v>
                </c:pt>
                <c:pt idx="1">
                  <c:v>0.50813008130081294</c:v>
                </c:pt>
                <c:pt idx="2">
                  <c:v>0.52137643378519283</c:v>
                </c:pt>
                <c:pt idx="3">
                  <c:v>0.36809815950920244</c:v>
                </c:pt>
                <c:pt idx="4">
                  <c:v>0.245398773006135</c:v>
                </c:pt>
                <c:pt idx="5">
                  <c:v>0.48250904704463204</c:v>
                </c:pt>
                <c:pt idx="6">
                  <c:v>0.72202166064981954</c:v>
                </c:pt>
                <c:pt idx="7">
                  <c:v>0.59382422802850354</c:v>
                </c:pt>
                <c:pt idx="8">
                  <c:v>1.0625737898465171</c:v>
                </c:pt>
                <c:pt idx="9">
                  <c:v>0.47393364928909953</c:v>
                </c:pt>
                <c:pt idx="10">
                  <c:v>0.59311981020166071</c:v>
                </c:pt>
                <c:pt idx="11">
                  <c:v>0.4784688995215311</c:v>
                </c:pt>
              </c:numCache>
            </c:numRef>
          </c:val>
          <c:extLst>
            <c:ext xmlns:c16="http://schemas.microsoft.com/office/drawing/2014/chart" uri="{C3380CC4-5D6E-409C-BE32-E72D297353CC}">
              <c16:uniqueId val="{00000000-C979-4E5F-8AE9-31B7F10E146E}"/>
            </c:ext>
          </c:extLst>
        </c:ser>
        <c:dLbls>
          <c:showLegendKey val="0"/>
          <c:showVal val="0"/>
          <c:showCatName val="0"/>
          <c:showSerName val="0"/>
          <c:showPercent val="0"/>
          <c:showBubbleSize val="0"/>
        </c:dLbls>
        <c:gapWidth val="150"/>
        <c:shape val="box"/>
        <c:axId val="-1370860080"/>
        <c:axId val="-1370861712"/>
        <c:axId val="0"/>
      </c:bar3DChart>
      <c:catAx>
        <c:axId val="-13708600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1712"/>
        <c:crosses val="autoZero"/>
        <c:auto val="1"/>
        <c:lblAlgn val="ctr"/>
        <c:lblOffset val="100"/>
        <c:noMultiLvlLbl val="0"/>
      </c:catAx>
      <c:valAx>
        <c:axId val="-13708617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708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lineChart>
        <c:grouping val="standard"/>
        <c:varyColors val="0"/>
        <c:ser>
          <c:idx val="0"/>
          <c:order val="0"/>
          <c:tx>
            <c:strRef>
              <c:f>'[1]FORMATO FT-GEI-SO-017'!$A$19</c:f>
              <c:strCache>
                <c:ptCount val="1"/>
                <c:pt idx="0">
                  <c:v>Ind. De Lesiones Incapacitantes (ILI)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'[1]FORMATO FT-GEI-SO-017'!$B$19:$J$19</c:f>
              <c:numCache>
                <c:formatCode>General</c:formatCode>
                <c:ptCount val="9"/>
                <c:pt idx="0">
                  <c:v>2.0361011449318228E-4</c:v>
                </c:pt>
                <c:pt idx="1">
                  <c:v>0</c:v>
                </c:pt>
                <c:pt idx="2">
                  <c:v>4.7842675884355549E-4</c:v>
                </c:pt>
                <c:pt idx="3">
                  <c:v>0</c:v>
                </c:pt>
                <c:pt idx="4">
                  <c:v>9.0330836689374845E-5</c:v>
                </c:pt>
                <c:pt idx="5">
                  <c:v>0</c:v>
                </c:pt>
                <c:pt idx="6">
                  <c:v>0</c:v>
                </c:pt>
                <c:pt idx="7">
                  <c:v>0</c:v>
                </c:pt>
                <c:pt idx="8">
                  <c:v>1.7145031634674224E-3</c:v>
                </c:pt>
              </c:numCache>
            </c:numRef>
          </c:val>
          <c:smooth val="0"/>
          <c:extLst>
            <c:ext xmlns:c16="http://schemas.microsoft.com/office/drawing/2014/chart" uri="{C3380CC4-5D6E-409C-BE32-E72D297353CC}">
              <c16:uniqueId val="{00000000-6DA2-426B-A8EB-F573CC7CFC45}"/>
            </c:ext>
          </c:extLst>
        </c:ser>
        <c:ser>
          <c:idx val="1"/>
          <c:order val="1"/>
          <c:tx>
            <c:strRef>
              <c:f>'[1]FORMATO FT-GEI-SO-017'!$A$25</c:f>
              <c:strCache>
                <c:ptCount val="1"/>
                <c:pt idx="0">
                  <c:v>META MENSUAL DEL ILI</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'[1]FORMATO FT-GEI-SO-017'!$B$25:$J$25</c:f>
              <c:numCache>
                <c:formatCode>General</c:formatCode>
                <c:ptCount val="9"/>
                <c:pt idx="0">
                  <c:v>2.3917000000000001E-3</c:v>
                </c:pt>
                <c:pt idx="1">
                  <c:v>2.3917000000000001E-3</c:v>
                </c:pt>
                <c:pt idx="2">
                  <c:v>2.3917000000000001E-3</c:v>
                </c:pt>
                <c:pt idx="3">
                  <c:v>2.3917000000000001E-3</c:v>
                </c:pt>
                <c:pt idx="4">
                  <c:v>2.3917000000000001E-3</c:v>
                </c:pt>
                <c:pt idx="5">
                  <c:v>2.3917000000000001E-3</c:v>
                </c:pt>
                <c:pt idx="6">
                  <c:v>2.3917000000000001E-3</c:v>
                </c:pt>
                <c:pt idx="7">
                  <c:v>2.3917000000000001E-3</c:v>
                </c:pt>
                <c:pt idx="8">
                  <c:v>2.3917000000000001E-3</c:v>
                </c:pt>
              </c:numCache>
            </c:numRef>
          </c:val>
          <c:smooth val="0"/>
          <c:extLst>
            <c:ext xmlns:c16="http://schemas.microsoft.com/office/drawing/2014/chart" uri="{C3380CC4-5D6E-409C-BE32-E72D297353CC}">
              <c16:uniqueId val="{00000001-6DA2-426B-A8EB-F573CC7CFC45}"/>
            </c:ext>
          </c:extLst>
        </c:ser>
        <c:dLbls>
          <c:dLblPos val="ctr"/>
          <c:showLegendKey val="0"/>
          <c:showVal val="1"/>
          <c:showCatName val="0"/>
          <c:showSerName val="0"/>
          <c:showPercent val="0"/>
          <c:showBubbleSize val="0"/>
        </c:dLbls>
        <c:marker val="1"/>
        <c:smooth val="0"/>
        <c:axId val="1669705455"/>
        <c:axId val="1669705871"/>
      </c:lineChart>
      <c:catAx>
        <c:axId val="166970545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669705871"/>
        <c:crosses val="autoZero"/>
        <c:auto val="1"/>
        <c:lblAlgn val="ctr"/>
        <c:lblOffset val="100"/>
        <c:noMultiLvlLbl val="0"/>
      </c:catAx>
      <c:valAx>
        <c:axId val="1669705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697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152136</xdr:rowOff>
    </xdr:from>
    <xdr:to>
      <xdr:col>4</xdr:col>
      <xdr:colOff>878278</xdr:colOff>
      <xdr:row>36</xdr:row>
      <xdr:rowOff>3038474</xdr:rowOff>
    </xdr:to>
    <xdr:graphicFrame macro="">
      <xdr:nvGraphicFramePr>
        <xdr:cNvPr id="2" name="Gráfico 1">
          <a:extLst>
            <a:ext uri="{FF2B5EF4-FFF2-40B4-BE49-F238E27FC236}">
              <a16:creationId xmlns:a16="http://schemas.microsoft.com/office/drawing/2014/main" id="{E3832ED1-308B-4C6F-9E1E-C1D8CC31A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838201</xdr:colOff>
      <xdr:row>35</xdr:row>
      <xdr:rowOff>168793</xdr:rowOff>
    </xdr:from>
    <xdr:to>
      <xdr:col>12</xdr:col>
      <xdr:colOff>619125</xdr:colOff>
      <xdr:row>36</xdr:row>
      <xdr:rowOff>3114675</xdr:rowOff>
    </xdr:to>
    <xdr:graphicFrame macro="">
      <xdr:nvGraphicFramePr>
        <xdr:cNvPr id="3" name="Gráfico 2">
          <a:extLst>
            <a:ext uri="{FF2B5EF4-FFF2-40B4-BE49-F238E27FC236}">
              <a16:creationId xmlns:a16="http://schemas.microsoft.com/office/drawing/2014/main" id="{016A7656-5097-446F-A718-4121A0F24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25110</xdr:colOff>
      <xdr:row>36</xdr:row>
      <xdr:rowOff>3461328</xdr:rowOff>
    </xdr:from>
    <xdr:to>
      <xdr:col>4</xdr:col>
      <xdr:colOff>514349</xdr:colOff>
      <xdr:row>40</xdr:row>
      <xdr:rowOff>177800</xdr:rowOff>
    </xdr:to>
    <xdr:graphicFrame macro="">
      <xdr:nvGraphicFramePr>
        <xdr:cNvPr id="8" name="Gráfico 7">
          <a:extLst>
            <a:ext uri="{FF2B5EF4-FFF2-40B4-BE49-F238E27FC236}">
              <a16:creationId xmlns:a16="http://schemas.microsoft.com/office/drawing/2014/main" id="{10CD4999-61D3-4E98-AA1B-B7E61B826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195522</xdr:colOff>
      <xdr:row>40</xdr:row>
      <xdr:rowOff>381000</xdr:rowOff>
    </xdr:from>
    <xdr:to>
      <xdr:col>4</xdr:col>
      <xdr:colOff>695326</xdr:colOff>
      <xdr:row>45</xdr:row>
      <xdr:rowOff>628650</xdr:rowOff>
    </xdr:to>
    <xdr:graphicFrame macro="">
      <xdr:nvGraphicFramePr>
        <xdr:cNvPr id="4" name="Gráfico 3">
          <a:extLst>
            <a:ext uri="{FF2B5EF4-FFF2-40B4-BE49-F238E27FC236}">
              <a16:creationId xmlns:a16="http://schemas.microsoft.com/office/drawing/2014/main" id="{2F767B07-3A7B-4D41-9F78-5A27850FC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784032</xdr:colOff>
      <xdr:row>40</xdr:row>
      <xdr:rowOff>644526</xdr:rowOff>
    </xdr:from>
    <xdr:to>
      <xdr:col>12</xdr:col>
      <xdr:colOff>527050</xdr:colOff>
      <xdr:row>46</xdr:row>
      <xdr:rowOff>123825</xdr:rowOff>
    </xdr:to>
    <xdr:graphicFrame macro="">
      <xdr:nvGraphicFramePr>
        <xdr:cNvPr id="6" name="Gráfico 5">
          <a:extLst>
            <a:ext uri="{FF2B5EF4-FFF2-40B4-BE49-F238E27FC236}">
              <a16:creationId xmlns:a16="http://schemas.microsoft.com/office/drawing/2014/main" id="{871A7CA9-CAD4-45C2-9389-E2324E9BB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822325</xdr:colOff>
      <xdr:row>36</xdr:row>
      <xdr:rowOff>3362324</xdr:rowOff>
    </xdr:from>
    <xdr:to>
      <xdr:col>12</xdr:col>
      <xdr:colOff>641350</xdr:colOff>
      <xdr:row>40</xdr:row>
      <xdr:rowOff>278129</xdr:rowOff>
    </xdr:to>
    <xdr:graphicFrame macro="">
      <xdr:nvGraphicFramePr>
        <xdr:cNvPr id="5" name="Gráfico 4">
          <a:extLst>
            <a:ext uri="{FF2B5EF4-FFF2-40B4-BE49-F238E27FC236}">
              <a16:creationId xmlns:a16="http://schemas.microsoft.com/office/drawing/2014/main" id="{123890A9-BD86-39EF-8792-59574698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102796</xdr:colOff>
      <xdr:row>27</xdr:row>
      <xdr:rowOff>612511</xdr:rowOff>
    </xdr:from>
    <xdr:to>
      <xdr:col>4</xdr:col>
      <xdr:colOff>990599</xdr:colOff>
      <xdr:row>28</xdr:row>
      <xdr:rowOff>180974</xdr:rowOff>
    </xdr:to>
    <xdr:graphicFrame macro="">
      <xdr:nvGraphicFramePr>
        <xdr:cNvPr id="2" name="Gráfico 1">
          <a:extLst>
            <a:ext uri="{FF2B5EF4-FFF2-40B4-BE49-F238E27FC236}">
              <a16:creationId xmlns:a16="http://schemas.microsoft.com/office/drawing/2014/main" id="{638353B2-F97C-42E7-BBE6-FB07172E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838201</xdr:colOff>
      <xdr:row>27</xdr:row>
      <xdr:rowOff>486293</xdr:rowOff>
    </xdr:from>
    <xdr:to>
      <xdr:col>12</xdr:col>
      <xdr:colOff>619125</xdr:colOff>
      <xdr:row>28</xdr:row>
      <xdr:rowOff>114300</xdr:rowOff>
    </xdr:to>
    <xdr:graphicFrame macro="">
      <xdr:nvGraphicFramePr>
        <xdr:cNvPr id="3" name="Gráfico 2">
          <a:extLst>
            <a:ext uri="{FF2B5EF4-FFF2-40B4-BE49-F238E27FC236}">
              <a16:creationId xmlns:a16="http://schemas.microsoft.com/office/drawing/2014/main" id="{BAC5BBFF-C615-4B80-ABD7-66E47A1B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120360</xdr:colOff>
      <xdr:row>28</xdr:row>
      <xdr:rowOff>445078</xdr:rowOff>
    </xdr:from>
    <xdr:to>
      <xdr:col>4</xdr:col>
      <xdr:colOff>609599</xdr:colOff>
      <xdr:row>32</xdr:row>
      <xdr:rowOff>590550</xdr:rowOff>
    </xdr:to>
    <xdr:graphicFrame macro="">
      <xdr:nvGraphicFramePr>
        <xdr:cNvPr id="4" name="Gráfico 3">
          <a:extLst>
            <a:ext uri="{FF2B5EF4-FFF2-40B4-BE49-F238E27FC236}">
              <a16:creationId xmlns:a16="http://schemas.microsoft.com/office/drawing/2014/main" id="{F2FD7377-3010-4DD1-A2E2-16219219A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100272</xdr:colOff>
      <xdr:row>33</xdr:row>
      <xdr:rowOff>95250</xdr:rowOff>
    </xdr:from>
    <xdr:to>
      <xdr:col>4</xdr:col>
      <xdr:colOff>600076</xdr:colOff>
      <xdr:row>38</xdr:row>
      <xdr:rowOff>342900</xdr:rowOff>
    </xdr:to>
    <xdr:graphicFrame macro="">
      <xdr:nvGraphicFramePr>
        <xdr:cNvPr id="5" name="Gráfico 4">
          <a:extLst>
            <a:ext uri="{FF2B5EF4-FFF2-40B4-BE49-F238E27FC236}">
              <a16:creationId xmlns:a16="http://schemas.microsoft.com/office/drawing/2014/main" id="{194B9E97-0916-49E8-BCE5-8DFB73965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847532</xdr:colOff>
      <xdr:row>33</xdr:row>
      <xdr:rowOff>200026</xdr:rowOff>
    </xdr:from>
    <xdr:to>
      <xdr:col>12</xdr:col>
      <xdr:colOff>590550</xdr:colOff>
      <xdr:row>38</xdr:row>
      <xdr:rowOff>361950</xdr:rowOff>
    </xdr:to>
    <xdr:graphicFrame macro="">
      <xdr:nvGraphicFramePr>
        <xdr:cNvPr id="6" name="Gráfico 5">
          <a:extLst>
            <a:ext uri="{FF2B5EF4-FFF2-40B4-BE49-F238E27FC236}">
              <a16:creationId xmlns:a16="http://schemas.microsoft.com/office/drawing/2014/main" id="{3E1EDEAD-150C-4A76-ACC4-EC1B5FFE8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838200</xdr:colOff>
      <xdr:row>28</xdr:row>
      <xdr:rowOff>314324</xdr:rowOff>
    </xdr:from>
    <xdr:to>
      <xdr:col>12</xdr:col>
      <xdr:colOff>657225</xdr:colOff>
      <xdr:row>32</xdr:row>
      <xdr:rowOff>659129</xdr:rowOff>
    </xdr:to>
    <xdr:graphicFrame macro="">
      <xdr:nvGraphicFramePr>
        <xdr:cNvPr id="7" name="Gráfico 6">
          <a:extLst>
            <a:ext uri="{FF2B5EF4-FFF2-40B4-BE49-F238E27FC236}">
              <a16:creationId xmlns:a16="http://schemas.microsoft.com/office/drawing/2014/main" id="{BEC78F1C-95BC-4E58-BF04-CEAE78D6F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102796</xdr:colOff>
      <xdr:row>26</xdr:row>
      <xdr:rowOff>612511</xdr:rowOff>
    </xdr:from>
    <xdr:to>
      <xdr:col>4</xdr:col>
      <xdr:colOff>990599</xdr:colOff>
      <xdr:row>27</xdr:row>
      <xdr:rowOff>180974</xdr:rowOff>
    </xdr:to>
    <xdr:graphicFrame macro="">
      <xdr:nvGraphicFramePr>
        <xdr:cNvPr id="2" name="Gráfico 1">
          <a:extLst>
            <a:ext uri="{FF2B5EF4-FFF2-40B4-BE49-F238E27FC236}">
              <a16:creationId xmlns:a16="http://schemas.microsoft.com/office/drawing/2014/main" id="{BC5DB2D6-CFF1-4D71-ADDC-22F4DD79C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838201</xdr:colOff>
      <xdr:row>26</xdr:row>
      <xdr:rowOff>486293</xdr:rowOff>
    </xdr:from>
    <xdr:to>
      <xdr:col>12</xdr:col>
      <xdr:colOff>619125</xdr:colOff>
      <xdr:row>27</xdr:row>
      <xdr:rowOff>114300</xdr:rowOff>
    </xdr:to>
    <xdr:graphicFrame macro="">
      <xdr:nvGraphicFramePr>
        <xdr:cNvPr id="3" name="Gráfico 2">
          <a:extLst>
            <a:ext uri="{FF2B5EF4-FFF2-40B4-BE49-F238E27FC236}">
              <a16:creationId xmlns:a16="http://schemas.microsoft.com/office/drawing/2014/main" id="{73DB4769-D4A7-49E6-81DA-417854AA3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120360</xdr:colOff>
      <xdr:row>27</xdr:row>
      <xdr:rowOff>445078</xdr:rowOff>
    </xdr:from>
    <xdr:to>
      <xdr:col>4</xdr:col>
      <xdr:colOff>609599</xdr:colOff>
      <xdr:row>31</xdr:row>
      <xdr:rowOff>590550</xdr:rowOff>
    </xdr:to>
    <xdr:graphicFrame macro="">
      <xdr:nvGraphicFramePr>
        <xdr:cNvPr id="4" name="Gráfico 3">
          <a:extLst>
            <a:ext uri="{FF2B5EF4-FFF2-40B4-BE49-F238E27FC236}">
              <a16:creationId xmlns:a16="http://schemas.microsoft.com/office/drawing/2014/main" id="{5FEEC0F6-2455-40D2-9A00-BA07081C1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100272</xdr:colOff>
      <xdr:row>32</xdr:row>
      <xdr:rowOff>95250</xdr:rowOff>
    </xdr:from>
    <xdr:to>
      <xdr:col>4</xdr:col>
      <xdr:colOff>600076</xdr:colOff>
      <xdr:row>37</xdr:row>
      <xdr:rowOff>342900</xdr:rowOff>
    </xdr:to>
    <xdr:graphicFrame macro="">
      <xdr:nvGraphicFramePr>
        <xdr:cNvPr id="5" name="Gráfico 4">
          <a:extLst>
            <a:ext uri="{FF2B5EF4-FFF2-40B4-BE49-F238E27FC236}">
              <a16:creationId xmlns:a16="http://schemas.microsoft.com/office/drawing/2014/main" id="{2C2824C9-4718-42D9-934D-D084952FF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847532</xdr:colOff>
      <xdr:row>32</xdr:row>
      <xdr:rowOff>200026</xdr:rowOff>
    </xdr:from>
    <xdr:to>
      <xdr:col>12</xdr:col>
      <xdr:colOff>590550</xdr:colOff>
      <xdr:row>37</xdr:row>
      <xdr:rowOff>361950</xdr:rowOff>
    </xdr:to>
    <xdr:graphicFrame macro="">
      <xdr:nvGraphicFramePr>
        <xdr:cNvPr id="6" name="Gráfico 5">
          <a:extLst>
            <a:ext uri="{FF2B5EF4-FFF2-40B4-BE49-F238E27FC236}">
              <a16:creationId xmlns:a16="http://schemas.microsoft.com/office/drawing/2014/main" id="{75226F43-1730-462B-8DD5-2AC0B333A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838200</xdr:colOff>
      <xdr:row>27</xdr:row>
      <xdr:rowOff>314324</xdr:rowOff>
    </xdr:from>
    <xdr:to>
      <xdr:col>12</xdr:col>
      <xdr:colOff>657225</xdr:colOff>
      <xdr:row>31</xdr:row>
      <xdr:rowOff>659129</xdr:rowOff>
    </xdr:to>
    <xdr:graphicFrame macro="">
      <xdr:nvGraphicFramePr>
        <xdr:cNvPr id="7" name="Gráfico 6">
          <a:extLst>
            <a:ext uri="{FF2B5EF4-FFF2-40B4-BE49-F238E27FC236}">
              <a16:creationId xmlns:a16="http://schemas.microsoft.com/office/drawing/2014/main" id="{B428C8F7-AA41-40BB-BFA2-02B3F4816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102796</xdr:colOff>
      <xdr:row>26</xdr:row>
      <xdr:rowOff>612511</xdr:rowOff>
    </xdr:from>
    <xdr:to>
      <xdr:col>4</xdr:col>
      <xdr:colOff>990599</xdr:colOff>
      <xdr:row>27</xdr:row>
      <xdr:rowOff>180974</xdr:rowOff>
    </xdr:to>
    <xdr:graphicFrame macro="">
      <xdr:nvGraphicFramePr>
        <xdr:cNvPr id="2" name="Gráfico 1">
          <a:extLst>
            <a:ext uri="{FF2B5EF4-FFF2-40B4-BE49-F238E27FC236}">
              <a16:creationId xmlns:a16="http://schemas.microsoft.com/office/drawing/2014/main" id="{C10B3720-80BD-45EE-9371-7843004E4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838201</xdr:colOff>
      <xdr:row>26</xdr:row>
      <xdr:rowOff>486293</xdr:rowOff>
    </xdr:from>
    <xdr:to>
      <xdr:col>12</xdr:col>
      <xdr:colOff>619125</xdr:colOff>
      <xdr:row>27</xdr:row>
      <xdr:rowOff>114300</xdr:rowOff>
    </xdr:to>
    <xdr:graphicFrame macro="">
      <xdr:nvGraphicFramePr>
        <xdr:cNvPr id="3" name="Gráfico 2">
          <a:extLst>
            <a:ext uri="{FF2B5EF4-FFF2-40B4-BE49-F238E27FC236}">
              <a16:creationId xmlns:a16="http://schemas.microsoft.com/office/drawing/2014/main" id="{7CE54950-DE44-40E5-9530-A26D77B40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120360</xdr:colOff>
      <xdr:row>27</xdr:row>
      <xdr:rowOff>445078</xdr:rowOff>
    </xdr:from>
    <xdr:to>
      <xdr:col>4</xdr:col>
      <xdr:colOff>609599</xdr:colOff>
      <xdr:row>31</xdr:row>
      <xdr:rowOff>590550</xdr:rowOff>
    </xdr:to>
    <xdr:graphicFrame macro="">
      <xdr:nvGraphicFramePr>
        <xdr:cNvPr id="4" name="Gráfico 3">
          <a:extLst>
            <a:ext uri="{FF2B5EF4-FFF2-40B4-BE49-F238E27FC236}">
              <a16:creationId xmlns:a16="http://schemas.microsoft.com/office/drawing/2014/main" id="{D8944270-44B8-4B4D-885B-715310996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100272</xdr:colOff>
      <xdr:row>32</xdr:row>
      <xdr:rowOff>95250</xdr:rowOff>
    </xdr:from>
    <xdr:to>
      <xdr:col>4</xdr:col>
      <xdr:colOff>600076</xdr:colOff>
      <xdr:row>37</xdr:row>
      <xdr:rowOff>342900</xdr:rowOff>
    </xdr:to>
    <xdr:graphicFrame macro="">
      <xdr:nvGraphicFramePr>
        <xdr:cNvPr id="5" name="Gráfico 4">
          <a:extLst>
            <a:ext uri="{FF2B5EF4-FFF2-40B4-BE49-F238E27FC236}">
              <a16:creationId xmlns:a16="http://schemas.microsoft.com/office/drawing/2014/main" id="{F5DE70FD-AA61-4F30-B0DA-B79420456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847532</xdr:colOff>
      <xdr:row>32</xdr:row>
      <xdr:rowOff>200026</xdr:rowOff>
    </xdr:from>
    <xdr:to>
      <xdr:col>12</xdr:col>
      <xdr:colOff>590550</xdr:colOff>
      <xdr:row>37</xdr:row>
      <xdr:rowOff>361950</xdr:rowOff>
    </xdr:to>
    <xdr:graphicFrame macro="">
      <xdr:nvGraphicFramePr>
        <xdr:cNvPr id="6" name="Gráfico 5">
          <a:extLst>
            <a:ext uri="{FF2B5EF4-FFF2-40B4-BE49-F238E27FC236}">
              <a16:creationId xmlns:a16="http://schemas.microsoft.com/office/drawing/2014/main" id="{135946E5-6DD3-4098-BA52-6C956E548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838200</xdr:colOff>
      <xdr:row>27</xdr:row>
      <xdr:rowOff>314324</xdr:rowOff>
    </xdr:from>
    <xdr:to>
      <xdr:col>12</xdr:col>
      <xdr:colOff>657225</xdr:colOff>
      <xdr:row>31</xdr:row>
      <xdr:rowOff>659129</xdr:rowOff>
    </xdr:to>
    <xdr:graphicFrame macro="">
      <xdr:nvGraphicFramePr>
        <xdr:cNvPr id="7" name="Gráfico 6">
          <a:extLst>
            <a:ext uri="{FF2B5EF4-FFF2-40B4-BE49-F238E27FC236}">
              <a16:creationId xmlns:a16="http://schemas.microsoft.com/office/drawing/2014/main" id="{A4997322-F660-4DA5-92BB-4367ED7C2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02_GEI_GestionIntegral\4.%20INFORMES%20SST\2023_INFORMES%20SSTA\FT-GEI-SO-017%20Informe%20de%20Accidentalidad_Cierre_2023.xlsx" TargetMode="External"/><Relationship Id="rId1" Type="http://schemas.openxmlformats.org/officeDocument/2006/relationships/externalLinkPath" Target="file:///N:\02_GEI_GestionIntegral\4.%20INFORMES%20SST\2023_INFORMES%20SSTA\FT-GEI-SO-017%20Informe%20de%20Accidentalidad_Cierre_202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N:\02_GEI_GestionIntegral\4.%20INFORMES%20SST\2024_INFORMES%20SSTA\FT-GEI-SO-017%20Informe%20de%20Accidentalidad_2024.xlsx" TargetMode="External"/><Relationship Id="rId1" Type="http://schemas.openxmlformats.org/officeDocument/2006/relationships/externalLinkPath" Target="file:///N:\02_GEI_GestionIntegral\4.%20INFORMES%20SST\2024_INFORMES%20SSTA\FT-GEI-SO-017%20Informe%20de%20Accidentalidad_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N:\02_GEI_GestionIntegral\4.%20INFORMES%20SST\2025_INFORMES%20SSTA_SV\FT-GEI-SO-017%20Informe%20de%20Accidentalidad_2025.xlsx" TargetMode="External"/><Relationship Id="rId1" Type="http://schemas.openxmlformats.org/officeDocument/2006/relationships/externalLinkPath" Target="file:///N:\02_GEI_GestionIntegral\4.%20INFORMES%20SST\2025_INFORMES%20SSTA_SV\FT-GEI-SO-017%20Informe%20de%20Accidentalidad_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lejandra.betancur\Desktop\TABLERO%20DE%20CONTROL%20GERENCIA%202026\PARA%20TRABAJAR%20TABLERO\3%20Consolidado%20Accidentes.xlsx" TargetMode="External"/><Relationship Id="rId1" Type="http://schemas.openxmlformats.org/officeDocument/2006/relationships/externalLinkPath" Target="3%20Consolidado%20Accid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FT-GEI-SO-017"/>
      <sheetName val="SiniestaliadARL2023"/>
      <sheetName val="Indic2023"/>
      <sheetName val="otrosindicaOtrosaños"/>
      <sheetName val="indIcadoresotros años"/>
      <sheetName val="BD Accidentalidad"/>
      <sheetName val="CARACTERIZACION AT2022"/>
      <sheetName val="SOLO AT2022"/>
      <sheetName val="AT_ARL2022"/>
      <sheetName val="CARACT2022"/>
      <sheetName val="RUC"/>
      <sheetName val="INFORMACION GENERAL"/>
      <sheetName val="Lista"/>
    </sheetNames>
    <sheetDataSet>
      <sheetData sheetId="0">
        <row r="17">
          <cell r="B17">
            <v>0.10351966873706005</v>
          </cell>
          <cell r="C17">
            <v>0.10162601626016261</v>
          </cell>
          <cell r="D17">
            <v>0.20855057351407716</v>
          </cell>
          <cell r="E17">
            <v>0.245398773006135</v>
          </cell>
          <cell r="F17">
            <v>0.245398773006135</v>
          </cell>
          <cell r="G17">
            <v>0</v>
          </cell>
          <cell r="H17">
            <v>0</v>
          </cell>
          <cell r="I17">
            <v>0</v>
          </cell>
          <cell r="J17">
            <v>0.35419126328217237</v>
          </cell>
          <cell r="K17">
            <v>0.23696682464454977</v>
          </cell>
          <cell r="L17">
            <v>0.23724792408066431</v>
          </cell>
          <cell r="M17">
            <v>0.23923444976076555</v>
          </cell>
        </row>
        <row r="18">
          <cell r="B18">
            <v>1.9668737060041408</v>
          </cell>
          <cell r="C18">
            <v>0</v>
          </cell>
          <cell r="D18">
            <v>2.2940563086548487</v>
          </cell>
          <cell r="E18">
            <v>0</v>
          </cell>
          <cell r="F18">
            <v>0.36809815950920244</v>
          </cell>
          <cell r="G18">
            <v>0</v>
          </cell>
          <cell r="H18">
            <v>0</v>
          </cell>
          <cell r="I18">
            <v>0</v>
          </cell>
          <cell r="J18">
            <v>4.8406139315230226</v>
          </cell>
          <cell r="K18">
            <v>0.82938388625592419</v>
          </cell>
          <cell r="L18">
            <v>5.9311981020166078</v>
          </cell>
          <cell r="M18">
            <v>1.4354066985645932</v>
          </cell>
        </row>
        <row r="19">
          <cell r="A19" t="str">
            <v>Ind. De Lesiones Incapacitantes (ILI)</v>
          </cell>
          <cell r="B19">
            <v>2.0361011449318228E-4</v>
          </cell>
          <cell r="C19">
            <v>0</v>
          </cell>
          <cell r="D19">
            <v>4.7842675884355549E-4</v>
          </cell>
          <cell r="E19">
            <v>0</v>
          </cell>
          <cell r="F19">
            <v>9.0330836689374845E-5</v>
          </cell>
          <cell r="G19">
            <v>0</v>
          </cell>
          <cell r="H19">
            <v>0</v>
          </cell>
          <cell r="I19">
            <v>0</v>
          </cell>
          <cell r="J19">
            <v>1.7145031634674224E-3</v>
          </cell>
        </row>
        <row r="20">
          <cell r="B20">
            <v>0.10351966873706005</v>
          </cell>
          <cell r="C20">
            <v>0.10162601626016261</v>
          </cell>
          <cell r="D20">
            <v>0.20855057351407716</v>
          </cell>
          <cell r="E20">
            <v>0.245398773006135</v>
          </cell>
          <cell r="F20">
            <v>0.245398773006135</v>
          </cell>
          <cell r="G20">
            <v>0</v>
          </cell>
          <cell r="H20">
            <v>0</v>
          </cell>
          <cell r="I20">
            <v>0</v>
          </cell>
          <cell r="J20">
            <v>0.35419126328217237</v>
          </cell>
          <cell r="K20">
            <v>0.23696682464454977</v>
          </cell>
          <cell r="L20">
            <v>0.23724792408066431</v>
          </cell>
          <cell r="M20">
            <v>0.23923444976076555</v>
          </cell>
        </row>
        <row r="22">
          <cell r="A22" t="str">
            <v>Tasa de accidentes de Siniestro vial</v>
          </cell>
          <cell r="B22">
            <v>0.3105590062111801</v>
          </cell>
          <cell r="C22">
            <v>0.50813008130081294</v>
          </cell>
          <cell r="D22">
            <v>0.52137643378519283</v>
          </cell>
          <cell r="E22">
            <v>0.36809815950920244</v>
          </cell>
          <cell r="F22">
            <v>0.245398773006135</v>
          </cell>
          <cell r="G22">
            <v>0.48250904704463204</v>
          </cell>
          <cell r="H22">
            <v>0.72202166064981954</v>
          </cell>
          <cell r="I22">
            <v>0.59382422802850354</v>
          </cell>
          <cell r="J22">
            <v>1.0625737898465171</v>
          </cell>
          <cell r="K22">
            <v>0.47393364928909953</v>
          </cell>
          <cell r="L22">
            <v>0.59311981020166071</v>
          </cell>
          <cell r="M22">
            <v>0.4784688995215311</v>
          </cell>
        </row>
        <row r="24">
          <cell r="A24" t="str">
            <v>Proporción de accidente de trabajo Mortales</v>
          </cell>
          <cell r="B24">
            <v>0</v>
          </cell>
          <cell r="C24">
            <v>0</v>
          </cell>
          <cell r="D24">
            <v>0</v>
          </cell>
          <cell r="E24">
            <v>0</v>
          </cell>
          <cell r="F24">
            <v>0</v>
          </cell>
          <cell r="G24">
            <v>0</v>
          </cell>
          <cell r="H24">
            <v>0</v>
          </cell>
          <cell r="I24">
            <v>0</v>
          </cell>
          <cell r="J24">
            <v>0</v>
          </cell>
          <cell r="K24">
            <v>0</v>
          </cell>
          <cell r="L24">
            <v>0</v>
          </cell>
          <cell r="M24">
            <v>0</v>
          </cell>
        </row>
        <row r="25">
          <cell r="A25" t="str">
            <v>META MENSUAL DEL ILI</v>
          </cell>
          <cell r="B25">
            <v>2.3917000000000001E-3</v>
          </cell>
          <cell r="C25">
            <v>2.3917000000000001E-3</v>
          </cell>
          <cell r="D25">
            <v>2.3917000000000001E-3</v>
          </cell>
          <cell r="E25">
            <v>2.3917000000000001E-3</v>
          </cell>
          <cell r="F25">
            <v>2.3917000000000001E-3</v>
          </cell>
          <cell r="G25">
            <v>2.3917000000000001E-3</v>
          </cell>
          <cell r="H25">
            <v>2.3917000000000001E-3</v>
          </cell>
          <cell r="I25">
            <v>2.3917000000000001E-3</v>
          </cell>
          <cell r="J25">
            <v>2.3917000000000001E-3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FT-GEI-SO-017"/>
      <sheetName val="INDICADORES HISTORICOS"/>
      <sheetName val="SiniestaliadARL"/>
      <sheetName val="Indic2023"/>
      <sheetName val="otrosindicaOtrosaños"/>
      <sheetName val="indIcadoresotros años"/>
      <sheetName val="BD Accidentalidad"/>
      <sheetName val="CARACTERIZACION AT2022"/>
      <sheetName val="SOLO AT2022"/>
      <sheetName val="AT_ARL2022"/>
      <sheetName val="CARACT2022"/>
      <sheetName val="INFORMACION GENERAL"/>
      <sheetName val="Lista"/>
    </sheetNames>
    <sheetDataSet>
      <sheetData sheetId="0">
        <row r="17">
          <cell r="B17">
            <v>0</v>
          </cell>
          <cell r="C17">
            <v>0</v>
          </cell>
          <cell r="D17">
            <v>0.12578616352201258</v>
          </cell>
          <cell r="E17">
            <v>0.12594458438287154</v>
          </cell>
          <cell r="F17">
            <v>0.12531328320802004</v>
          </cell>
          <cell r="G17">
            <v>0.12919896640826875</v>
          </cell>
          <cell r="H17">
            <v>0.12135922330097086</v>
          </cell>
          <cell r="I17">
            <v>0.12787723785166241</v>
          </cell>
          <cell r="J17">
            <v>0.12820512820512819</v>
          </cell>
          <cell r="K17">
            <v>0.38216560509554143</v>
          </cell>
          <cell r="L17">
            <v>0</v>
          </cell>
          <cell r="M17">
            <v>0.27247956403269752</v>
          </cell>
        </row>
        <row r="18">
          <cell r="B18">
            <v>0</v>
          </cell>
          <cell r="C18">
            <v>0</v>
          </cell>
          <cell r="D18">
            <v>0</v>
          </cell>
          <cell r="E18">
            <v>3.7783375314861463</v>
          </cell>
          <cell r="F18">
            <v>4.6365914786967419</v>
          </cell>
          <cell r="G18">
            <v>10.077519379844961</v>
          </cell>
          <cell r="H18">
            <v>6.0679611650485441</v>
          </cell>
          <cell r="I18">
            <v>1.2787723785166241</v>
          </cell>
          <cell r="J18">
            <v>1.0256410256410255</v>
          </cell>
          <cell r="K18">
            <v>0.76433121019108285</v>
          </cell>
          <cell r="L18">
            <v>0</v>
          </cell>
          <cell r="M18">
            <v>1.6348773841961852</v>
          </cell>
        </row>
        <row r="19">
          <cell r="A19" t="str">
            <v>Ind. De Lesiones Incapacitantes (ILI)</v>
          </cell>
          <cell r="B19">
            <v>0</v>
          </cell>
          <cell r="C19">
            <v>0</v>
          </cell>
          <cell r="D19">
            <v>0</v>
          </cell>
          <cell r="E19">
            <v>4.758611500612275E-4</v>
          </cell>
          <cell r="F19">
            <v>5.8102650108981721E-4</v>
          </cell>
          <cell r="G19">
            <v>1.3020050878352666E-3</v>
          </cell>
          <cell r="H19">
            <v>7.3640305401074559E-4</v>
          </cell>
          <cell r="I19">
            <v>1.6352587960570642E-4</v>
          </cell>
          <cell r="J19">
            <v>1.3149243918474685E-4</v>
          </cell>
        </row>
        <row r="20">
          <cell r="B20">
            <v>0</v>
          </cell>
          <cell r="C20">
            <v>0</v>
          </cell>
          <cell r="D20">
            <v>0.12578616352201258</v>
          </cell>
          <cell r="E20">
            <v>0.12594458438287154</v>
          </cell>
          <cell r="F20">
            <v>0.12531328320802004</v>
          </cell>
          <cell r="G20">
            <v>0.12919896640826875</v>
          </cell>
          <cell r="H20">
            <v>0.12135922330097086</v>
          </cell>
          <cell r="I20">
            <v>0.12787723785166241</v>
          </cell>
          <cell r="J20">
            <v>0.12820512820512819</v>
          </cell>
          <cell r="K20">
            <v>0.38216560509554143</v>
          </cell>
          <cell r="L20">
            <v>0</v>
          </cell>
          <cell r="M20">
            <v>0.27247956403269752</v>
          </cell>
        </row>
        <row r="22">
          <cell r="A22" t="str">
            <v>Tasa de accidentes de Siniestro vial</v>
          </cell>
          <cell r="B22">
            <v>0.60459492140266025</v>
          </cell>
          <cell r="C22">
            <v>0.12239902080783352</v>
          </cell>
          <cell r="D22">
            <v>0.25157232704402516</v>
          </cell>
          <cell r="E22">
            <v>0.50377833753148615</v>
          </cell>
          <cell r="F22">
            <v>0.50125313283208017</v>
          </cell>
          <cell r="G22">
            <v>0.2583979328165375</v>
          </cell>
          <cell r="H22">
            <v>0.12135922330097086</v>
          </cell>
          <cell r="I22">
            <v>1.0230179028132993</v>
          </cell>
          <cell r="J22">
            <v>0.76923076923076927</v>
          </cell>
          <cell r="K22">
            <v>0.50955414012738853</v>
          </cell>
          <cell r="L22">
            <v>0.77419354838709675</v>
          </cell>
          <cell r="M22">
            <v>0.68119891008174382</v>
          </cell>
        </row>
        <row r="24">
          <cell r="A24" t="str">
            <v>Proporción de accidente de trabajo Mortales</v>
          </cell>
          <cell r="B24">
            <v>0</v>
          </cell>
          <cell r="C24">
            <v>0</v>
          </cell>
          <cell r="D24">
            <v>0</v>
          </cell>
          <cell r="E24">
            <v>0</v>
          </cell>
          <cell r="F24">
            <v>0</v>
          </cell>
          <cell r="G24">
            <v>0</v>
          </cell>
          <cell r="H24">
            <v>0</v>
          </cell>
          <cell r="I24">
            <v>0</v>
          </cell>
          <cell r="J24">
            <v>0</v>
          </cell>
          <cell r="K24">
            <v>0</v>
          </cell>
          <cell r="L24">
            <v>0</v>
          </cell>
          <cell r="M24">
            <v>0</v>
          </cell>
        </row>
        <row r="25">
          <cell r="A25" t="str">
            <v>META MENSUAL DEL ILI</v>
          </cell>
          <cell r="B25">
            <v>2.3917000000000001E-3</v>
          </cell>
          <cell r="C25">
            <v>2.3917000000000001E-3</v>
          </cell>
          <cell r="D25">
            <v>2.3917000000000001E-3</v>
          </cell>
          <cell r="E25">
            <v>2.3917000000000001E-3</v>
          </cell>
          <cell r="F25">
            <v>2.3917000000000001E-3</v>
          </cell>
          <cell r="G25">
            <v>2.3917000000000001E-3</v>
          </cell>
          <cell r="H25">
            <v>2.3917000000000001E-3</v>
          </cell>
          <cell r="I25">
            <v>2.3917000000000001E-3</v>
          </cell>
          <cell r="J25">
            <v>2.3917000000000001E-3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FT-GEI-SO-017"/>
      <sheetName val="INDICADORES HISTORICOS"/>
      <sheetName val="FASECOLDA"/>
      <sheetName val="Hoja2"/>
      <sheetName val="SiniestaliadARL"/>
      <sheetName val="Indic2023"/>
      <sheetName val="otrosindicaOtrosaños"/>
      <sheetName val="indIcadoresotros años"/>
      <sheetName val="BD Accidentalidad"/>
      <sheetName val="CARACTERIZACION AT2022"/>
      <sheetName val="SOLO AT2022"/>
      <sheetName val="AT_ARL2022"/>
      <sheetName val="CARACT2022"/>
      <sheetName val="INFORMACION GENERAL"/>
      <sheetName val="Lista"/>
    </sheetNames>
    <sheetDataSet>
      <sheetData sheetId="0">
        <row r="18">
          <cell r="B18">
            <v>0</v>
          </cell>
          <cell r="C18">
            <v>0.14124293785310735</v>
          </cell>
          <cell r="D18">
            <v>0.2743484224965706</v>
          </cell>
          <cell r="E18">
            <v>0</v>
          </cell>
          <cell r="F18">
            <v>0.13333333333333333</v>
          </cell>
          <cell r="G18">
            <v>0</v>
          </cell>
          <cell r="H18">
            <v>0.28208744710860367</v>
          </cell>
          <cell r="I18">
            <v>0.14492753623188406</v>
          </cell>
          <cell r="J18">
            <v>0.28449502133712662</v>
          </cell>
          <cell r="K18">
            <v>0.5494505494505495</v>
          </cell>
          <cell r="L18">
            <v>0.13458950201884254</v>
          </cell>
          <cell r="M18">
            <v>0.13986013986013987</v>
          </cell>
        </row>
        <row r="19">
          <cell r="B19">
            <v>0</v>
          </cell>
          <cell r="C19">
            <v>0.14124293785310735</v>
          </cell>
          <cell r="D19">
            <v>0.2743484224965706</v>
          </cell>
          <cell r="E19">
            <v>0</v>
          </cell>
          <cell r="F19">
            <v>1.8666666666666669</v>
          </cell>
          <cell r="G19">
            <v>0</v>
          </cell>
          <cell r="H19">
            <v>0</v>
          </cell>
          <cell r="I19">
            <v>0</v>
          </cell>
          <cell r="J19">
            <v>0.56899004267425324</v>
          </cell>
          <cell r="K19">
            <v>21.153846153846153</v>
          </cell>
          <cell r="L19">
            <v>0</v>
          </cell>
          <cell r="M19">
            <v>10.48951048951049</v>
          </cell>
        </row>
        <row r="20">
          <cell r="A20" t="str">
            <v>Ind. De Lesiones Incapacitantes (ILI)</v>
          </cell>
          <cell r="B20">
            <v>0</v>
          </cell>
          <cell r="C20">
            <v>1.9949567493376745E-5</v>
          </cell>
          <cell r="D20">
            <v>7.5267056926356813E-5</v>
          </cell>
          <cell r="E20">
            <v>0</v>
          </cell>
          <cell r="F20">
            <v>2.4888888888888893E-4</v>
          </cell>
          <cell r="G20">
            <v>0</v>
          </cell>
          <cell r="H20">
            <v>0</v>
          </cell>
          <cell r="I20">
            <v>0</v>
          </cell>
          <cell r="J20">
            <v>1.6187483433122426E-4</v>
          </cell>
        </row>
        <row r="21">
          <cell r="B21">
            <v>0</v>
          </cell>
          <cell r="C21">
            <v>0.14124293785310735</v>
          </cell>
          <cell r="D21">
            <v>0.2743484224965706</v>
          </cell>
          <cell r="E21">
            <v>0</v>
          </cell>
          <cell r="F21">
            <v>0.13333333333333333</v>
          </cell>
          <cell r="G21">
            <v>0</v>
          </cell>
          <cell r="H21">
            <v>0.28208744710860367</v>
          </cell>
          <cell r="I21">
            <v>0.14492753623188406</v>
          </cell>
          <cell r="J21">
            <v>0.28449502133712662</v>
          </cell>
          <cell r="K21">
            <v>0.5494505494505495</v>
          </cell>
          <cell r="L21">
            <v>0.13458950201884254</v>
          </cell>
          <cell r="M21">
            <v>0.13986013986013987</v>
          </cell>
        </row>
        <row r="23">
          <cell r="A23" t="str">
            <v>Tasa de accidentes de Siniestro vial</v>
          </cell>
          <cell r="B23">
            <v>0.54200542005420049</v>
          </cell>
          <cell r="C23">
            <v>0.42372881355932202</v>
          </cell>
          <cell r="D23">
            <v>0.82304526748971196</v>
          </cell>
          <cell r="E23">
            <v>1.0723860589812333</v>
          </cell>
          <cell r="F23">
            <v>0.8</v>
          </cell>
          <cell r="G23">
            <v>0.54570259208731242</v>
          </cell>
          <cell r="H23">
            <v>0.70521861777150918</v>
          </cell>
          <cell r="I23">
            <v>0.72463768115942029</v>
          </cell>
          <cell r="J23">
            <v>1.1379800853485065</v>
          </cell>
          <cell r="K23">
            <v>1.3736263736263736</v>
          </cell>
          <cell r="L23">
            <v>0.53835800807537015</v>
          </cell>
          <cell r="M23">
            <v>0.41958041958041958</v>
          </cell>
        </row>
        <row r="25">
          <cell r="A25" t="str">
            <v>Proporción de accidente de trabajo Mortales</v>
          </cell>
          <cell r="B25">
            <v>0</v>
          </cell>
          <cell r="C25">
            <v>0</v>
          </cell>
          <cell r="D25">
            <v>0</v>
          </cell>
          <cell r="E25">
            <v>0</v>
          </cell>
          <cell r="F25">
            <v>0</v>
          </cell>
          <cell r="G25">
            <v>0</v>
          </cell>
          <cell r="H25">
            <v>0</v>
          </cell>
          <cell r="I25">
            <v>0</v>
          </cell>
          <cell r="J25">
            <v>0</v>
          </cell>
          <cell r="K25">
            <v>0</v>
          </cell>
          <cell r="L25">
            <v>0</v>
          </cell>
          <cell r="M25">
            <v>0</v>
          </cell>
        </row>
        <row r="26">
          <cell r="A26" t="str">
            <v>META MENSUAL DEL ILI</v>
          </cell>
          <cell r="B26">
            <v>2.3917000000000001E-3</v>
          </cell>
          <cell r="C26">
            <v>2.3917000000000001E-3</v>
          </cell>
          <cell r="D26">
            <v>2.3917000000000001E-3</v>
          </cell>
          <cell r="E26">
            <v>2.3917000000000001E-3</v>
          </cell>
          <cell r="F26">
            <v>2.3917000000000001E-3</v>
          </cell>
          <cell r="G26">
            <v>2.3917000000000001E-3</v>
          </cell>
          <cell r="H26">
            <v>2.3917000000000001E-3</v>
          </cell>
          <cell r="I26">
            <v>2.3917000000000001E-3</v>
          </cell>
          <cell r="J26">
            <v>2.3917000000000001E-3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 val="IINDICADORES"/>
      <sheetName val="CARACTERIZACIÓN ACCIDENTALIDAD "/>
      <sheetName val="Datos"/>
    </sheetNames>
    <sheetDataSet>
      <sheetData sheetId="0">
        <row r="69">
          <cell r="A69">
            <v>46024.270833333299</v>
          </cell>
        </row>
        <row r="72">
          <cell r="A72">
            <v>46037.278761574104</v>
          </cell>
        </row>
        <row r="73">
          <cell r="A73">
            <v>46037.300127314797</v>
          </cell>
        </row>
        <row r="74">
          <cell r="A74">
            <v>46042.554270833301</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
  <sheetViews>
    <sheetView showGridLines="0" view="pageBreakPreview" zoomScale="85" zoomScaleNormal="60" zoomScaleSheetLayoutView="85" zoomScalePageLayoutView="80" workbookViewId="0">
      <selection activeCell="A7" sqref="A7"/>
    </sheetView>
  </sheetViews>
  <sheetFormatPr baseColWidth="10" defaultColWidth="11.42578125" defaultRowHeight="15" x14ac:dyDescent="0.2"/>
  <cols>
    <col min="1" max="1" width="57.140625" style="34" customWidth="1"/>
    <col min="2" max="6" width="14.7109375" style="48" customWidth="1"/>
    <col min="7" max="9" width="14.7109375" style="7" customWidth="1"/>
    <col min="10" max="10" width="19.140625" style="7" customWidth="1"/>
    <col min="11" max="11" width="14.7109375" style="7" customWidth="1"/>
    <col min="12" max="12" width="18" style="7" customWidth="1"/>
    <col min="13" max="13" width="15.5703125" style="7" customWidth="1"/>
    <col min="14" max="14" width="13.28515625" style="7" customWidth="1"/>
    <col min="15" max="15" width="16.28515625" style="7" hidden="1" customWidth="1"/>
    <col min="16" max="16" width="17" style="7" hidden="1" customWidth="1"/>
    <col min="17" max="17" width="11.42578125" style="7"/>
    <col min="18" max="18" width="13.5703125" style="7" customWidth="1"/>
    <col min="19" max="16384" width="11.42578125" style="7"/>
  </cols>
  <sheetData>
    <row r="1" spans="1:18" ht="37.5" customHeight="1" x14ac:dyDescent="0.2">
      <c r="B1" s="39"/>
      <c r="C1" s="39"/>
      <c r="D1" s="39"/>
      <c r="E1" s="40">
        <v>100</v>
      </c>
      <c r="F1" s="39"/>
      <c r="G1" s="16" t="s">
        <v>43</v>
      </c>
      <c r="H1" s="16"/>
      <c r="I1" s="16"/>
      <c r="J1" s="16"/>
      <c r="K1" s="16">
        <v>2026</v>
      </c>
      <c r="L1" s="16"/>
      <c r="M1" s="16"/>
      <c r="N1" s="16"/>
      <c r="O1" s="16"/>
      <c r="P1" s="16"/>
    </row>
    <row r="2" spans="1:18" s="17" customFormat="1" ht="26.25" customHeight="1" x14ac:dyDescent="0.25">
      <c r="A2" s="16">
        <v>2026</v>
      </c>
      <c r="B2" s="39"/>
      <c r="C2" s="39"/>
      <c r="D2" s="39"/>
      <c r="E2" s="39"/>
      <c r="F2" s="39"/>
      <c r="G2" s="16" t="s">
        <v>33</v>
      </c>
      <c r="H2" s="16">
        <v>100</v>
      </c>
      <c r="I2" s="16"/>
      <c r="J2" s="16" t="s">
        <v>34</v>
      </c>
      <c r="K2" s="16">
        <v>100</v>
      </c>
      <c r="L2" s="16"/>
      <c r="M2" s="16" t="s">
        <v>32</v>
      </c>
      <c r="N2" s="16">
        <v>100</v>
      </c>
      <c r="O2" s="16"/>
      <c r="P2" s="16"/>
    </row>
    <row r="3" spans="1:18" ht="24.75" customHeight="1" x14ac:dyDescent="0.2">
      <c r="A3" s="55" t="s">
        <v>35</v>
      </c>
      <c r="B3" s="55"/>
      <c r="C3" s="55"/>
      <c r="D3" s="55"/>
      <c r="E3" s="55"/>
      <c r="F3" s="55"/>
      <c r="G3" s="55"/>
      <c r="H3" s="55"/>
      <c r="I3" s="55"/>
      <c r="J3" s="55"/>
      <c r="K3" s="55"/>
      <c r="L3" s="55"/>
      <c r="M3" s="55"/>
      <c r="N3" s="55"/>
      <c r="O3" s="55"/>
      <c r="P3" s="55"/>
    </row>
    <row r="4" spans="1:18" ht="15.75" x14ac:dyDescent="0.2">
      <c r="A4" s="43" t="s">
        <v>36</v>
      </c>
      <c r="B4" s="50">
        <v>46023</v>
      </c>
      <c r="C4" s="50">
        <v>46054</v>
      </c>
      <c r="D4" s="50">
        <v>46082</v>
      </c>
      <c r="E4" s="50">
        <v>46113</v>
      </c>
      <c r="F4" s="50">
        <v>46143</v>
      </c>
      <c r="G4" s="50">
        <v>46174</v>
      </c>
      <c r="H4" s="50">
        <v>46204</v>
      </c>
      <c r="I4" s="50">
        <v>46235</v>
      </c>
      <c r="J4" s="50">
        <v>46266</v>
      </c>
      <c r="K4" s="50">
        <v>46296</v>
      </c>
      <c r="L4" s="50">
        <v>46327</v>
      </c>
      <c r="M4" s="50">
        <v>46357</v>
      </c>
      <c r="N4" s="14" t="s">
        <v>37</v>
      </c>
      <c r="O4" s="15"/>
      <c r="P4" s="15"/>
    </row>
    <row r="5" spans="1:18" ht="34.15" customHeight="1" x14ac:dyDescent="0.2">
      <c r="A5" s="18" t="s">
        <v>19</v>
      </c>
      <c r="B5" s="19">
        <v>0</v>
      </c>
      <c r="C5" s="22">
        <v>1</v>
      </c>
      <c r="D5" s="22">
        <v>1</v>
      </c>
      <c r="E5" s="22">
        <v>0</v>
      </c>
      <c r="F5" s="22">
        <v>2</v>
      </c>
      <c r="G5" s="22"/>
      <c r="H5" s="19"/>
      <c r="I5" s="19"/>
      <c r="J5" s="20"/>
      <c r="K5" s="21"/>
      <c r="L5" s="21"/>
      <c r="M5" s="21"/>
      <c r="N5" s="21">
        <f>SUM(B5:M5)</f>
        <v>4</v>
      </c>
      <c r="O5" s="56"/>
      <c r="P5" s="59"/>
    </row>
    <row r="6" spans="1:18" ht="34.15" customHeight="1" x14ac:dyDescent="0.2">
      <c r="A6" s="18" t="s">
        <v>20</v>
      </c>
      <c r="B6" s="19">
        <v>1</v>
      </c>
      <c r="C6" s="22">
        <v>0</v>
      </c>
      <c r="D6" s="22">
        <v>0</v>
      </c>
      <c r="E6" s="22">
        <v>0</v>
      </c>
      <c r="F6" s="22">
        <v>1</v>
      </c>
      <c r="G6" s="22"/>
      <c r="H6" s="19"/>
      <c r="I6" s="19"/>
      <c r="J6" s="20"/>
      <c r="K6" s="21"/>
      <c r="L6" s="21"/>
      <c r="M6" s="21"/>
      <c r="N6" s="21">
        <f>SUM(B6:M6)</f>
        <v>2</v>
      </c>
      <c r="O6" s="57"/>
      <c r="P6" s="60"/>
    </row>
    <row r="7" spans="1:18" ht="34.15" customHeight="1" x14ac:dyDescent="0.2">
      <c r="A7" s="18" t="s">
        <v>21</v>
      </c>
      <c r="B7" s="19">
        <v>1</v>
      </c>
      <c r="C7" s="22">
        <v>0</v>
      </c>
      <c r="D7" s="22">
        <v>0</v>
      </c>
      <c r="E7" s="22">
        <v>0</v>
      </c>
      <c r="F7" s="22">
        <v>0</v>
      </c>
      <c r="G7" s="22"/>
      <c r="H7" s="19"/>
      <c r="I7" s="19"/>
      <c r="J7" s="20"/>
      <c r="K7" s="21"/>
      <c r="L7" s="21"/>
      <c r="M7" s="21"/>
      <c r="N7" s="21">
        <f t="shared" ref="N7:N25" si="0">SUM(B7:M7)</f>
        <v>1</v>
      </c>
      <c r="O7" s="57"/>
      <c r="P7" s="60"/>
    </row>
    <row r="8" spans="1:18" ht="34.15" customHeight="1" x14ac:dyDescent="0.2">
      <c r="A8" s="18" t="s">
        <v>79</v>
      </c>
      <c r="B8" s="19">
        <v>3</v>
      </c>
      <c r="C8" s="22">
        <v>6</v>
      </c>
      <c r="D8" s="22">
        <v>9</v>
      </c>
      <c r="E8" s="22">
        <v>7</v>
      </c>
      <c r="F8" s="22">
        <v>10</v>
      </c>
      <c r="G8" s="22"/>
      <c r="H8" s="19"/>
      <c r="I8" s="19"/>
      <c r="J8" s="20"/>
      <c r="K8" s="21"/>
      <c r="L8" s="21"/>
      <c r="M8" s="21"/>
      <c r="N8" s="21">
        <f t="shared" si="0"/>
        <v>35</v>
      </c>
      <c r="O8" s="57"/>
      <c r="P8" s="60"/>
    </row>
    <row r="9" spans="1:18" ht="34.15" customHeight="1" x14ac:dyDescent="0.2">
      <c r="A9" s="23" t="s">
        <v>104</v>
      </c>
      <c r="B9" s="19">
        <v>4</v>
      </c>
      <c r="C9" s="22">
        <v>1</v>
      </c>
      <c r="D9" s="22">
        <v>1</v>
      </c>
      <c r="E9" s="22">
        <v>1</v>
      </c>
      <c r="F9" s="22">
        <v>0</v>
      </c>
      <c r="G9" s="22"/>
      <c r="H9" s="19"/>
      <c r="I9" s="19"/>
      <c r="J9" s="20"/>
      <c r="K9" s="21"/>
      <c r="L9" s="21"/>
      <c r="M9" s="21"/>
      <c r="N9" s="21">
        <f t="shared" si="0"/>
        <v>7</v>
      </c>
      <c r="O9" s="57"/>
      <c r="P9" s="60"/>
    </row>
    <row r="10" spans="1:18" ht="34.15" customHeight="1" x14ac:dyDescent="0.2">
      <c r="A10" s="18" t="s">
        <v>54</v>
      </c>
      <c r="B10" s="19">
        <v>1</v>
      </c>
      <c r="C10" s="22">
        <v>0</v>
      </c>
      <c r="D10" s="22">
        <v>0</v>
      </c>
      <c r="E10" s="22">
        <v>0</v>
      </c>
      <c r="F10" s="22">
        <v>0</v>
      </c>
      <c r="G10" s="22"/>
      <c r="H10" s="19"/>
      <c r="I10" s="19"/>
      <c r="J10" s="19"/>
      <c r="K10" s="21"/>
      <c r="L10" s="21"/>
      <c r="M10" s="21"/>
      <c r="N10" s="21">
        <f t="shared" si="0"/>
        <v>1</v>
      </c>
      <c r="O10" s="57"/>
      <c r="P10" s="60"/>
    </row>
    <row r="11" spans="1:18" ht="52.15" customHeight="1" x14ac:dyDescent="0.2">
      <c r="A11" s="23" t="s">
        <v>30</v>
      </c>
      <c r="B11" s="19">
        <v>19</v>
      </c>
      <c r="C11" s="19">
        <v>27</v>
      </c>
      <c r="D11" s="19">
        <v>35</v>
      </c>
      <c r="E11" s="22">
        <v>1</v>
      </c>
      <c r="F11" s="22">
        <v>4</v>
      </c>
      <c r="G11" s="22"/>
      <c r="H11" s="19"/>
      <c r="I11" s="19"/>
      <c r="J11" s="20"/>
      <c r="K11" s="21"/>
      <c r="L11" s="21"/>
      <c r="M11" s="21"/>
      <c r="N11" s="21">
        <f t="shared" si="0"/>
        <v>86</v>
      </c>
      <c r="O11" s="57"/>
      <c r="P11" s="60"/>
    </row>
    <row r="12" spans="1:18" ht="33.6" customHeight="1" x14ac:dyDescent="0.2">
      <c r="A12" s="18" t="s">
        <v>105</v>
      </c>
      <c r="B12" s="19">
        <v>5</v>
      </c>
      <c r="C12" s="22">
        <v>0</v>
      </c>
      <c r="D12" s="22">
        <v>0</v>
      </c>
      <c r="E12" s="22">
        <v>0</v>
      </c>
      <c r="F12" s="22">
        <v>0</v>
      </c>
      <c r="G12" s="22"/>
      <c r="H12" s="19"/>
      <c r="I12" s="19"/>
      <c r="J12" s="19"/>
      <c r="K12" s="20"/>
      <c r="L12" s="21"/>
      <c r="M12" s="21"/>
      <c r="N12" s="21">
        <f t="shared" si="0"/>
        <v>5</v>
      </c>
      <c r="O12" s="57"/>
      <c r="P12" s="60"/>
    </row>
    <row r="13" spans="1:18" ht="33.6" customHeight="1" x14ac:dyDescent="0.2">
      <c r="A13" s="18" t="s">
        <v>25</v>
      </c>
      <c r="B13" s="24">
        <v>714</v>
      </c>
      <c r="C13" s="24">
        <v>713</v>
      </c>
      <c r="D13" s="24">
        <v>698</v>
      </c>
      <c r="E13" s="32">
        <v>710</v>
      </c>
      <c r="F13" s="24">
        <v>688</v>
      </c>
      <c r="G13" s="24"/>
      <c r="H13" s="24"/>
      <c r="I13" s="24"/>
      <c r="J13" s="24"/>
      <c r="K13" s="24"/>
      <c r="L13" s="24"/>
      <c r="M13" s="32"/>
      <c r="N13" s="21">
        <f>AVERAGE(B13:M13)</f>
        <v>704.6</v>
      </c>
      <c r="O13" s="57"/>
      <c r="P13" s="60"/>
      <c r="R13" s="33"/>
    </row>
    <row r="14" spans="1:18" ht="33.6" customHeight="1" x14ac:dyDescent="0.2">
      <c r="A14" s="18" t="s">
        <v>26</v>
      </c>
      <c r="B14" s="30">
        <f>17159+43383+101180</f>
        <v>161722</v>
      </c>
      <c r="C14" s="30">
        <f>17804+44116+107946</f>
        <v>169866</v>
      </c>
      <c r="D14" s="30">
        <f>17804+44116+107946</f>
        <v>169866</v>
      </c>
      <c r="E14" s="32">
        <f>17804+44116+107946</f>
        <v>169866</v>
      </c>
      <c r="F14" s="30">
        <v>166597</v>
      </c>
      <c r="G14" s="30"/>
      <c r="H14" s="30"/>
      <c r="I14" s="30"/>
      <c r="J14" s="31"/>
      <c r="K14" s="31"/>
      <c r="L14" s="30"/>
      <c r="M14" s="31"/>
      <c r="N14" s="21">
        <f>SUM(B14:M14)</f>
        <v>837917</v>
      </c>
      <c r="O14" s="57"/>
      <c r="P14" s="60"/>
    </row>
    <row r="15" spans="1:18" ht="33.6" customHeight="1" x14ac:dyDescent="0.2">
      <c r="A15" s="18" t="s">
        <v>42</v>
      </c>
      <c r="B15" s="19">
        <v>0</v>
      </c>
      <c r="C15" s="22">
        <v>0</v>
      </c>
      <c r="D15" s="22">
        <v>0</v>
      </c>
      <c r="E15" s="19">
        <v>0</v>
      </c>
      <c r="F15" s="19">
        <v>0</v>
      </c>
      <c r="G15" s="19"/>
      <c r="H15" s="19"/>
      <c r="I15" s="19"/>
      <c r="J15" s="19"/>
      <c r="K15" s="19"/>
      <c r="L15" s="19"/>
      <c r="M15" s="19"/>
      <c r="N15" s="21">
        <f t="shared" si="0"/>
        <v>0</v>
      </c>
      <c r="O15" s="57"/>
      <c r="P15" s="60"/>
    </row>
    <row r="16" spans="1:18" ht="45.75" customHeight="1" x14ac:dyDescent="0.2">
      <c r="A16" s="23" t="s">
        <v>82</v>
      </c>
      <c r="B16" s="19">
        <v>2</v>
      </c>
      <c r="C16" s="22">
        <v>0</v>
      </c>
      <c r="D16" s="22">
        <v>0</v>
      </c>
      <c r="E16" s="19">
        <v>0</v>
      </c>
      <c r="F16" s="19">
        <v>0</v>
      </c>
      <c r="G16" s="19"/>
      <c r="H16" s="19"/>
      <c r="I16" s="19"/>
      <c r="J16" s="19"/>
      <c r="K16" s="19"/>
      <c r="L16" s="19"/>
      <c r="M16" s="19"/>
      <c r="N16" s="21">
        <f t="shared" si="0"/>
        <v>2</v>
      </c>
      <c r="O16" s="57"/>
      <c r="P16" s="60"/>
    </row>
    <row r="17" spans="1:16" ht="42" customHeight="1" x14ac:dyDescent="0.2">
      <c r="A17" s="23" t="s">
        <v>87</v>
      </c>
      <c r="B17" s="51">
        <v>1</v>
      </c>
      <c r="C17" s="52">
        <v>0</v>
      </c>
      <c r="D17" s="22">
        <v>0</v>
      </c>
      <c r="E17" s="51">
        <v>0</v>
      </c>
      <c r="F17" s="51">
        <v>1</v>
      </c>
      <c r="G17" s="51"/>
      <c r="H17" s="51"/>
      <c r="I17" s="51"/>
      <c r="J17" s="51"/>
      <c r="K17" s="51"/>
      <c r="L17" s="51"/>
      <c r="M17" s="51"/>
      <c r="N17" s="21">
        <f t="shared" si="0"/>
        <v>2</v>
      </c>
      <c r="O17" s="57"/>
      <c r="P17" s="60"/>
    </row>
    <row r="18" spans="1:16" ht="42" customHeight="1" x14ac:dyDescent="0.2">
      <c r="A18" s="23" t="s">
        <v>95</v>
      </c>
      <c r="B18" s="51">
        <v>0</v>
      </c>
      <c r="C18" s="52">
        <v>0</v>
      </c>
      <c r="D18" s="22">
        <v>0</v>
      </c>
      <c r="E18" s="51">
        <v>0</v>
      </c>
      <c r="F18" s="51">
        <v>4</v>
      </c>
      <c r="G18" s="51"/>
      <c r="H18" s="51"/>
      <c r="I18" s="51"/>
      <c r="J18" s="51"/>
      <c r="K18" s="51"/>
      <c r="L18" s="51"/>
      <c r="M18" s="51"/>
      <c r="N18" s="21">
        <f t="shared" ref="N18" si="1">SUM(B18:M18)</f>
        <v>4</v>
      </c>
      <c r="O18" s="57"/>
      <c r="P18" s="60"/>
    </row>
    <row r="19" spans="1:16" ht="34.5" customHeight="1" x14ac:dyDescent="0.2">
      <c r="A19" s="23" t="s">
        <v>89</v>
      </c>
      <c r="B19" s="51">
        <v>0</v>
      </c>
      <c r="C19" s="52">
        <v>0</v>
      </c>
      <c r="D19" s="52">
        <v>0</v>
      </c>
      <c r="E19" s="51">
        <v>0</v>
      </c>
      <c r="F19" s="51">
        <v>0</v>
      </c>
      <c r="G19" s="51"/>
      <c r="H19" s="51"/>
      <c r="I19" s="51"/>
      <c r="J19" s="51"/>
      <c r="K19" s="51"/>
      <c r="L19" s="51"/>
      <c r="M19" s="51"/>
      <c r="N19" s="21">
        <f t="shared" si="0"/>
        <v>0</v>
      </c>
      <c r="O19" s="57"/>
      <c r="P19" s="60"/>
    </row>
    <row r="20" spans="1:16" ht="35.25" customHeight="1" x14ac:dyDescent="0.2">
      <c r="A20" s="23" t="s">
        <v>88</v>
      </c>
      <c r="B20" s="51">
        <v>0</v>
      </c>
      <c r="C20" s="52">
        <v>0</v>
      </c>
      <c r="D20" s="52">
        <v>1</v>
      </c>
      <c r="E20" s="51">
        <v>0</v>
      </c>
      <c r="F20" s="51">
        <v>0</v>
      </c>
      <c r="G20" s="51"/>
      <c r="H20" s="51"/>
      <c r="I20" s="51"/>
      <c r="J20" s="51"/>
      <c r="K20" s="51"/>
      <c r="L20" s="51"/>
      <c r="M20" s="51"/>
      <c r="N20" s="21">
        <f t="shared" si="0"/>
        <v>1</v>
      </c>
      <c r="O20" s="57"/>
      <c r="P20" s="60"/>
    </row>
    <row r="21" spans="1:16" ht="45.75" customHeight="1" x14ac:dyDescent="0.2">
      <c r="A21" s="23" t="s">
        <v>90</v>
      </c>
      <c r="B21" s="51">
        <v>0</v>
      </c>
      <c r="C21" s="52">
        <v>0</v>
      </c>
      <c r="D21" s="52">
        <v>0</v>
      </c>
      <c r="E21" s="51">
        <v>0</v>
      </c>
      <c r="F21" s="51">
        <v>0</v>
      </c>
      <c r="G21" s="51"/>
      <c r="H21" s="51"/>
      <c r="I21" s="51"/>
      <c r="J21" s="51"/>
      <c r="K21" s="51"/>
      <c r="L21" s="51"/>
      <c r="M21" s="51"/>
      <c r="N21" s="21">
        <f t="shared" si="0"/>
        <v>0</v>
      </c>
      <c r="O21" s="57"/>
      <c r="P21" s="60"/>
    </row>
    <row r="22" spans="1:16" ht="45.75" customHeight="1" x14ac:dyDescent="0.2">
      <c r="A22" s="23" t="s">
        <v>91</v>
      </c>
      <c r="B22" s="51">
        <v>0</v>
      </c>
      <c r="C22" s="52">
        <v>0</v>
      </c>
      <c r="D22" s="52">
        <v>0</v>
      </c>
      <c r="E22" s="51">
        <v>0</v>
      </c>
      <c r="F22" s="51">
        <v>0</v>
      </c>
      <c r="G22" s="51"/>
      <c r="H22" s="51"/>
      <c r="I22" s="51"/>
      <c r="J22" s="51"/>
      <c r="K22" s="51"/>
      <c r="L22" s="51"/>
      <c r="M22" s="51"/>
      <c r="N22" s="21">
        <f t="shared" si="0"/>
        <v>0</v>
      </c>
      <c r="O22" s="57"/>
      <c r="P22" s="60"/>
    </row>
    <row r="23" spans="1:16" ht="45.75" customHeight="1" x14ac:dyDescent="0.2">
      <c r="A23" s="23" t="s">
        <v>94</v>
      </c>
      <c r="B23" s="51">
        <v>0</v>
      </c>
      <c r="C23" s="52">
        <v>0</v>
      </c>
      <c r="D23" s="52">
        <v>0</v>
      </c>
      <c r="E23" s="51">
        <v>0</v>
      </c>
      <c r="F23" s="51">
        <v>0</v>
      </c>
      <c r="G23" s="51"/>
      <c r="H23" s="51"/>
      <c r="I23" s="51"/>
      <c r="J23" s="51"/>
      <c r="K23" s="51"/>
      <c r="L23" s="51"/>
      <c r="M23" s="51"/>
      <c r="N23" s="21">
        <f t="shared" si="0"/>
        <v>0</v>
      </c>
      <c r="O23" s="57"/>
      <c r="P23" s="60"/>
    </row>
    <row r="24" spans="1:16" ht="45.75" customHeight="1" x14ac:dyDescent="0.2">
      <c r="A24" s="23" t="s">
        <v>93</v>
      </c>
      <c r="B24" s="51">
        <v>2</v>
      </c>
      <c r="C24" s="52">
        <v>0</v>
      </c>
      <c r="D24" s="52">
        <v>0</v>
      </c>
      <c r="E24" s="51">
        <v>0</v>
      </c>
      <c r="F24" s="51">
        <v>0</v>
      </c>
      <c r="G24" s="51"/>
      <c r="H24" s="51"/>
      <c r="I24" s="51"/>
      <c r="J24" s="51"/>
      <c r="K24" s="51"/>
      <c r="L24" s="51"/>
      <c r="M24" s="51"/>
      <c r="N24" s="21">
        <f t="shared" si="0"/>
        <v>2</v>
      </c>
      <c r="O24" s="57"/>
      <c r="P24" s="60"/>
    </row>
    <row r="25" spans="1:16" ht="45.75" customHeight="1" x14ac:dyDescent="0.2">
      <c r="A25" s="23" t="s">
        <v>92</v>
      </c>
      <c r="B25" s="51">
        <v>5</v>
      </c>
      <c r="C25" s="52">
        <v>7</v>
      </c>
      <c r="D25" s="52">
        <v>9</v>
      </c>
      <c r="E25" s="51">
        <v>7</v>
      </c>
      <c r="F25" s="51">
        <v>10</v>
      </c>
      <c r="G25" s="51"/>
      <c r="H25" s="51"/>
      <c r="I25" s="51"/>
      <c r="J25" s="51"/>
      <c r="K25" s="51"/>
      <c r="L25" s="51"/>
      <c r="M25" s="51"/>
      <c r="N25" s="21">
        <f t="shared" si="0"/>
        <v>38</v>
      </c>
      <c r="O25" s="57"/>
      <c r="P25" s="60"/>
    </row>
    <row r="26" spans="1:16" s="8" customFormat="1" ht="33.6" customHeight="1" x14ac:dyDescent="0.2">
      <c r="A26" s="35" t="s">
        <v>14</v>
      </c>
      <c r="B26" s="46">
        <f t="shared" ref="B26:F26" si="2">IFERROR((((B$6+B$7)/B$13)*$K$2),0)</f>
        <v>0.28011204481792717</v>
      </c>
      <c r="C26" s="46">
        <f t="shared" si="2"/>
        <v>0</v>
      </c>
      <c r="D26" s="46">
        <f t="shared" si="2"/>
        <v>0</v>
      </c>
      <c r="E26" s="46">
        <f t="shared" si="2"/>
        <v>0</v>
      </c>
      <c r="F26" s="46">
        <f t="shared" si="2"/>
        <v>0.14534883720930233</v>
      </c>
      <c r="G26" s="46"/>
      <c r="H26" s="46"/>
      <c r="I26" s="46"/>
      <c r="J26" s="46"/>
      <c r="K26" s="46"/>
      <c r="L26" s="46"/>
      <c r="M26" s="46"/>
      <c r="N26" s="25">
        <f t="shared" ref="N26:N34" si="3">AVERAGE(B26:M26)</f>
        <v>8.5092176405445905E-2</v>
      </c>
      <c r="O26" s="57"/>
      <c r="P26" s="60"/>
    </row>
    <row r="27" spans="1:16" s="8" customFormat="1" ht="33.6" customHeight="1" x14ac:dyDescent="0.2">
      <c r="A27" s="35" t="s">
        <v>15</v>
      </c>
      <c r="B27" s="47">
        <f t="shared" ref="B27:F27" si="4">IFERROR((((B$11+B$12)/B$13)*$K$2),0)</f>
        <v>3.3613445378151261</v>
      </c>
      <c r="C27" s="47">
        <f t="shared" si="4"/>
        <v>3.7868162692847123</v>
      </c>
      <c r="D27" s="47">
        <f t="shared" si="4"/>
        <v>5.0143266475644692</v>
      </c>
      <c r="E27" s="47">
        <f t="shared" si="4"/>
        <v>0.14084507042253522</v>
      </c>
      <c r="F27" s="47">
        <f t="shared" si="4"/>
        <v>0.58139534883720934</v>
      </c>
      <c r="G27" s="47"/>
      <c r="H27" s="47"/>
      <c r="I27" s="47"/>
      <c r="J27" s="47"/>
      <c r="K27" s="47"/>
      <c r="L27" s="47"/>
      <c r="M27" s="47"/>
      <c r="N27" s="25">
        <f t="shared" si="3"/>
        <v>2.5769455747848107</v>
      </c>
      <c r="O27" s="57"/>
      <c r="P27" s="60"/>
    </row>
    <row r="28" spans="1:16" s="8" customFormat="1" ht="33.6" customHeight="1" x14ac:dyDescent="0.2">
      <c r="A28" s="35" t="s">
        <v>12</v>
      </c>
      <c r="B28" s="37">
        <f t="shared" ref="B28:F28" si="5">+(B$26*B$27)/1000</f>
        <v>9.415530918249653E-4</v>
      </c>
      <c r="C28" s="37">
        <f t="shared" si="5"/>
        <v>0</v>
      </c>
      <c r="D28" s="37">
        <f t="shared" si="5"/>
        <v>0</v>
      </c>
      <c r="E28" s="37">
        <f t="shared" si="5"/>
        <v>0</v>
      </c>
      <c r="F28" s="37">
        <f t="shared" si="5"/>
        <v>8.4505137912385076E-5</v>
      </c>
      <c r="G28" s="37"/>
      <c r="H28" s="37"/>
      <c r="I28" s="37"/>
      <c r="J28" s="37"/>
      <c r="K28" s="37"/>
      <c r="L28" s="37"/>
      <c r="M28" s="37"/>
      <c r="N28" s="25">
        <f t="shared" si="3"/>
        <v>2.0521164594747006E-4</v>
      </c>
      <c r="O28" s="57"/>
      <c r="P28" s="60"/>
    </row>
    <row r="29" spans="1:16" s="8" customFormat="1" ht="33.6" customHeight="1" x14ac:dyDescent="0.2">
      <c r="A29" s="35" t="s">
        <v>13</v>
      </c>
      <c r="B29" s="37">
        <f t="shared" ref="B29:F29" si="6">IFERROR((((B$6+B$7)/B$13)*$E$1),0)</f>
        <v>0.28011204481792717</v>
      </c>
      <c r="C29" s="37">
        <f t="shared" si="6"/>
        <v>0</v>
      </c>
      <c r="D29" s="37">
        <f t="shared" si="6"/>
        <v>0</v>
      </c>
      <c r="E29" s="37">
        <f t="shared" si="6"/>
        <v>0</v>
      </c>
      <c r="F29" s="37">
        <f t="shared" si="6"/>
        <v>0.14534883720930233</v>
      </c>
      <c r="G29" s="37"/>
      <c r="H29" s="37"/>
      <c r="I29" s="37"/>
      <c r="J29" s="37"/>
      <c r="K29" s="37"/>
      <c r="L29" s="37"/>
      <c r="M29" s="37"/>
      <c r="N29" s="25">
        <f t="shared" si="3"/>
        <v>8.5092176405445905E-2</v>
      </c>
      <c r="O29" s="57"/>
      <c r="P29" s="60"/>
    </row>
    <row r="30" spans="1:16" s="8" customFormat="1" ht="55.5" customHeight="1" x14ac:dyDescent="0.2">
      <c r="A30" s="53" t="s">
        <v>103</v>
      </c>
      <c r="B30" s="37">
        <f>IFERROR(((B$12/B$13)*$E$1),0)</f>
        <v>0.70028011204481799</v>
      </c>
      <c r="C30" s="37">
        <f t="shared" ref="C30:F30" si="7">IFERROR(((C$12/C$13)*$E$1),0)</f>
        <v>0</v>
      </c>
      <c r="D30" s="37">
        <f t="shared" si="7"/>
        <v>0</v>
      </c>
      <c r="E30" s="37">
        <f t="shared" si="7"/>
        <v>0</v>
      </c>
      <c r="F30" s="37">
        <f t="shared" si="7"/>
        <v>0</v>
      </c>
      <c r="G30" s="37"/>
      <c r="H30" s="37"/>
      <c r="I30" s="37"/>
      <c r="J30" s="37"/>
      <c r="K30" s="37"/>
      <c r="L30" s="37"/>
      <c r="M30" s="37"/>
      <c r="N30" s="25">
        <f t="shared" si="3"/>
        <v>0.14005602240896359</v>
      </c>
      <c r="O30" s="57"/>
      <c r="P30" s="60"/>
    </row>
    <row r="31" spans="1:16" s="8" customFormat="1" ht="55.5" customHeight="1" x14ac:dyDescent="0.2">
      <c r="A31" s="53" t="s">
        <v>101</v>
      </c>
      <c r="B31" s="37">
        <f>IFERROR(((B$8/B$13)*$E$1),0)</f>
        <v>0.42016806722689076</v>
      </c>
      <c r="C31" s="37">
        <f>IFERROR(((C$8/C$13)*$E$1),0)</f>
        <v>0.84151472650771386</v>
      </c>
      <c r="D31" s="37">
        <f>IFERROR(((D$8/D$13)*$E$1),0)</f>
        <v>1.2893982808022924</v>
      </c>
      <c r="E31" s="37">
        <f t="shared" ref="E31:N32" si="8">IFERROR(((E$8/E$13)*$E$1),0)</f>
        <v>0.9859154929577465</v>
      </c>
      <c r="F31" s="37">
        <f t="shared" si="8"/>
        <v>1.4534883720930232</v>
      </c>
      <c r="G31" s="37"/>
      <c r="H31" s="37"/>
      <c r="I31" s="37"/>
      <c r="J31" s="37"/>
      <c r="K31" s="37"/>
      <c r="L31" s="37"/>
      <c r="M31" s="37"/>
      <c r="N31" s="25">
        <f t="shared" si="8"/>
        <v>4.9673573658813508</v>
      </c>
      <c r="O31" s="57"/>
      <c r="P31" s="60"/>
    </row>
    <row r="32" spans="1:16" s="8" customFormat="1" ht="54" customHeight="1" x14ac:dyDescent="0.2">
      <c r="A32" s="53" t="s">
        <v>102</v>
      </c>
      <c r="B32" s="37">
        <f>IFERROR(((B$9/B$13)*$E$1),0)</f>
        <v>0.56022408963585435</v>
      </c>
      <c r="C32" s="37">
        <f t="shared" ref="C32:F32" si="9">IFERROR(((C$9/C$13)*$E$1),0)</f>
        <v>0.14025245441795231</v>
      </c>
      <c r="D32" s="37">
        <f t="shared" si="9"/>
        <v>0.14326647564469913</v>
      </c>
      <c r="E32" s="37">
        <f t="shared" si="9"/>
        <v>0.14084507042253522</v>
      </c>
      <c r="F32" s="37">
        <f t="shared" si="9"/>
        <v>0</v>
      </c>
      <c r="G32" s="37"/>
      <c r="H32" s="37"/>
      <c r="I32" s="37"/>
      <c r="J32" s="37"/>
      <c r="K32" s="37"/>
      <c r="L32" s="37"/>
      <c r="M32" s="37"/>
      <c r="N32" s="25">
        <f t="shared" si="8"/>
        <v>4.9673573658813508</v>
      </c>
      <c r="O32" s="57"/>
      <c r="P32" s="60"/>
    </row>
    <row r="33" spans="1:16" s="8" customFormat="1" ht="33.6" customHeight="1" x14ac:dyDescent="0.2">
      <c r="A33" s="35" t="s">
        <v>17</v>
      </c>
      <c r="B33" s="37">
        <f>IFERROR((((B$6+B$7)/B$13)*$E$1),0)</f>
        <v>0.28011204481792717</v>
      </c>
      <c r="C33" s="37">
        <f t="shared" ref="C33:F33" si="10">IFERROR((((C$6+C$7)/C$13)*$E$1),0)</f>
        <v>0</v>
      </c>
      <c r="D33" s="37">
        <f t="shared" si="10"/>
        <v>0</v>
      </c>
      <c r="E33" s="37">
        <f t="shared" si="10"/>
        <v>0</v>
      </c>
      <c r="F33" s="37">
        <f t="shared" si="10"/>
        <v>0.14534883720930233</v>
      </c>
      <c r="G33" s="37"/>
      <c r="H33" s="37"/>
      <c r="I33" s="37"/>
      <c r="J33" s="37"/>
      <c r="K33" s="37"/>
      <c r="L33" s="37"/>
      <c r="M33" s="37"/>
      <c r="N33" s="25">
        <f t="shared" si="3"/>
        <v>8.5092176405445905E-2</v>
      </c>
      <c r="O33" s="57"/>
      <c r="P33" s="60"/>
    </row>
    <row r="34" spans="1:16" s="8" customFormat="1" ht="33.6" customHeight="1" x14ac:dyDescent="0.2">
      <c r="A34" s="35" t="s">
        <v>41</v>
      </c>
      <c r="B34" s="37">
        <f>IFERROR(((B$15)/(B$6+B$7)*$K$2),0)</f>
        <v>0</v>
      </c>
      <c r="C34" s="37">
        <f t="shared" ref="C34:F34" si="11">IFERROR(((C$15)/(C$6+C$7)*$K$2),0)</f>
        <v>0</v>
      </c>
      <c r="D34" s="37">
        <f t="shared" si="11"/>
        <v>0</v>
      </c>
      <c r="E34" s="37">
        <f t="shared" si="11"/>
        <v>0</v>
      </c>
      <c r="F34" s="37">
        <f t="shared" si="11"/>
        <v>0</v>
      </c>
      <c r="G34" s="37"/>
      <c r="H34" s="37"/>
      <c r="I34" s="37"/>
      <c r="J34" s="37"/>
      <c r="K34" s="37"/>
      <c r="L34" s="37"/>
      <c r="M34" s="37"/>
      <c r="N34" s="25">
        <f t="shared" si="3"/>
        <v>0</v>
      </c>
      <c r="O34" s="57"/>
      <c r="P34" s="60"/>
    </row>
    <row r="35" spans="1:16" s="49" customFormat="1" ht="33.6" customHeight="1" x14ac:dyDescent="0.25">
      <c r="A35" s="36" t="s">
        <v>31</v>
      </c>
      <c r="B35" s="38">
        <v>2.3917000000000001E-3</v>
      </c>
      <c r="C35" s="38">
        <v>2.3917000000000001E-3</v>
      </c>
      <c r="D35" s="38">
        <v>2.3917000000000001E-3</v>
      </c>
      <c r="E35" s="38">
        <v>2.3917000000000001E-3</v>
      </c>
      <c r="F35" s="38">
        <v>2.3917000000000001E-3</v>
      </c>
      <c r="G35" s="38"/>
      <c r="H35" s="38"/>
      <c r="I35" s="38"/>
      <c r="J35" s="38"/>
      <c r="K35" s="38"/>
      <c r="L35" s="38"/>
      <c r="M35" s="38"/>
      <c r="N35" s="36"/>
      <c r="O35" s="58"/>
      <c r="P35" s="61"/>
    </row>
    <row r="36" spans="1:16" ht="63.6" customHeight="1" x14ac:dyDescent="0.2">
      <c r="A36" s="26" t="s">
        <v>38</v>
      </c>
      <c r="B36" s="41"/>
      <c r="C36" s="41"/>
      <c r="D36" s="41"/>
      <c r="E36" s="41"/>
      <c r="F36" s="41"/>
      <c r="G36" s="27"/>
      <c r="H36" s="27"/>
      <c r="I36" s="27"/>
      <c r="J36" s="27"/>
      <c r="K36" s="27"/>
      <c r="L36" s="27"/>
      <c r="M36" s="27"/>
      <c r="N36" s="27"/>
      <c r="O36" s="27"/>
      <c r="P36" s="27"/>
    </row>
    <row r="37" spans="1:16" ht="323.25" customHeight="1" x14ac:dyDescent="0.2">
      <c r="A37" s="28"/>
      <c r="B37" s="42"/>
      <c r="C37" s="42"/>
      <c r="D37" s="42"/>
      <c r="E37" s="42"/>
      <c r="F37" s="42"/>
      <c r="G37" s="29"/>
      <c r="H37" s="29"/>
      <c r="I37" s="29"/>
      <c r="J37" s="29"/>
      <c r="K37" s="29"/>
      <c r="L37" s="29"/>
      <c r="M37" s="29"/>
      <c r="N37" s="29"/>
      <c r="O37" s="29"/>
      <c r="P37" s="29"/>
    </row>
    <row r="38" spans="1:16" ht="53.25" customHeight="1" x14ac:dyDescent="0.2">
      <c r="A38" s="28"/>
      <c r="B38" s="42"/>
      <c r="C38" s="42"/>
      <c r="D38" s="42"/>
      <c r="E38" s="42"/>
      <c r="F38" s="42"/>
      <c r="G38" s="29"/>
      <c r="H38" s="29"/>
      <c r="I38" s="29"/>
      <c r="J38" s="29"/>
      <c r="K38" s="29"/>
      <c r="L38" s="29"/>
      <c r="M38" s="29"/>
      <c r="N38" s="29"/>
      <c r="O38" s="29"/>
      <c r="P38" s="29"/>
    </row>
    <row r="39" spans="1:16" ht="53.25" customHeight="1" x14ac:dyDescent="0.2">
      <c r="A39" s="28"/>
      <c r="B39" s="42"/>
      <c r="C39" s="42"/>
      <c r="D39" s="42"/>
      <c r="E39" s="42"/>
      <c r="F39" s="42"/>
      <c r="G39" s="29"/>
      <c r="H39" s="29"/>
      <c r="I39" s="29"/>
      <c r="J39" s="29"/>
      <c r="K39" s="29"/>
      <c r="L39" s="29"/>
      <c r="M39" s="29"/>
      <c r="N39" s="29"/>
      <c r="O39" s="29"/>
      <c r="P39" s="29"/>
    </row>
    <row r="40" spans="1:16" ht="53.25" customHeight="1" x14ac:dyDescent="0.2">
      <c r="A40" s="28"/>
      <c r="B40" s="42"/>
      <c r="C40" s="42"/>
      <c r="D40" s="42"/>
      <c r="E40" s="42"/>
      <c r="F40" s="42"/>
      <c r="G40" s="29"/>
      <c r="H40" s="29"/>
      <c r="I40" s="29"/>
      <c r="J40" s="29"/>
      <c r="K40" s="29"/>
      <c r="L40" s="29"/>
      <c r="M40" s="29"/>
      <c r="N40" s="29"/>
      <c r="O40" s="29"/>
      <c r="P40" s="29"/>
    </row>
    <row r="41" spans="1:16" ht="53.25" customHeight="1" x14ac:dyDescent="0.2">
      <c r="A41" s="28"/>
      <c r="B41" s="42"/>
      <c r="C41" s="42"/>
      <c r="D41" s="42"/>
      <c r="E41" s="42"/>
      <c r="F41" s="42"/>
      <c r="G41" s="29"/>
      <c r="H41" s="29"/>
      <c r="I41" s="29"/>
      <c r="J41" s="29"/>
      <c r="K41" s="29"/>
      <c r="L41" s="29"/>
      <c r="M41" s="29"/>
      <c r="N41" s="29"/>
      <c r="O41" s="29"/>
      <c r="P41" s="29"/>
    </row>
    <row r="42" spans="1:16" ht="53.25" customHeight="1" x14ac:dyDescent="0.2">
      <c r="A42" s="28"/>
      <c r="B42" s="42"/>
      <c r="C42" s="42"/>
      <c r="D42" s="42"/>
      <c r="E42" s="42"/>
      <c r="F42" s="42"/>
      <c r="G42" s="29"/>
      <c r="H42" s="29"/>
      <c r="I42" s="29"/>
      <c r="J42" s="29"/>
      <c r="K42" s="29"/>
      <c r="L42" s="29"/>
      <c r="M42" s="29"/>
      <c r="N42" s="29"/>
      <c r="O42" s="29"/>
      <c r="P42" s="29"/>
    </row>
    <row r="43" spans="1:16" ht="53.25" customHeight="1" x14ac:dyDescent="0.2">
      <c r="A43" s="28"/>
      <c r="B43" s="42"/>
      <c r="C43" s="42"/>
      <c r="D43" s="42"/>
      <c r="E43" s="42"/>
      <c r="F43" s="42"/>
      <c r="G43" s="29"/>
      <c r="H43" s="29"/>
      <c r="I43" s="29"/>
      <c r="J43" s="29"/>
      <c r="K43" s="29"/>
      <c r="L43" s="29"/>
      <c r="M43" s="29"/>
      <c r="N43" s="29"/>
      <c r="O43" s="29"/>
      <c r="P43" s="29"/>
    </row>
    <row r="44" spans="1:16" ht="53.25" customHeight="1" x14ac:dyDescent="0.2">
      <c r="A44" s="28"/>
      <c r="B44" s="42"/>
      <c r="C44" s="42"/>
      <c r="D44" s="42"/>
      <c r="E44" s="42"/>
      <c r="F44" s="42"/>
      <c r="G44" s="29"/>
      <c r="H44" s="29"/>
      <c r="I44" s="29"/>
      <c r="J44" s="29"/>
      <c r="K44" s="29"/>
      <c r="L44" s="29"/>
      <c r="M44" s="29"/>
      <c r="N44" s="29"/>
      <c r="O44" s="29"/>
      <c r="P44" s="29"/>
    </row>
    <row r="45" spans="1:16" ht="53.25" customHeight="1" x14ac:dyDescent="0.2">
      <c r="A45" s="28"/>
      <c r="B45" s="42"/>
      <c r="C45" s="42"/>
      <c r="D45" s="42"/>
      <c r="E45" s="42"/>
      <c r="F45" s="42"/>
      <c r="G45" s="29"/>
      <c r="H45" s="29"/>
      <c r="I45" s="29"/>
      <c r="J45" s="29"/>
      <c r="K45" s="29"/>
      <c r="L45" s="29"/>
      <c r="M45" s="29"/>
      <c r="N45" s="29"/>
      <c r="O45" s="29"/>
      <c r="P45" s="29"/>
    </row>
    <row r="46" spans="1:16" ht="53.25" customHeight="1" x14ac:dyDescent="0.2">
      <c r="A46" s="28"/>
      <c r="B46" s="42"/>
      <c r="C46" s="42"/>
      <c r="D46" s="42"/>
      <c r="E46" s="42"/>
      <c r="F46" s="42"/>
      <c r="G46" s="29"/>
      <c r="H46" s="29"/>
      <c r="I46" s="29"/>
      <c r="J46" s="29"/>
      <c r="K46" s="29"/>
      <c r="L46" s="29"/>
      <c r="M46" s="29"/>
      <c r="N46" s="29"/>
      <c r="O46" s="29"/>
      <c r="P46" s="29"/>
    </row>
    <row r="47" spans="1:16" ht="53.25" customHeight="1" x14ac:dyDescent="0.2">
      <c r="A47" s="28"/>
      <c r="B47" s="42"/>
      <c r="C47" s="42"/>
      <c r="D47" s="42"/>
      <c r="E47" s="42"/>
      <c r="F47" s="42"/>
      <c r="G47" s="29"/>
      <c r="H47" s="29"/>
      <c r="I47" s="29"/>
      <c r="J47" s="29"/>
      <c r="K47" s="29"/>
      <c r="L47" s="29"/>
      <c r="M47" s="29"/>
      <c r="N47" s="29"/>
      <c r="O47" s="29"/>
      <c r="P47" s="29"/>
    </row>
    <row r="48" spans="1:16" ht="43.15" customHeight="1" x14ac:dyDescent="0.2">
      <c r="A48" s="28"/>
      <c r="B48" s="42"/>
      <c r="C48" s="42"/>
      <c r="D48" s="42"/>
      <c r="E48" s="42"/>
      <c r="F48" s="42"/>
      <c r="G48" s="29"/>
      <c r="H48" s="29"/>
      <c r="I48" s="29"/>
      <c r="J48" s="29"/>
      <c r="K48" s="29"/>
      <c r="L48" s="29"/>
      <c r="M48" s="29"/>
      <c r="N48" s="29"/>
      <c r="O48" s="29"/>
      <c r="P48" s="29"/>
    </row>
    <row r="49" spans="1:15" s="10" customFormat="1" ht="17.25" customHeight="1" x14ac:dyDescent="0.25">
      <c r="A49" s="45" t="s">
        <v>16</v>
      </c>
      <c r="B49" s="62" t="s">
        <v>44</v>
      </c>
      <c r="C49" s="62"/>
      <c r="D49" s="62"/>
      <c r="E49" s="62"/>
      <c r="F49" s="62"/>
      <c r="G49" s="62"/>
      <c r="H49" s="62"/>
      <c r="I49" s="62" t="s">
        <v>55</v>
      </c>
      <c r="J49" s="62"/>
      <c r="K49" s="62"/>
      <c r="L49" s="62"/>
      <c r="M49" s="62"/>
      <c r="N49" s="9"/>
      <c r="O49" s="9"/>
    </row>
    <row r="50" spans="1:15" ht="138" customHeight="1" x14ac:dyDescent="0.2">
      <c r="A50" s="44" t="s">
        <v>0</v>
      </c>
      <c r="B50" s="54" t="s">
        <v>96</v>
      </c>
      <c r="C50" s="54"/>
      <c r="D50" s="54"/>
      <c r="E50" s="54"/>
      <c r="F50" s="54"/>
      <c r="G50" s="54"/>
      <c r="H50" s="54"/>
      <c r="I50" s="54" t="s">
        <v>97</v>
      </c>
      <c r="J50" s="54"/>
      <c r="K50" s="54"/>
      <c r="L50" s="54"/>
      <c r="M50" s="54"/>
      <c r="N50" s="13"/>
      <c r="O50" s="13"/>
    </row>
    <row r="51" spans="1:15" ht="135.6" customHeight="1" x14ac:dyDescent="0.2">
      <c r="A51" s="44" t="s">
        <v>1</v>
      </c>
      <c r="B51" s="54" t="s">
        <v>98</v>
      </c>
      <c r="C51" s="54"/>
      <c r="D51" s="54"/>
      <c r="E51" s="54"/>
      <c r="F51" s="54"/>
      <c r="G51" s="54"/>
      <c r="H51" s="54"/>
      <c r="I51" s="54" t="s">
        <v>99</v>
      </c>
      <c r="J51" s="54"/>
      <c r="K51" s="54"/>
      <c r="L51" s="54"/>
      <c r="M51" s="54"/>
      <c r="N51" s="13"/>
      <c r="O51" s="13"/>
    </row>
    <row r="52" spans="1:15" ht="159" customHeight="1" x14ac:dyDescent="0.2">
      <c r="A52" s="44" t="s">
        <v>2</v>
      </c>
      <c r="B52" s="54" t="s">
        <v>106</v>
      </c>
      <c r="C52" s="54"/>
      <c r="D52" s="54"/>
      <c r="E52" s="54"/>
      <c r="F52" s="54"/>
      <c r="G52" s="54"/>
      <c r="H52" s="54"/>
      <c r="I52" s="54" t="s">
        <v>100</v>
      </c>
      <c r="J52" s="54"/>
      <c r="K52" s="54"/>
      <c r="L52" s="54"/>
      <c r="M52" s="54"/>
      <c r="N52" s="13"/>
      <c r="O52" s="13"/>
    </row>
    <row r="53" spans="1:15" ht="150" customHeight="1" x14ac:dyDescent="0.2">
      <c r="A53" s="44" t="s">
        <v>3</v>
      </c>
      <c r="B53" s="54" t="s">
        <v>107</v>
      </c>
      <c r="C53" s="54"/>
      <c r="D53" s="54"/>
      <c r="E53" s="54"/>
      <c r="F53" s="54"/>
      <c r="G53" s="54"/>
      <c r="H53" s="54"/>
      <c r="I53" s="54" t="s">
        <v>100</v>
      </c>
      <c r="J53" s="54"/>
      <c r="K53" s="54"/>
      <c r="L53" s="54"/>
      <c r="M53" s="54"/>
      <c r="N53" s="13"/>
      <c r="O53" s="13"/>
    </row>
    <row r="54" spans="1:15" ht="154.5" customHeight="1" x14ac:dyDescent="0.2">
      <c r="A54" s="44" t="s">
        <v>4</v>
      </c>
      <c r="B54" s="54" t="s">
        <v>108</v>
      </c>
      <c r="C54" s="54"/>
      <c r="D54" s="54"/>
      <c r="E54" s="54"/>
      <c r="F54" s="54"/>
      <c r="G54" s="54"/>
      <c r="H54" s="54"/>
      <c r="I54" s="54" t="s">
        <v>100</v>
      </c>
      <c r="J54" s="54"/>
      <c r="K54" s="54"/>
      <c r="L54" s="54"/>
      <c r="M54" s="54"/>
      <c r="N54" s="13"/>
      <c r="O54" s="13"/>
    </row>
    <row r="55" spans="1:15" ht="92.45" customHeight="1" x14ac:dyDescent="0.2">
      <c r="A55" s="44" t="s">
        <v>5</v>
      </c>
      <c r="B55" s="54"/>
      <c r="C55" s="54"/>
      <c r="D55" s="54"/>
      <c r="E55" s="54"/>
      <c r="F55" s="54"/>
      <c r="G55" s="54"/>
      <c r="H55" s="54"/>
      <c r="I55" s="54"/>
      <c r="J55" s="54"/>
      <c r="K55" s="54"/>
      <c r="L55" s="54"/>
      <c r="M55" s="54"/>
      <c r="N55" s="13"/>
      <c r="O55" s="13"/>
    </row>
    <row r="56" spans="1:15" ht="88.9" customHeight="1" x14ac:dyDescent="0.2">
      <c r="A56" s="44" t="s">
        <v>6</v>
      </c>
      <c r="B56" s="54"/>
      <c r="C56" s="54"/>
      <c r="D56" s="54"/>
      <c r="E56" s="54"/>
      <c r="F56" s="54"/>
      <c r="G56" s="54"/>
      <c r="H56" s="54"/>
      <c r="I56" s="54"/>
      <c r="J56" s="54"/>
      <c r="K56" s="54"/>
      <c r="L56" s="54"/>
      <c r="M56" s="54"/>
      <c r="N56" s="13"/>
      <c r="O56" s="13"/>
    </row>
    <row r="57" spans="1:15" ht="78.75" customHeight="1" x14ac:dyDescent="0.2">
      <c r="A57" s="44" t="s">
        <v>7</v>
      </c>
      <c r="B57" s="54"/>
      <c r="C57" s="54"/>
      <c r="D57" s="54"/>
      <c r="E57" s="54"/>
      <c r="F57" s="54"/>
      <c r="G57" s="54"/>
      <c r="H57" s="54"/>
      <c r="I57" s="54"/>
      <c r="J57" s="54"/>
      <c r="K57" s="54"/>
      <c r="L57" s="54"/>
      <c r="M57" s="54"/>
      <c r="N57" s="13"/>
      <c r="O57" s="13"/>
    </row>
    <row r="58" spans="1:15" ht="79.5" customHeight="1" x14ac:dyDescent="0.2">
      <c r="A58" s="44" t="s">
        <v>8</v>
      </c>
      <c r="B58" s="54"/>
      <c r="C58" s="54"/>
      <c r="D58" s="54"/>
      <c r="E58" s="54"/>
      <c r="F58" s="54"/>
      <c r="G58" s="54"/>
      <c r="H58" s="54"/>
      <c r="I58" s="54"/>
      <c r="J58" s="54"/>
      <c r="K58" s="54"/>
      <c r="L58" s="54"/>
      <c r="M58" s="54"/>
      <c r="N58" s="13"/>
      <c r="O58" s="13"/>
    </row>
    <row r="59" spans="1:15" ht="89.25" customHeight="1" x14ac:dyDescent="0.2">
      <c r="A59" s="44" t="s">
        <v>9</v>
      </c>
      <c r="B59" s="54"/>
      <c r="C59" s="54"/>
      <c r="D59" s="54"/>
      <c r="E59" s="54"/>
      <c r="F59" s="54"/>
      <c r="G59" s="54"/>
      <c r="H59" s="54"/>
      <c r="I59" s="54"/>
      <c r="J59" s="54"/>
      <c r="K59" s="54"/>
      <c r="L59" s="54"/>
      <c r="M59" s="54"/>
      <c r="N59" s="13"/>
      <c r="O59" s="13"/>
    </row>
    <row r="60" spans="1:15" ht="97.5" customHeight="1" x14ac:dyDescent="0.2">
      <c r="A60" s="44" t="s">
        <v>10</v>
      </c>
      <c r="B60" s="54"/>
      <c r="C60" s="54"/>
      <c r="D60" s="54"/>
      <c r="E60" s="54"/>
      <c r="F60" s="54"/>
      <c r="G60" s="54"/>
      <c r="H60" s="54"/>
      <c r="I60" s="54"/>
      <c r="J60" s="54"/>
      <c r="K60" s="54"/>
      <c r="L60" s="54"/>
      <c r="M60" s="54"/>
      <c r="N60" s="13"/>
      <c r="O60" s="13"/>
    </row>
    <row r="61" spans="1:15" ht="96" customHeight="1" x14ac:dyDescent="0.2">
      <c r="A61" s="44" t="s">
        <v>11</v>
      </c>
      <c r="B61" s="54"/>
      <c r="C61" s="54"/>
      <c r="D61" s="54"/>
      <c r="E61" s="54"/>
      <c r="F61" s="54"/>
      <c r="G61" s="54"/>
      <c r="H61" s="54"/>
      <c r="I61" s="54"/>
      <c r="J61" s="54"/>
      <c r="K61" s="54"/>
      <c r="L61" s="54"/>
      <c r="M61" s="54"/>
      <c r="N61" s="13"/>
      <c r="O61" s="13"/>
    </row>
  </sheetData>
  <mergeCells count="29">
    <mergeCell ref="B59:H59"/>
    <mergeCell ref="I59:M59"/>
    <mergeCell ref="B56:H56"/>
    <mergeCell ref="I56:M56"/>
    <mergeCell ref="B57:H57"/>
    <mergeCell ref="I57:M57"/>
    <mergeCell ref="B58:H58"/>
    <mergeCell ref="I58:M58"/>
    <mergeCell ref="I53:M53"/>
    <mergeCell ref="B54:H54"/>
    <mergeCell ref="I54:M54"/>
    <mergeCell ref="B55:H55"/>
    <mergeCell ref="I55:M55"/>
    <mergeCell ref="B60:H60"/>
    <mergeCell ref="I60:M60"/>
    <mergeCell ref="B61:H61"/>
    <mergeCell ref="I61:M61"/>
    <mergeCell ref="A3:P3"/>
    <mergeCell ref="O5:O35"/>
    <mergeCell ref="P5:P35"/>
    <mergeCell ref="B49:H49"/>
    <mergeCell ref="I49:M49"/>
    <mergeCell ref="B50:H50"/>
    <mergeCell ref="I50:M50"/>
    <mergeCell ref="B51:H51"/>
    <mergeCell ref="I51:M51"/>
    <mergeCell ref="B52:H52"/>
    <mergeCell ref="I52:M52"/>
    <mergeCell ref="B53:H53"/>
  </mergeCells>
  <conditionalFormatting sqref="B28:M28">
    <cfRule type="cellIs" dxfId="11" priority="4" operator="greaterThan">
      <formula>0.002</formula>
    </cfRule>
    <cfRule type="cellIs" dxfId="10" priority="5" operator="greaterThan">
      <formula>0.003</formula>
    </cfRule>
    <cfRule type="cellIs" dxfId="9" priority="6" operator="greaterThan">
      <formula>0.002</formula>
    </cfRule>
  </conditionalFormatting>
  <pageMargins left="0.31496062992125984" right="0.31496062992125984" top="0.94488188976377963" bottom="0.74803149606299213" header="0.31496062992125984" footer="0.31496062992125984"/>
  <pageSetup scale="41" orientation="landscape" r:id="rId1"/>
  <headerFooter>
    <oddHeader>&amp;L&amp;G&amp;R&amp;G</oddHeader>
  </headerFooter>
  <rowBreaks count="2" manualBreakCount="2">
    <brk id="25" max="14" man="1"/>
    <brk id="48" max="14" man="1"/>
  </rowBreaks>
  <colBreaks count="1" manualBreakCount="1">
    <brk id="16" max="1048575" man="1"/>
  </col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9B4C-F9BA-4C85-84E7-9780C0F69536}">
  <sheetPr>
    <tabColor rgb="FFFF0000"/>
  </sheetPr>
  <dimension ref="A1:AG48"/>
  <sheetViews>
    <sheetView tabSelected="1" topLeftCell="A2" zoomScale="90" zoomScaleNormal="90" workbookViewId="0">
      <selection activeCell="B2" sqref="B2"/>
    </sheetView>
  </sheetViews>
  <sheetFormatPr baseColWidth="10" defaultRowHeight="15" x14ac:dyDescent="0.25"/>
  <cols>
    <col min="1" max="1" width="17.140625" style="6" customWidth="1"/>
    <col min="2" max="2" width="24.42578125" style="6" customWidth="1"/>
    <col min="3" max="3" width="17.42578125" style="132" customWidth="1"/>
    <col min="4" max="4" width="14.42578125" style="133" customWidth="1"/>
    <col min="5" max="5" width="14.42578125" style="11" customWidth="1"/>
    <col min="6" max="6" width="18.42578125" style="4" customWidth="1"/>
    <col min="7" max="7" width="36.5703125" style="11" customWidth="1"/>
    <col min="8" max="8" width="16.28515625" style="11" customWidth="1"/>
    <col min="9" max="9" width="30.140625" style="11" customWidth="1"/>
    <col min="10" max="10" width="19" style="6" customWidth="1"/>
    <col min="11" max="11" width="20.28515625" style="6" customWidth="1"/>
    <col min="12" max="16" width="16" style="12" customWidth="1"/>
    <col min="17" max="17" width="35.140625" style="12" customWidth="1"/>
    <col min="18" max="20" width="15.7109375" style="12" customWidth="1"/>
    <col min="21" max="21" width="18.85546875" style="12" customWidth="1"/>
    <col min="22" max="25" width="11.42578125" style="12"/>
    <col min="26" max="27" width="15" style="12" customWidth="1"/>
    <col min="28" max="28" width="31.28515625" style="12" customWidth="1"/>
    <col min="29" max="29" width="14.85546875" style="12" customWidth="1"/>
    <col min="30" max="30" width="17.28515625" style="12" customWidth="1"/>
    <col min="31" max="31" width="18.28515625" customWidth="1"/>
    <col min="32" max="32" width="20.7109375" customWidth="1"/>
    <col min="33" max="33" width="20.140625" style="6" customWidth="1"/>
  </cols>
  <sheetData>
    <row r="1" spans="1:33" ht="127.5" x14ac:dyDescent="0.25">
      <c r="A1" s="137" t="s">
        <v>150</v>
      </c>
      <c r="B1" s="125" t="s">
        <v>56</v>
      </c>
      <c r="C1" s="137" t="s">
        <v>203</v>
      </c>
      <c r="D1" s="125" t="s">
        <v>204</v>
      </c>
      <c r="E1" s="125" t="s">
        <v>59</v>
      </c>
      <c r="F1" s="125" t="s">
        <v>205</v>
      </c>
      <c r="G1" s="125" t="s">
        <v>247</v>
      </c>
      <c r="H1" s="125" t="s">
        <v>290</v>
      </c>
      <c r="I1" s="125" t="s">
        <v>57</v>
      </c>
      <c r="J1" s="125" t="s">
        <v>330</v>
      </c>
      <c r="K1" s="137" t="s">
        <v>472</v>
      </c>
      <c r="L1" s="125" t="s">
        <v>332</v>
      </c>
      <c r="M1" s="125" t="s">
        <v>333</v>
      </c>
      <c r="N1" s="125" t="s">
        <v>334</v>
      </c>
      <c r="O1" s="125" t="s">
        <v>335</v>
      </c>
      <c r="P1" s="125" t="s">
        <v>336</v>
      </c>
      <c r="Q1" s="125" t="s">
        <v>337</v>
      </c>
      <c r="R1" s="125" t="s">
        <v>387</v>
      </c>
      <c r="S1" s="125" t="s">
        <v>389</v>
      </c>
      <c r="T1" s="125" t="s">
        <v>388</v>
      </c>
      <c r="U1" s="125" t="s">
        <v>390</v>
      </c>
      <c r="V1" s="125" t="s">
        <v>391</v>
      </c>
      <c r="W1" s="125" t="s">
        <v>392</v>
      </c>
      <c r="X1" s="125" t="s">
        <v>60</v>
      </c>
      <c r="Y1" s="125" t="s">
        <v>61</v>
      </c>
      <c r="Z1" s="125" t="s">
        <v>393</v>
      </c>
      <c r="AA1" s="125" t="s">
        <v>394</v>
      </c>
      <c r="AB1" s="125" t="s">
        <v>337</v>
      </c>
      <c r="AC1" s="125" t="s">
        <v>465</v>
      </c>
      <c r="AD1" s="125" t="s">
        <v>466</v>
      </c>
      <c r="AE1" s="125" t="s">
        <v>473</v>
      </c>
      <c r="AF1" s="125" t="s">
        <v>474</v>
      </c>
      <c r="AG1" s="125" t="s">
        <v>58</v>
      </c>
    </row>
    <row r="2" spans="1:33" ht="180" x14ac:dyDescent="0.25">
      <c r="A2" s="126">
        <f>[4]report!A69</f>
        <v>46024.270833333299</v>
      </c>
      <c r="B2" s="126" t="s">
        <v>155</v>
      </c>
      <c r="C2" s="132">
        <v>46023</v>
      </c>
      <c r="D2" s="133">
        <v>0.70833333333333337</v>
      </c>
      <c r="E2" s="11" t="s">
        <v>157</v>
      </c>
      <c r="F2" s="4" t="s">
        <v>206</v>
      </c>
      <c r="G2" s="11" t="s">
        <v>248</v>
      </c>
      <c r="H2" s="11" t="s">
        <v>291</v>
      </c>
      <c r="I2" s="11" t="s">
        <v>69</v>
      </c>
      <c r="J2" s="126" t="s">
        <v>62</v>
      </c>
      <c r="K2" s="131">
        <v>46029</v>
      </c>
      <c r="L2" s="12" t="s">
        <v>63</v>
      </c>
      <c r="M2" s="12" t="s">
        <v>339</v>
      </c>
      <c r="N2" s="12" t="s">
        <v>63</v>
      </c>
      <c r="O2" s="12" t="s">
        <v>63</v>
      </c>
      <c r="P2" s="12" t="s">
        <v>63</v>
      </c>
      <c r="Q2" s="12" t="s">
        <v>340</v>
      </c>
      <c r="R2" s="12" t="s">
        <v>338</v>
      </c>
      <c r="S2" s="12" t="s">
        <v>338</v>
      </c>
      <c r="T2" s="12" t="s">
        <v>476</v>
      </c>
      <c r="U2" s="12" t="s">
        <v>66</v>
      </c>
      <c r="V2" s="12" t="s">
        <v>395</v>
      </c>
      <c r="W2" s="12" t="s">
        <v>396</v>
      </c>
      <c r="X2" s="12" t="s">
        <v>397</v>
      </c>
      <c r="Y2" s="12" t="s">
        <v>398</v>
      </c>
      <c r="Z2" s="12" t="s">
        <v>399</v>
      </c>
      <c r="AA2" s="12" t="s">
        <v>483</v>
      </c>
      <c r="AB2" s="12" t="s">
        <v>340</v>
      </c>
      <c r="AC2" s="12" t="s">
        <v>71</v>
      </c>
      <c r="AD2" s="12" t="s">
        <v>467</v>
      </c>
      <c r="AE2" s="135">
        <f>A2-C2</f>
        <v>1.2708333332993789</v>
      </c>
      <c r="AF2" s="135">
        <f>A2-K2</f>
        <v>-4.7291666667006211</v>
      </c>
      <c r="AG2" s="6" t="s">
        <v>481</v>
      </c>
    </row>
    <row r="3" spans="1:33" ht="105" x14ac:dyDescent="0.25">
      <c r="A3" s="127">
        <f>[4]report!A72</f>
        <v>46037.278761574104</v>
      </c>
      <c r="B3" s="127" t="s">
        <v>76</v>
      </c>
      <c r="C3" s="132">
        <v>46035</v>
      </c>
      <c r="D3" s="133">
        <v>0.70833333333333337</v>
      </c>
      <c r="E3" s="11" t="s">
        <v>158</v>
      </c>
      <c r="F3" s="4" t="s">
        <v>207</v>
      </c>
      <c r="G3" s="11" t="s">
        <v>249</v>
      </c>
      <c r="H3" s="11" t="s">
        <v>292</v>
      </c>
      <c r="I3" s="11" t="s">
        <v>69</v>
      </c>
      <c r="J3" s="127" t="s">
        <v>63</v>
      </c>
      <c r="K3" s="131">
        <v>46062</v>
      </c>
      <c r="L3" s="12" t="s">
        <v>63</v>
      </c>
      <c r="M3" s="12" t="s">
        <v>63</v>
      </c>
      <c r="N3" s="12" t="s">
        <v>63</v>
      </c>
      <c r="O3" s="12" t="s">
        <v>63</v>
      </c>
      <c r="P3" s="12" t="s">
        <v>341</v>
      </c>
      <c r="Q3" s="12" t="s">
        <v>342</v>
      </c>
      <c r="R3" s="12" t="s">
        <v>338</v>
      </c>
      <c r="S3" s="12" t="s">
        <v>338</v>
      </c>
      <c r="T3" s="12" t="s">
        <v>476</v>
      </c>
      <c r="U3" s="12" t="s">
        <v>66</v>
      </c>
      <c r="V3" s="12" t="s">
        <v>400</v>
      </c>
      <c r="W3" s="12" t="s">
        <v>320</v>
      </c>
      <c r="X3" s="12" t="s">
        <v>53</v>
      </c>
      <c r="Y3" s="12" t="s">
        <v>401</v>
      </c>
      <c r="Z3" s="12" t="s">
        <v>402</v>
      </c>
      <c r="AA3" s="12" t="s">
        <v>403</v>
      </c>
      <c r="AB3" s="12" t="s">
        <v>342</v>
      </c>
      <c r="AC3" s="12" t="s">
        <v>64</v>
      </c>
      <c r="AD3" s="12" t="s">
        <v>468</v>
      </c>
      <c r="AE3" s="135">
        <f t="shared" ref="AE3:AE48" si="0">A3-C3</f>
        <v>2.2787615741035552</v>
      </c>
      <c r="AF3" s="135">
        <f t="shared" ref="AF3:AF48" si="1">A3-K3</f>
        <v>-24.721238425896445</v>
      </c>
      <c r="AG3" s="6" t="s">
        <v>481</v>
      </c>
    </row>
    <row r="4" spans="1:33" ht="60" x14ac:dyDescent="0.25">
      <c r="A4" s="127">
        <f>[4]report!A73</f>
        <v>46037.300127314797</v>
      </c>
      <c r="B4" s="127" t="s">
        <v>76</v>
      </c>
      <c r="C4" s="132">
        <v>46036</v>
      </c>
      <c r="D4" s="133" t="s">
        <v>159</v>
      </c>
      <c r="E4" s="11" t="s">
        <v>160</v>
      </c>
      <c r="F4" s="4" t="s">
        <v>208</v>
      </c>
      <c r="G4" s="11" t="s">
        <v>250</v>
      </c>
      <c r="H4" s="11" t="s">
        <v>293</v>
      </c>
      <c r="I4" s="11" t="s">
        <v>69</v>
      </c>
      <c r="J4" s="127" t="s">
        <v>63</v>
      </c>
      <c r="K4" s="131">
        <v>46050</v>
      </c>
      <c r="L4" s="12" t="s">
        <v>63</v>
      </c>
      <c r="M4" s="12" t="s">
        <v>63</v>
      </c>
      <c r="N4" s="12" t="s">
        <v>63</v>
      </c>
      <c r="O4" s="12" t="s">
        <v>63</v>
      </c>
      <c r="P4" s="12" t="s">
        <v>343</v>
      </c>
      <c r="Q4" s="12" t="s">
        <v>342</v>
      </c>
      <c r="R4" s="12" t="s">
        <v>338</v>
      </c>
      <c r="S4" s="12" t="s">
        <v>338</v>
      </c>
      <c r="T4" s="12" t="s">
        <v>476</v>
      </c>
      <c r="U4" s="12" t="s">
        <v>66</v>
      </c>
      <c r="V4" s="12" t="s">
        <v>400</v>
      </c>
      <c r="W4" s="12" t="s">
        <v>320</v>
      </c>
      <c r="X4" s="12" t="s">
        <v>53</v>
      </c>
      <c r="Y4" s="12" t="s">
        <v>401</v>
      </c>
      <c r="Z4" s="12" t="s">
        <v>402</v>
      </c>
      <c r="AA4" s="12" t="s">
        <v>403</v>
      </c>
      <c r="AB4" s="12" t="s">
        <v>342</v>
      </c>
      <c r="AC4" s="12" t="s">
        <v>64</v>
      </c>
      <c r="AD4" s="12" t="s">
        <v>468</v>
      </c>
      <c r="AE4" s="135">
        <f t="shared" si="0"/>
        <v>1.3001273147965549</v>
      </c>
      <c r="AF4" s="135">
        <f t="shared" si="1"/>
        <v>-12.699872685203445</v>
      </c>
      <c r="AG4" s="6" t="s">
        <v>481</v>
      </c>
    </row>
    <row r="5" spans="1:33" ht="255" x14ac:dyDescent="0.25">
      <c r="A5" s="127">
        <f>[4]report!A74</f>
        <v>46042.554270833301</v>
      </c>
      <c r="B5" s="127" t="s">
        <v>156</v>
      </c>
      <c r="C5" s="132">
        <v>46037</v>
      </c>
      <c r="D5" s="133" t="s">
        <v>161</v>
      </c>
      <c r="E5" s="11" t="s">
        <v>157</v>
      </c>
      <c r="F5" s="4" t="s">
        <v>209</v>
      </c>
      <c r="G5" s="11" t="s">
        <v>251</v>
      </c>
      <c r="H5" s="11" t="s">
        <v>294</v>
      </c>
      <c r="I5" s="11" t="s">
        <v>49</v>
      </c>
      <c r="J5" s="127" t="s">
        <v>62</v>
      </c>
      <c r="K5" s="131">
        <v>46056</v>
      </c>
      <c r="L5" s="12" t="s">
        <v>63</v>
      </c>
      <c r="M5" s="12" t="s">
        <v>63</v>
      </c>
      <c r="N5" s="12" t="s">
        <v>344</v>
      </c>
      <c r="O5" s="12" t="s">
        <v>63</v>
      </c>
      <c r="P5" s="12" t="s">
        <v>63</v>
      </c>
      <c r="Q5" s="12" t="s">
        <v>65</v>
      </c>
      <c r="R5" s="12" t="s">
        <v>477</v>
      </c>
      <c r="S5" s="12" t="s">
        <v>477</v>
      </c>
      <c r="T5" s="12" t="s">
        <v>476</v>
      </c>
      <c r="U5" s="12" t="s">
        <v>66</v>
      </c>
      <c r="V5" s="12" t="s">
        <v>400</v>
      </c>
      <c r="W5" s="12" t="s">
        <v>396</v>
      </c>
      <c r="X5" s="12" t="s">
        <v>53</v>
      </c>
      <c r="Y5" s="12" t="s">
        <v>404</v>
      </c>
      <c r="Z5" s="12" t="s">
        <v>402</v>
      </c>
      <c r="AA5" s="12" t="s">
        <v>405</v>
      </c>
      <c r="AB5" s="12" t="s">
        <v>65</v>
      </c>
      <c r="AC5" s="12" t="s">
        <v>64</v>
      </c>
      <c r="AD5" s="12" t="s">
        <v>468</v>
      </c>
      <c r="AE5" s="135">
        <f t="shared" si="0"/>
        <v>5.5542708333014161</v>
      </c>
      <c r="AF5" s="135">
        <f t="shared" si="1"/>
        <v>-13.445729166698584</v>
      </c>
      <c r="AG5" s="6" t="s">
        <v>479</v>
      </c>
    </row>
    <row r="6" spans="1:33" ht="120" x14ac:dyDescent="0.25">
      <c r="A6" s="127">
        <v>46059.5836921296</v>
      </c>
      <c r="B6" s="127" t="s">
        <v>151</v>
      </c>
      <c r="C6" s="132">
        <v>46048</v>
      </c>
      <c r="D6" s="133" t="s">
        <v>162</v>
      </c>
      <c r="E6" s="11" t="s">
        <v>163</v>
      </c>
      <c r="F6" s="4" t="s">
        <v>210</v>
      </c>
      <c r="G6" s="11" t="s">
        <v>252</v>
      </c>
      <c r="H6" s="11" t="s">
        <v>295</v>
      </c>
      <c r="I6" s="11" t="s">
        <v>325</v>
      </c>
      <c r="J6" s="127" t="s">
        <v>62</v>
      </c>
      <c r="K6" s="131">
        <v>46069</v>
      </c>
      <c r="L6" s="12" t="s">
        <v>63</v>
      </c>
      <c r="M6" s="12" t="s">
        <v>63</v>
      </c>
      <c r="N6" s="12" t="s">
        <v>63</v>
      </c>
      <c r="O6" s="12" t="s">
        <v>63</v>
      </c>
      <c r="P6" s="12" t="s">
        <v>345</v>
      </c>
      <c r="Q6" s="12" t="s">
        <v>342</v>
      </c>
      <c r="R6" s="12" t="s">
        <v>338</v>
      </c>
      <c r="S6" s="12" t="s">
        <v>338</v>
      </c>
      <c r="T6" s="12" t="s">
        <v>476</v>
      </c>
      <c r="U6" s="12" t="s">
        <v>66</v>
      </c>
      <c r="V6" s="12" t="s">
        <v>400</v>
      </c>
      <c r="W6" s="12" t="s">
        <v>320</v>
      </c>
      <c r="X6" s="12" t="s">
        <v>53</v>
      </c>
      <c r="Y6" s="12" t="s">
        <v>406</v>
      </c>
      <c r="Z6" s="12" t="s">
        <v>402</v>
      </c>
      <c r="AA6" s="12" t="s">
        <v>403</v>
      </c>
      <c r="AB6" s="12" t="s">
        <v>342</v>
      </c>
      <c r="AC6" s="12" t="s">
        <v>64</v>
      </c>
      <c r="AD6" s="12" t="s">
        <v>468</v>
      </c>
      <c r="AE6" s="135">
        <f t="shared" si="0"/>
        <v>11.583692129599513</v>
      </c>
      <c r="AF6" s="135">
        <f t="shared" si="1"/>
        <v>-9.4163078704004874</v>
      </c>
      <c r="AG6" s="6" t="s">
        <v>481</v>
      </c>
    </row>
    <row r="7" spans="1:33" ht="60" x14ac:dyDescent="0.25">
      <c r="A7" s="127">
        <v>46056.427546296298</v>
      </c>
      <c r="B7" s="127" t="s">
        <v>475</v>
      </c>
      <c r="C7" s="132">
        <v>46055</v>
      </c>
      <c r="D7" s="133" t="s">
        <v>164</v>
      </c>
      <c r="E7" s="11" t="s">
        <v>163</v>
      </c>
      <c r="F7" s="4" t="s">
        <v>211</v>
      </c>
      <c r="G7" s="11" t="s">
        <v>253</v>
      </c>
      <c r="H7" s="11" t="s">
        <v>296</v>
      </c>
      <c r="I7" s="11" t="s">
        <v>69</v>
      </c>
      <c r="J7" s="127" t="s">
        <v>53</v>
      </c>
      <c r="K7" s="131">
        <v>46059</v>
      </c>
      <c r="L7" s="12" t="s">
        <v>63</v>
      </c>
      <c r="M7" s="12" t="s">
        <v>63</v>
      </c>
      <c r="N7" s="12" t="s">
        <v>63</v>
      </c>
      <c r="O7" s="12" t="s">
        <v>63</v>
      </c>
      <c r="P7" s="12" t="s">
        <v>346</v>
      </c>
      <c r="Q7" s="12" t="s">
        <v>342</v>
      </c>
      <c r="R7" s="12" t="s">
        <v>338</v>
      </c>
      <c r="S7" s="12" t="s">
        <v>338</v>
      </c>
      <c r="T7" s="12" t="s">
        <v>476</v>
      </c>
      <c r="U7" s="12" t="s">
        <v>66</v>
      </c>
      <c r="V7" s="12" t="s">
        <v>400</v>
      </c>
      <c r="W7" s="12" t="s">
        <v>320</v>
      </c>
      <c r="X7" s="12" t="s">
        <v>53</v>
      </c>
      <c r="Y7" s="12" t="s">
        <v>401</v>
      </c>
      <c r="Z7" s="12" t="s">
        <v>402</v>
      </c>
      <c r="AA7" s="12" t="s">
        <v>403</v>
      </c>
      <c r="AB7" s="12" t="s">
        <v>342</v>
      </c>
      <c r="AC7" s="12" t="s">
        <v>64</v>
      </c>
      <c r="AD7" s="12" t="s">
        <v>468</v>
      </c>
      <c r="AE7" s="135">
        <f t="shared" si="0"/>
        <v>1.4275462962978054</v>
      </c>
      <c r="AF7" s="135">
        <f t="shared" si="1"/>
        <v>-2.5724537037021946</v>
      </c>
      <c r="AG7" s="6" t="s">
        <v>481</v>
      </c>
    </row>
    <row r="8" spans="1:33" ht="240" x14ac:dyDescent="0.25">
      <c r="A8" s="127">
        <v>46064.624918981499</v>
      </c>
      <c r="B8" s="127" t="s">
        <v>475</v>
      </c>
      <c r="C8" s="132">
        <v>46064</v>
      </c>
      <c r="D8" s="133" t="s">
        <v>165</v>
      </c>
      <c r="E8" s="11" t="s">
        <v>160</v>
      </c>
      <c r="F8" s="4" t="s">
        <v>212</v>
      </c>
      <c r="G8" s="11" t="s">
        <v>254</v>
      </c>
      <c r="H8" s="11" t="s">
        <v>70</v>
      </c>
      <c r="I8" s="11" t="s">
        <v>86</v>
      </c>
      <c r="J8" s="127" t="s">
        <v>62</v>
      </c>
      <c r="K8" s="131">
        <v>46065</v>
      </c>
      <c r="L8" s="12" t="s">
        <v>63</v>
      </c>
      <c r="M8" s="12" t="s">
        <v>63</v>
      </c>
      <c r="N8" s="12" t="s">
        <v>63</v>
      </c>
      <c r="O8" s="12" t="s">
        <v>63</v>
      </c>
      <c r="P8" s="12" t="s">
        <v>347</v>
      </c>
      <c r="Q8" s="12" t="s">
        <v>342</v>
      </c>
      <c r="R8" s="12" t="s">
        <v>338</v>
      </c>
      <c r="S8" s="12" t="s">
        <v>338</v>
      </c>
      <c r="T8" s="12" t="s">
        <v>476</v>
      </c>
      <c r="U8" s="12" t="s">
        <v>66</v>
      </c>
      <c r="V8" s="12" t="s">
        <v>400</v>
      </c>
      <c r="W8" s="12" t="s">
        <v>320</v>
      </c>
      <c r="X8" s="12" t="s">
        <v>53</v>
      </c>
      <c r="Y8" s="12" t="s">
        <v>407</v>
      </c>
      <c r="Z8" s="12" t="s">
        <v>402</v>
      </c>
      <c r="AA8" s="12" t="s">
        <v>403</v>
      </c>
      <c r="AB8" s="12" t="s">
        <v>342</v>
      </c>
      <c r="AC8" s="12" t="s">
        <v>64</v>
      </c>
      <c r="AD8" s="12" t="s">
        <v>468</v>
      </c>
      <c r="AE8" s="135">
        <f t="shared" si="0"/>
        <v>0.62491898149892222</v>
      </c>
      <c r="AF8" s="135">
        <f t="shared" si="1"/>
        <v>-0.37508101850107778</v>
      </c>
      <c r="AG8" s="6" t="s">
        <v>481</v>
      </c>
    </row>
    <row r="9" spans="1:33" ht="135" x14ac:dyDescent="0.25">
      <c r="A9" s="127">
        <v>46066.443171296298</v>
      </c>
      <c r="B9" s="127" t="s">
        <v>152</v>
      </c>
      <c r="C9" s="132">
        <v>46065</v>
      </c>
      <c r="D9" s="133" t="s">
        <v>166</v>
      </c>
      <c r="E9" s="11" t="s">
        <v>157</v>
      </c>
      <c r="F9" s="4" t="s">
        <v>213</v>
      </c>
      <c r="G9" s="11" t="s">
        <v>255</v>
      </c>
      <c r="H9" s="11" t="s">
        <v>297</v>
      </c>
      <c r="I9" s="11" t="s">
        <v>326</v>
      </c>
      <c r="J9" s="127" t="s">
        <v>62</v>
      </c>
      <c r="K9" s="131">
        <v>46070</v>
      </c>
      <c r="L9" s="12" t="s">
        <v>63</v>
      </c>
      <c r="M9" s="12" t="s">
        <v>63</v>
      </c>
      <c r="N9" s="12" t="s">
        <v>63</v>
      </c>
      <c r="O9" s="12" t="s">
        <v>63</v>
      </c>
      <c r="P9" s="12" t="s">
        <v>348</v>
      </c>
      <c r="Q9" s="12" t="s">
        <v>342</v>
      </c>
      <c r="R9" s="12" t="s">
        <v>338</v>
      </c>
      <c r="S9" s="12" t="s">
        <v>338</v>
      </c>
      <c r="T9" s="12" t="s">
        <v>476</v>
      </c>
      <c r="U9" s="12" t="s">
        <v>66</v>
      </c>
      <c r="V9" s="12" t="s">
        <v>400</v>
      </c>
      <c r="W9" s="12" t="s">
        <v>320</v>
      </c>
      <c r="X9" s="12" t="s">
        <v>53</v>
      </c>
      <c r="Y9" s="12" t="s">
        <v>408</v>
      </c>
      <c r="Z9" s="12" t="s">
        <v>402</v>
      </c>
      <c r="AA9" s="12" t="s">
        <v>403</v>
      </c>
      <c r="AB9" s="12" t="s">
        <v>342</v>
      </c>
      <c r="AC9" s="12" t="s">
        <v>64</v>
      </c>
      <c r="AD9" s="12" t="s">
        <v>468</v>
      </c>
      <c r="AE9" s="135">
        <f t="shared" si="0"/>
        <v>1.4431712962978054</v>
      </c>
      <c r="AF9" s="135">
        <f t="shared" si="1"/>
        <v>-3.5568287037021946</v>
      </c>
      <c r="AG9" s="6" t="s">
        <v>481</v>
      </c>
    </row>
    <row r="10" spans="1:33" ht="120" x14ac:dyDescent="0.25">
      <c r="A10" s="127">
        <v>46069.539386574099</v>
      </c>
      <c r="B10" s="127" t="s">
        <v>77</v>
      </c>
      <c r="C10" s="132">
        <v>46069</v>
      </c>
      <c r="D10" s="133" t="s">
        <v>167</v>
      </c>
      <c r="E10" s="11" t="s">
        <v>163</v>
      </c>
      <c r="F10" s="4" t="s">
        <v>214</v>
      </c>
      <c r="G10" s="11" t="s">
        <v>256</v>
      </c>
      <c r="H10" s="11" t="s">
        <v>298</v>
      </c>
      <c r="I10" s="11" t="s">
        <v>39</v>
      </c>
      <c r="J10" s="127" t="s">
        <v>63</v>
      </c>
      <c r="K10" s="131">
        <v>46070</v>
      </c>
      <c r="L10" s="12" t="s">
        <v>63</v>
      </c>
      <c r="M10" s="12" t="s">
        <v>63</v>
      </c>
      <c r="N10" s="12" t="s">
        <v>63</v>
      </c>
      <c r="O10" s="12" t="s">
        <v>63</v>
      </c>
      <c r="P10" s="12" t="s">
        <v>349</v>
      </c>
      <c r="Q10" s="12" t="s">
        <v>342</v>
      </c>
      <c r="R10" s="12" t="s">
        <v>338</v>
      </c>
      <c r="S10" s="12" t="s">
        <v>338</v>
      </c>
      <c r="T10" s="12" t="s">
        <v>476</v>
      </c>
      <c r="U10" s="12" t="s">
        <v>66</v>
      </c>
      <c r="V10" s="12" t="s">
        <v>400</v>
      </c>
      <c r="W10" s="12" t="s">
        <v>396</v>
      </c>
      <c r="X10" s="12" t="s">
        <v>53</v>
      </c>
      <c r="Y10" s="12" t="s">
        <v>409</v>
      </c>
      <c r="Z10" s="12" t="s">
        <v>402</v>
      </c>
      <c r="AA10" s="12" t="s">
        <v>403</v>
      </c>
      <c r="AB10" s="12" t="s">
        <v>342</v>
      </c>
      <c r="AC10" s="12" t="s">
        <v>64</v>
      </c>
      <c r="AD10" s="12" t="s">
        <v>468</v>
      </c>
      <c r="AE10" s="135">
        <f t="shared" si="0"/>
        <v>0.53938657409889856</v>
      </c>
      <c r="AF10" s="135">
        <f t="shared" si="1"/>
        <v>-0.46061342590110144</v>
      </c>
      <c r="AG10" s="6" t="s">
        <v>481</v>
      </c>
    </row>
    <row r="11" spans="1:33" ht="60" x14ac:dyDescent="0.25">
      <c r="A11" s="127">
        <v>46074.487094907403</v>
      </c>
      <c r="B11" s="127" t="s">
        <v>77</v>
      </c>
      <c r="C11" s="132">
        <v>46073</v>
      </c>
      <c r="D11" s="133" t="s">
        <v>168</v>
      </c>
      <c r="E11" s="11" t="s">
        <v>169</v>
      </c>
      <c r="F11" s="4" t="s">
        <v>215</v>
      </c>
      <c r="G11" s="11" t="s">
        <v>257</v>
      </c>
      <c r="H11" s="11" t="s">
        <v>299</v>
      </c>
      <c r="I11" s="11" t="s">
        <v>39</v>
      </c>
      <c r="J11" s="127" t="s">
        <v>62</v>
      </c>
      <c r="K11" s="131">
        <v>46073</v>
      </c>
      <c r="L11" s="12" t="s">
        <v>63</v>
      </c>
      <c r="M11" s="12" t="s">
        <v>63</v>
      </c>
      <c r="N11" s="12" t="s">
        <v>63</v>
      </c>
      <c r="O11" s="12" t="s">
        <v>63</v>
      </c>
      <c r="P11" s="12" t="s">
        <v>350</v>
      </c>
      <c r="Q11" s="12" t="s">
        <v>342</v>
      </c>
      <c r="R11" s="12" t="s">
        <v>338</v>
      </c>
      <c r="S11" s="12" t="s">
        <v>338</v>
      </c>
      <c r="T11" s="12" t="s">
        <v>476</v>
      </c>
      <c r="U11" s="12" t="s">
        <v>66</v>
      </c>
      <c r="V11" s="12" t="s">
        <v>400</v>
      </c>
      <c r="W11" s="12" t="s">
        <v>396</v>
      </c>
      <c r="X11" s="12" t="s">
        <v>410</v>
      </c>
      <c r="Y11" s="12" t="s">
        <v>401</v>
      </c>
      <c r="Z11" s="12" t="s">
        <v>402</v>
      </c>
      <c r="AA11" s="12" t="s">
        <v>411</v>
      </c>
      <c r="AB11" s="12" t="s">
        <v>342</v>
      </c>
      <c r="AC11" s="12" t="s">
        <v>64</v>
      </c>
      <c r="AD11" s="12" t="s">
        <v>468</v>
      </c>
      <c r="AE11" s="135">
        <f t="shared" si="0"/>
        <v>1.487094907402934</v>
      </c>
      <c r="AF11" s="135">
        <f t="shared" si="1"/>
        <v>1.487094907402934</v>
      </c>
      <c r="AG11" s="6" t="s">
        <v>481</v>
      </c>
    </row>
    <row r="12" spans="1:33" ht="105" x14ac:dyDescent="0.25">
      <c r="A12" s="127">
        <v>46078.658761574101</v>
      </c>
      <c r="B12" s="127" t="s">
        <v>77</v>
      </c>
      <c r="C12" s="132">
        <v>46078</v>
      </c>
      <c r="D12" s="133" t="s">
        <v>170</v>
      </c>
      <c r="E12" s="11" t="s">
        <v>160</v>
      </c>
      <c r="F12" s="4" t="s">
        <v>216</v>
      </c>
      <c r="G12" s="11" t="s">
        <v>258</v>
      </c>
      <c r="H12" s="11" t="s">
        <v>300</v>
      </c>
      <c r="I12" s="11" t="s">
        <v>48</v>
      </c>
      <c r="J12" s="127" t="s">
        <v>62</v>
      </c>
      <c r="K12" s="131">
        <v>46084</v>
      </c>
      <c r="L12" s="12" t="s">
        <v>63</v>
      </c>
      <c r="M12" s="12" t="s">
        <v>63</v>
      </c>
      <c r="N12" s="12" t="s">
        <v>63</v>
      </c>
      <c r="O12" s="12" t="s">
        <v>63</v>
      </c>
      <c r="P12" s="12" t="s">
        <v>351</v>
      </c>
      <c r="Q12" s="12" t="s">
        <v>342</v>
      </c>
      <c r="R12" s="12" t="s">
        <v>338</v>
      </c>
      <c r="S12" s="12" t="s">
        <v>338</v>
      </c>
      <c r="T12" s="12" t="s">
        <v>476</v>
      </c>
      <c r="U12" s="12" t="s">
        <v>66</v>
      </c>
      <c r="V12" s="12" t="s">
        <v>400</v>
      </c>
      <c r="W12" s="12" t="s">
        <v>320</v>
      </c>
      <c r="X12" s="12" t="s">
        <v>412</v>
      </c>
      <c r="Y12" s="12" t="s">
        <v>413</v>
      </c>
      <c r="Z12" s="12" t="s">
        <v>402</v>
      </c>
      <c r="AA12" s="12" t="s">
        <v>411</v>
      </c>
      <c r="AB12" s="12" t="s">
        <v>342</v>
      </c>
      <c r="AC12" s="12" t="s">
        <v>64</v>
      </c>
      <c r="AD12" s="12" t="s">
        <v>468</v>
      </c>
      <c r="AE12" s="135">
        <f t="shared" si="0"/>
        <v>0.65876157410093583</v>
      </c>
      <c r="AF12" s="135">
        <f t="shared" si="1"/>
        <v>-5.3412384258990642</v>
      </c>
      <c r="AG12" s="6" t="s">
        <v>481</v>
      </c>
    </row>
    <row r="13" spans="1:33" ht="60" x14ac:dyDescent="0.25">
      <c r="A13" s="127">
        <v>46079.649930555599</v>
      </c>
      <c r="B13" s="127" t="s">
        <v>77</v>
      </c>
      <c r="C13" s="132">
        <v>46079</v>
      </c>
      <c r="D13" s="133" t="s">
        <v>171</v>
      </c>
      <c r="E13" s="11" t="s">
        <v>157</v>
      </c>
      <c r="F13" s="4" t="s">
        <v>217</v>
      </c>
      <c r="G13" s="11" t="s">
        <v>259</v>
      </c>
      <c r="H13" s="11" t="s">
        <v>301</v>
      </c>
      <c r="I13" s="11" t="s">
        <v>39</v>
      </c>
      <c r="J13" s="127" t="s">
        <v>62</v>
      </c>
      <c r="K13" s="131">
        <v>46095</v>
      </c>
      <c r="L13" s="12" t="s">
        <v>63</v>
      </c>
      <c r="M13" s="12" t="s">
        <v>63</v>
      </c>
      <c r="N13" s="12" t="s">
        <v>63</v>
      </c>
      <c r="O13" s="12" t="s">
        <v>63</v>
      </c>
      <c r="P13" s="12" t="s">
        <v>352</v>
      </c>
      <c r="Q13" s="12" t="s">
        <v>342</v>
      </c>
      <c r="R13" s="12" t="s">
        <v>338</v>
      </c>
      <c r="S13" s="12" t="s">
        <v>338</v>
      </c>
      <c r="T13" s="12" t="s">
        <v>476</v>
      </c>
      <c r="U13" s="12" t="s">
        <v>66</v>
      </c>
      <c r="V13" s="12" t="s">
        <v>400</v>
      </c>
      <c r="W13" s="12" t="s">
        <v>320</v>
      </c>
      <c r="X13" s="12" t="s">
        <v>412</v>
      </c>
      <c r="Y13" s="12" t="s">
        <v>401</v>
      </c>
      <c r="Z13" s="12" t="s">
        <v>402</v>
      </c>
      <c r="AA13" s="12" t="s">
        <v>403</v>
      </c>
      <c r="AB13" s="12" t="s">
        <v>342</v>
      </c>
      <c r="AC13" s="12" t="s">
        <v>64</v>
      </c>
      <c r="AD13" s="12" t="s">
        <v>468</v>
      </c>
      <c r="AE13" s="135">
        <f t="shared" si="0"/>
        <v>0.64993055559898494</v>
      </c>
      <c r="AF13" s="135">
        <f t="shared" si="1"/>
        <v>-15.350069444401015</v>
      </c>
      <c r="AG13" s="6" t="s">
        <v>480</v>
      </c>
    </row>
    <row r="14" spans="1:33" ht="75" x14ac:dyDescent="0.25">
      <c r="A14" s="127">
        <v>46083.469710648104</v>
      </c>
      <c r="B14" s="127" t="s">
        <v>77</v>
      </c>
      <c r="C14" s="132">
        <v>46083</v>
      </c>
      <c r="D14" s="133" t="s">
        <v>172</v>
      </c>
      <c r="E14" s="11" t="s">
        <v>163</v>
      </c>
      <c r="F14" s="4" t="s">
        <v>217</v>
      </c>
      <c r="G14" s="11" t="s">
        <v>260</v>
      </c>
      <c r="H14" s="11" t="s">
        <v>302</v>
      </c>
      <c r="I14" s="11" t="s">
        <v>39</v>
      </c>
      <c r="J14" s="127" t="s">
        <v>62</v>
      </c>
      <c r="K14" s="131">
        <v>46095</v>
      </c>
      <c r="L14" s="12" t="s">
        <v>63</v>
      </c>
      <c r="M14" s="12" t="s">
        <v>63</v>
      </c>
      <c r="N14" s="12" t="s">
        <v>353</v>
      </c>
      <c r="O14" s="12" t="s">
        <v>63</v>
      </c>
      <c r="P14" s="12" t="s">
        <v>53</v>
      </c>
      <c r="Q14" s="12" t="s">
        <v>65</v>
      </c>
      <c r="R14" s="12" t="s">
        <v>477</v>
      </c>
      <c r="S14" s="12" t="s">
        <v>477</v>
      </c>
      <c r="T14" s="12" t="s">
        <v>476</v>
      </c>
      <c r="U14" s="12" t="s">
        <v>66</v>
      </c>
      <c r="V14" s="12" t="s">
        <v>400</v>
      </c>
      <c r="W14" s="12" t="s">
        <v>320</v>
      </c>
      <c r="X14" s="12" t="s">
        <v>412</v>
      </c>
      <c r="Y14" s="12" t="s">
        <v>414</v>
      </c>
      <c r="Z14" s="12" t="s">
        <v>399</v>
      </c>
      <c r="AA14" s="12" t="s">
        <v>405</v>
      </c>
      <c r="AB14" s="12" t="s">
        <v>65</v>
      </c>
      <c r="AC14" s="12" t="s">
        <v>64</v>
      </c>
      <c r="AD14" s="12" t="s">
        <v>468</v>
      </c>
      <c r="AE14" s="135">
        <f t="shared" si="0"/>
        <v>0.46971064810350072</v>
      </c>
      <c r="AF14" s="135">
        <f t="shared" si="1"/>
        <v>-11.530289351896499</v>
      </c>
      <c r="AG14" s="6" t="s">
        <v>479</v>
      </c>
    </row>
    <row r="15" spans="1:33" ht="90" x14ac:dyDescent="0.25">
      <c r="A15" s="127">
        <v>46086.369340277801</v>
      </c>
      <c r="B15" s="127" t="s">
        <v>77</v>
      </c>
      <c r="C15" s="132">
        <v>46085</v>
      </c>
      <c r="D15" s="133" t="s">
        <v>173</v>
      </c>
      <c r="E15" s="11" t="s">
        <v>160</v>
      </c>
      <c r="F15" s="4">
        <v>1017153519</v>
      </c>
      <c r="G15" s="11" t="s">
        <v>261</v>
      </c>
      <c r="H15" s="11" t="s">
        <v>302</v>
      </c>
      <c r="I15" s="11" t="s">
        <v>39</v>
      </c>
      <c r="J15" s="127" t="s">
        <v>62</v>
      </c>
      <c r="K15" s="131">
        <v>46086</v>
      </c>
      <c r="L15" s="12" t="s">
        <v>63</v>
      </c>
      <c r="M15" s="12" t="s">
        <v>63</v>
      </c>
      <c r="N15" s="12" t="s">
        <v>63</v>
      </c>
      <c r="O15" s="12" t="s">
        <v>63</v>
      </c>
      <c r="P15" s="12" t="s">
        <v>354</v>
      </c>
      <c r="Q15" s="12" t="s">
        <v>342</v>
      </c>
      <c r="R15" s="12" t="s">
        <v>338</v>
      </c>
      <c r="S15" s="12" t="s">
        <v>338</v>
      </c>
      <c r="T15" s="12" t="s">
        <v>476</v>
      </c>
      <c r="U15" s="12" t="s">
        <v>66</v>
      </c>
      <c r="V15" s="12" t="s">
        <v>400</v>
      </c>
      <c r="W15" s="12" t="s">
        <v>320</v>
      </c>
      <c r="X15" s="12" t="s">
        <v>53</v>
      </c>
      <c r="Y15" s="12" t="s">
        <v>415</v>
      </c>
      <c r="Z15" s="12" t="s">
        <v>402</v>
      </c>
      <c r="AA15" s="12" t="s">
        <v>403</v>
      </c>
      <c r="AB15" s="12" t="s">
        <v>342</v>
      </c>
      <c r="AC15" s="12" t="s">
        <v>64</v>
      </c>
      <c r="AD15" s="12" t="s">
        <v>468</v>
      </c>
      <c r="AE15" s="135">
        <f t="shared" si="0"/>
        <v>1.3693402778008021</v>
      </c>
      <c r="AF15" s="135">
        <f t="shared" si="1"/>
        <v>0.36934027780080214</v>
      </c>
      <c r="AG15" s="6" t="s">
        <v>481</v>
      </c>
    </row>
    <row r="16" spans="1:33" ht="75" x14ac:dyDescent="0.25">
      <c r="A16" s="127">
        <v>46091.549548611103</v>
      </c>
      <c r="B16" s="127" t="s">
        <v>77</v>
      </c>
      <c r="C16" s="132">
        <v>46085</v>
      </c>
      <c r="D16" s="133" t="s">
        <v>174</v>
      </c>
      <c r="E16" s="11" t="s">
        <v>160</v>
      </c>
      <c r="F16" s="4" t="s">
        <v>218</v>
      </c>
      <c r="G16" s="11" t="s">
        <v>262</v>
      </c>
      <c r="H16" s="11" t="s">
        <v>303</v>
      </c>
      <c r="I16" s="11" t="s">
        <v>39</v>
      </c>
      <c r="J16" s="127" t="s">
        <v>62</v>
      </c>
      <c r="K16" s="131">
        <v>46099</v>
      </c>
      <c r="L16" s="12" t="s">
        <v>63</v>
      </c>
      <c r="M16" s="12" t="s">
        <v>63</v>
      </c>
      <c r="N16" s="12" t="s">
        <v>63</v>
      </c>
      <c r="O16" s="12" t="s">
        <v>63</v>
      </c>
      <c r="P16" s="12" t="s">
        <v>355</v>
      </c>
      <c r="Q16" s="12" t="s">
        <v>342</v>
      </c>
      <c r="R16" s="12" t="s">
        <v>338</v>
      </c>
      <c r="S16" s="12" t="s">
        <v>338</v>
      </c>
      <c r="T16" s="12" t="s">
        <v>476</v>
      </c>
      <c r="U16" s="12" t="s">
        <v>66</v>
      </c>
      <c r="V16" s="12" t="s">
        <v>400</v>
      </c>
      <c r="W16" s="12" t="s">
        <v>396</v>
      </c>
      <c r="X16" s="12" t="s">
        <v>53</v>
      </c>
      <c r="Y16" s="12" t="s">
        <v>416</v>
      </c>
      <c r="Z16" s="12" t="s">
        <v>402</v>
      </c>
      <c r="AA16" s="12" t="s">
        <v>403</v>
      </c>
      <c r="AB16" s="12" t="s">
        <v>342</v>
      </c>
      <c r="AC16" s="12" t="s">
        <v>64</v>
      </c>
      <c r="AD16" s="12" t="s">
        <v>468</v>
      </c>
      <c r="AE16" s="135">
        <f t="shared" si="0"/>
        <v>6.5495486111030914</v>
      </c>
      <c r="AF16" s="135">
        <f t="shared" si="1"/>
        <v>-7.4504513888969086</v>
      </c>
      <c r="AG16" s="6" t="s">
        <v>481</v>
      </c>
    </row>
    <row r="17" spans="1:33" ht="105" x14ac:dyDescent="0.25">
      <c r="A17" s="127">
        <v>46086.602384259299</v>
      </c>
      <c r="B17" s="127" t="s">
        <v>77</v>
      </c>
      <c r="C17" s="132">
        <v>46086</v>
      </c>
      <c r="D17" s="133" t="s">
        <v>175</v>
      </c>
      <c r="E17" s="11" t="s">
        <v>157</v>
      </c>
      <c r="F17" s="4" t="s">
        <v>219</v>
      </c>
      <c r="G17" s="11" t="s">
        <v>263</v>
      </c>
      <c r="H17" s="11" t="s">
        <v>304</v>
      </c>
      <c r="I17" s="11" t="s">
        <v>49</v>
      </c>
      <c r="J17" s="127" t="s">
        <v>62</v>
      </c>
      <c r="K17" s="131">
        <v>46092</v>
      </c>
      <c r="L17" s="12" t="s">
        <v>63</v>
      </c>
      <c r="M17" s="12" t="s">
        <v>63</v>
      </c>
      <c r="N17" s="12" t="s">
        <v>63</v>
      </c>
      <c r="O17" s="12" t="s">
        <v>63</v>
      </c>
      <c r="P17" s="12" t="s">
        <v>356</v>
      </c>
      <c r="Q17" s="12" t="s">
        <v>342</v>
      </c>
      <c r="R17" s="12" t="s">
        <v>338</v>
      </c>
      <c r="S17" s="12" t="s">
        <v>338</v>
      </c>
      <c r="T17" s="12" t="s">
        <v>476</v>
      </c>
      <c r="U17" s="12" t="s">
        <v>66</v>
      </c>
      <c r="V17" s="12" t="s">
        <v>400</v>
      </c>
      <c r="W17" s="12" t="s">
        <v>396</v>
      </c>
      <c r="X17" s="12" t="s">
        <v>53</v>
      </c>
      <c r="Y17" s="12" t="s">
        <v>417</v>
      </c>
      <c r="Z17" s="12" t="s">
        <v>402</v>
      </c>
      <c r="AA17" s="12" t="s">
        <v>403</v>
      </c>
      <c r="AB17" s="12" t="s">
        <v>342</v>
      </c>
      <c r="AC17" s="12" t="s">
        <v>64</v>
      </c>
      <c r="AD17" s="12" t="s">
        <v>468</v>
      </c>
      <c r="AE17" s="135">
        <f t="shared" si="0"/>
        <v>0.60238425929856021</v>
      </c>
      <c r="AF17" s="135">
        <f t="shared" si="1"/>
        <v>-5.3976157407014398</v>
      </c>
      <c r="AG17" s="6" t="s">
        <v>481</v>
      </c>
    </row>
    <row r="18" spans="1:33" ht="135" x14ac:dyDescent="0.25">
      <c r="A18" s="127">
        <v>46098.3514699074</v>
      </c>
      <c r="B18" s="129" t="s">
        <v>77</v>
      </c>
      <c r="C18" s="132">
        <v>46095</v>
      </c>
      <c r="D18" s="133" t="s">
        <v>175</v>
      </c>
      <c r="E18" s="11" t="s">
        <v>176</v>
      </c>
      <c r="F18" s="4" t="s">
        <v>220</v>
      </c>
      <c r="G18" s="11" t="s">
        <v>264</v>
      </c>
      <c r="H18" s="11" t="s">
        <v>305</v>
      </c>
      <c r="I18" s="11" t="s">
        <v>39</v>
      </c>
      <c r="J18" s="129" t="s">
        <v>63</v>
      </c>
      <c r="K18" s="131">
        <v>46111</v>
      </c>
      <c r="L18" s="12" t="s">
        <v>63</v>
      </c>
      <c r="M18" s="12" t="s">
        <v>63</v>
      </c>
      <c r="N18" s="12" t="s">
        <v>63</v>
      </c>
      <c r="O18" s="12" t="s">
        <v>63</v>
      </c>
      <c r="P18" s="12" t="s">
        <v>357</v>
      </c>
      <c r="Q18" s="12" t="s">
        <v>342</v>
      </c>
      <c r="R18" s="12" t="s">
        <v>338</v>
      </c>
      <c r="S18" s="12" t="s">
        <v>338</v>
      </c>
      <c r="T18" s="12" t="s">
        <v>476</v>
      </c>
      <c r="U18" s="12" t="s">
        <v>66</v>
      </c>
      <c r="V18" s="12" t="s">
        <v>400</v>
      </c>
      <c r="W18" s="12" t="s">
        <v>320</v>
      </c>
      <c r="X18" s="12" t="s">
        <v>418</v>
      </c>
      <c r="Y18" s="12" t="s">
        <v>419</v>
      </c>
      <c r="Z18" s="12" t="s">
        <v>402</v>
      </c>
      <c r="AA18" s="12" t="s">
        <v>403</v>
      </c>
      <c r="AB18" s="12" t="s">
        <v>342</v>
      </c>
      <c r="AC18" s="12" t="s">
        <v>64</v>
      </c>
      <c r="AD18" s="12" t="s">
        <v>468</v>
      </c>
      <c r="AE18" s="135">
        <f t="shared" si="0"/>
        <v>3.3514699074003147</v>
      </c>
      <c r="AF18" s="135">
        <f t="shared" si="1"/>
        <v>-12.648530092599685</v>
      </c>
      <c r="AG18" s="6" t="s">
        <v>481</v>
      </c>
    </row>
    <row r="19" spans="1:33" ht="180" x14ac:dyDescent="0.25">
      <c r="A19" s="127">
        <v>46100.4994560185</v>
      </c>
      <c r="B19" s="129" t="s">
        <v>77</v>
      </c>
      <c r="C19" s="132">
        <v>46097</v>
      </c>
      <c r="D19" s="133" t="s">
        <v>177</v>
      </c>
      <c r="E19" s="11" t="s">
        <v>163</v>
      </c>
      <c r="F19" s="4" t="s">
        <v>221</v>
      </c>
      <c r="G19" s="11" t="s">
        <v>265</v>
      </c>
      <c r="H19" s="11" t="s">
        <v>302</v>
      </c>
      <c r="I19" s="11" t="s">
        <v>39</v>
      </c>
      <c r="J19" s="129" t="s">
        <v>63</v>
      </c>
      <c r="K19" s="131">
        <v>46112</v>
      </c>
      <c r="L19" s="12" t="s">
        <v>63</v>
      </c>
      <c r="M19" s="12" t="s">
        <v>63</v>
      </c>
      <c r="N19" s="12" t="s">
        <v>63</v>
      </c>
      <c r="O19" s="12" t="s">
        <v>63</v>
      </c>
      <c r="P19" s="12" t="s">
        <v>358</v>
      </c>
      <c r="Q19" s="12" t="s">
        <v>342</v>
      </c>
      <c r="R19" s="12" t="s">
        <v>338</v>
      </c>
      <c r="S19" s="12" t="s">
        <v>338</v>
      </c>
      <c r="T19" s="12" t="s">
        <v>476</v>
      </c>
      <c r="U19" s="12" t="s">
        <v>66</v>
      </c>
      <c r="V19" s="12" t="s">
        <v>400</v>
      </c>
      <c r="W19" s="12" t="s">
        <v>320</v>
      </c>
      <c r="X19" s="12" t="s">
        <v>53</v>
      </c>
      <c r="Y19" s="12" t="s">
        <v>420</v>
      </c>
      <c r="Z19" s="12" t="s">
        <v>402</v>
      </c>
      <c r="AA19" s="12" t="s">
        <v>403</v>
      </c>
      <c r="AB19" s="12" t="s">
        <v>342</v>
      </c>
      <c r="AC19" s="12" t="s">
        <v>64</v>
      </c>
      <c r="AD19" s="12" t="s">
        <v>468</v>
      </c>
      <c r="AE19" s="135">
        <f t="shared" si="0"/>
        <v>3.4994560185004957</v>
      </c>
      <c r="AF19" s="135">
        <f t="shared" si="1"/>
        <v>-11.500543981499504</v>
      </c>
      <c r="AG19" s="6" t="s">
        <v>481</v>
      </c>
    </row>
    <row r="20" spans="1:33" ht="180" x14ac:dyDescent="0.25">
      <c r="A20" s="127">
        <v>46100.566261574102</v>
      </c>
      <c r="B20" s="129" t="s">
        <v>77</v>
      </c>
      <c r="C20" s="132">
        <v>46097</v>
      </c>
      <c r="D20" s="133" t="s">
        <v>178</v>
      </c>
      <c r="E20" s="11" t="s">
        <v>163</v>
      </c>
      <c r="F20" s="4" t="s">
        <v>222</v>
      </c>
      <c r="G20" s="11" t="s">
        <v>266</v>
      </c>
      <c r="H20" s="11" t="s">
        <v>306</v>
      </c>
      <c r="I20" s="11" t="s">
        <v>39</v>
      </c>
      <c r="J20" s="129" t="s">
        <v>63</v>
      </c>
      <c r="K20" s="131">
        <v>46100</v>
      </c>
      <c r="L20" s="12" t="s">
        <v>63</v>
      </c>
      <c r="M20" s="12" t="s">
        <v>63</v>
      </c>
      <c r="N20" s="12" t="s">
        <v>63</v>
      </c>
      <c r="O20" s="12" t="s">
        <v>63</v>
      </c>
      <c r="P20" s="12" t="s">
        <v>359</v>
      </c>
      <c r="Q20" s="12" t="s">
        <v>342</v>
      </c>
      <c r="R20" s="12" t="s">
        <v>338</v>
      </c>
      <c r="S20" s="12" t="s">
        <v>338</v>
      </c>
      <c r="T20" s="12" t="s">
        <v>476</v>
      </c>
      <c r="U20" s="12" t="s">
        <v>66</v>
      </c>
      <c r="V20" s="12" t="s">
        <v>400</v>
      </c>
      <c r="W20" s="12" t="s">
        <v>396</v>
      </c>
      <c r="X20" s="12" t="s">
        <v>53</v>
      </c>
      <c r="Y20" s="12" t="s">
        <v>421</v>
      </c>
      <c r="Z20" s="12" t="s">
        <v>402</v>
      </c>
      <c r="AA20" s="12" t="s">
        <v>403</v>
      </c>
      <c r="AB20" s="12" t="s">
        <v>342</v>
      </c>
      <c r="AC20" s="12" t="s">
        <v>64</v>
      </c>
      <c r="AD20" s="12" t="s">
        <v>468</v>
      </c>
      <c r="AE20" s="135">
        <f t="shared" si="0"/>
        <v>3.5662615741021</v>
      </c>
      <c r="AF20" s="135">
        <f t="shared" si="1"/>
        <v>0.56626157410209998</v>
      </c>
      <c r="AG20" s="6" t="s">
        <v>481</v>
      </c>
    </row>
    <row r="21" spans="1:33" ht="75" x14ac:dyDescent="0.25">
      <c r="A21" s="127">
        <v>46101.438634259299</v>
      </c>
      <c r="B21" s="129" t="s">
        <v>77</v>
      </c>
      <c r="C21" s="132">
        <v>46101</v>
      </c>
      <c r="D21" s="133" t="s">
        <v>179</v>
      </c>
      <c r="E21" s="11" t="s">
        <v>169</v>
      </c>
      <c r="F21" s="4" t="s">
        <v>223</v>
      </c>
      <c r="G21" s="11" t="s">
        <v>267</v>
      </c>
      <c r="H21" s="11" t="s">
        <v>302</v>
      </c>
      <c r="I21" s="11" t="s">
        <v>48</v>
      </c>
      <c r="J21" s="129" t="s">
        <v>62</v>
      </c>
      <c r="K21" s="131">
        <v>46107</v>
      </c>
      <c r="L21" s="12" t="s">
        <v>63</v>
      </c>
      <c r="M21" s="12" t="s">
        <v>63</v>
      </c>
      <c r="N21" s="12" t="s">
        <v>63</v>
      </c>
      <c r="O21" s="12" t="s">
        <v>63</v>
      </c>
      <c r="P21" s="12" t="s">
        <v>360</v>
      </c>
      <c r="Q21" s="12" t="s">
        <v>342</v>
      </c>
      <c r="R21" s="12" t="s">
        <v>338</v>
      </c>
      <c r="S21" s="12" t="s">
        <v>338</v>
      </c>
      <c r="T21" s="12" t="s">
        <v>476</v>
      </c>
      <c r="U21" s="12" t="s">
        <v>66</v>
      </c>
      <c r="V21" s="12" t="s">
        <v>400</v>
      </c>
      <c r="W21" s="12" t="s">
        <v>320</v>
      </c>
      <c r="X21" s="12" t="s">
        <v>422</v>
      </c>
      <c r="Y21" s="12" t="s">
        <v>423</v>
      </c>
      <c r="Z21" s="12" t="s">
        <v>402</v>
      </c>
      <c r="AA21" s="12" t="s">
        <v>403</v>
      </c>
      <c r="AB21" s="12" t="s">
        <v>342</v>
      </c>
      <c r="AC21" s="12" t="s">
        <v>64</v>
      </c>
      <c r="AD21" s="12" t="s">
        <v>468</v>
      </c>
      <c r="AE21" s="135">
        <f t="shared" si="0"/>
        <v>0.43863425929885125</v>
      </c>
      <c r="AF21" s="135">
        <f t="shared" si="1"/>
        <v>-5.5613657407011488</v>
      </c>
      <c r="AG21" s="6" t="s">
        <v>481</v>
      </c>
    </row>
    <row r="22" spans="1:33" ht="120" x14ac:dyDescent="0.25">
      <c r="A22" s="127">
        <v>46105.641516203701</v>
      </c>
      <c r="B22" s="129" t="s">
        <v>77</v>
      </c>
      <c r="C22" s="132">
        <v>46103</v>
      </c>
      <c r="D22" s="133" t="s">
        <v>180</v>
      </c>
      <c r="E22" s="11" t="s">
        <v>181</v>
      </c>
      <c r="F22" s="4" t="s">
        <v>224</v>
      </c>
      <c r="G22" s="11" t="s">
        <v>268</v>
      </c>
      <c r="H22" s="11" t="s">
        <v>307</v>
      </c>
      <c r="I22" s="11" t="s">
        <v>39</v>
      </c>
      <c r="J22" s="129" t="s">
        <v>63</v>
      </c>
      <c r="K22" s="131">
        <v>46107</v>
      </c>
      <c r="L22" s="12" t="s">
        <v>63</v>
      </c>
      <c r="M22" s="12" t="s">
        <v>63</v>
      </c>
      <c r="N22" s="12" t="s">
        <v>361</v>
      </c>
      <c r="O22" s="12" t="s">
        <v>63</v>
      </c>
      <c r="P22" s="12" t="s">
        <v>362</v>
      </c>
      <c r="Q22" s="12" t="s">
        <v>363</v>
      </c>
      <c r="R22" s="12" t="s">
        <v>338</v>
      </c>
      <c r="S22" s="12" t="s">
        <v>338</v>
      </c>
      <c r="T22" s="12" t="s">
        <v>476</v>
      </c>
      <c r="U22" s="12" t="s">
        <v>66</v>
      </c>
      <c r="V22" s="12" t="s">
        <v>424</v>
      </c>
      <c r="W22" s="12" t="s">
        <v>396</v>
      </c>
      <c r="X22" s="12" t="s">
        <v>425</v>
      </c>
      <c r="Y22" s="12" t="s">
        <v>426</v>
      </c>
      <c r="Z22" s="12" t="s">
        <v>402</v>
      </c>
      <c r="AA22" s="12" t="s">
        <v>427</v>
      </c>
      <c r="AB22" s="12" t="s">
        <v>363</v>
      </c>
      <c r="AC22" s="12" t="s">
        <v>71</v>
      </c>
      <c r="AD22" s="12" t="s">
        <v>469</v>
      </c>
      <c r="AE22" s="135">
        <f t="shared" si="0"/>
        <v>2.6415162037010305</v>
      </c>
      <c r="AF22" s="135">
        <f t="shared" si="1"/>
        <v>-1.3584837962989695</v>
      </c>
      <c r="AG22" s="6" t="s">
        <v>482</v>
      </c>
    </row>
    <row r="23" spans="1:33" ht="120" x14ac:dyDescent="0.25">
      <c r="A23" s="127">
        <v>46112.648553240702</v>
      </c>
      <c r="B23" s="129" t="s">
        <v>77</v>
      </c>
      <c r="C23" s="132">
        <v>46094</v>
      </c>
      <c r="D23" s="133" t="s">
        <v>182</v>
      </c>
      <c r="E23" s="11" t="s">
        <v>169</v>
      </c>
      <c r="F23" s="4" t="s">
        <v>225</v>
      </c>
      <c r="G23" s="11" t="s">
        <v>269</v>
      </c>
      <c r="H23" s="11" t="s">
        <v>308</v>
      </c>
      <c r="I23" s="11" t="s">
        <v>86</v>
      </c>
      <c r="J23" s="129" t="s">
        <v>62</v>
      </c>
      <c r="K23" s="131">
        <v>46122</v>
      </c>
      <c r="L23" s="12" t="s">
        <v>63</v>
      </c>
      <c r="M23" s="12" t="s">
        <v>63</v>
      </c>
      <c r="N23" s="12" t="s">
        <v>63</v>
      </c>
      <c r="O23" s="12" t="s">
        <v>63</v>
      </c>
      <c r="P23" s="12" t="s">
        <v>364</v>
      </c>
      <c r="Q23" s="12" t="s">
        <v>342</v>
      </c>
      <c r="R23" s="12" t="s">
        <v>338</v>
      </c>
      <c r="S23" s="12" t="s">
        <v>338</v>
      </c>
      <c r="T23" s="12" t="s">
        <v>476</v>
      </c>
      <c r="U23" s="12" t="s">
        <v>66</v>
      </c>
      <c r="V23" s="12" t="s">
        <v>400</v>
      </c>
      <c r="W23" s="12" t="s">
        <v>320</v>
      </c>
      <c r="X23" s="12" t="s">
        <v>53</v>
      </c>
      <c r="Y23" s="12" t="s">
        <v>428</v>
      </c>
      <c r="Z23" s="12" t="s">
        <v>402</v>
      </c>
      <c r="AA23" s="12" t="s">
        <v>403</v>
      </c>
      <c r="AB23" s="12" t="s">
        <v>342</v>
      </c>
      <c r="AC23" s="12" t="s">
        <v>64</v>
      </c>
      <c r="AD23" s="12" t="s">
        <v>468</v>
      </c>
      <c r="AE23" s="135">
        <f t="shared" si="0"/>
        <v>18.648553240702313</v>
      </c>
      <c r="AF23" s="135">
        <f t="shared" si="1"/>
        <v>-9.3514467592976871</v>
      </c>
      <c r="AG23" s="6" t="s">
        <v>481</v>
      </c>
    </row>
    <row r="24" spans="1:33" ht="195" x14ac:dyDescent="0.25">
      <c r="A24" s="127">
        <v>46114.430879629603</v>
      </c>
      <c r="B24" s="129" t="s">
        <v>77</v>
      </c>
      <c r="C24" s="132">
        <v>46113</v>
      </c>
      <c r="D24" s="133" t="s">
        <v>183</v>
      </c>
      <c r="E24" s="11" t="s">
        <v>160</v>
      </c>
      <c r="F24" s="4" t="s">
        <v>226</v>
      </c>
      <c r="G24" s="11" t="s">
        <v>75</v>
      </c>
      <c r="H24" s="11" t="s">
        <v>309</v>
      </c>
      <c r="I24" s="11" t="s">
        <v>48</v>
      </c>
      <c r="J24" s="129" t="s">
        <v>62</v>
      </c>
      <c r="K24" s="131">
        <v>46120</v>
      </c>
      <c r="L24" s="12" t="s">
        <v>63</v>
      </c>
      <c r="M24" s="12" t="s">
        <v>63</v>
      </c>
      <c r="N24" s="12" t="s">
        <v>63</v>
      </c>
      <c r="O24" s="12" t="s">
        <v>63</v>
      </c>
      <c r="P24" s="12" t="s">
        <v>338</v>
      </c>
      <c r="Q24" s="12" t="s">
        <v>342</v>
      </c>
      <c r="R24" s="12" t="s">
        <v>338</v>
      </c>
      <c r="S24" s="12" t="s">
        <v>338</v>
      </c>
      <c r="T24" s="12" t="s">
        <v>476</v>
      </c>
      <c r="U24" s="12" t="s">
        <v>66</v>
      </c>
      <c r="V24" s="12" t="s">
        <v>400</v>
      </c>
      <c r="W24" s="12" t="s">
        <v>320</v>
      </c>
      <c r="X24" s="12" t="s">
        <v>53</v>
      </c>
      <c r="Y24" s="12" t="s">
        <v>429</v>
      </c>
      <c r="Z24" s="12" t="s">
        <v>402</v>
      </c>
      <c r="AA24" s="12" t="s">
        <v>53</v>
      </c>
      <c r="AB24" s="12" t="s">
        <v>342</v>
      </c>
      <c r="AC24" s="12" t="s">
        <v>64</v>
      </c>
      <c r="AD24" s="12" t="s">
        <v>468</v>
      </c>
      <c r="AE24" s="135">
        <f t="shared" si="0"/>
        <v>1.430879629602714</v>
      </c>
      <c r="AF24" s="135">
        <f t="shared" si="1"/>
        <v>-5.569120370397286</v>
      </c>
      <c r="AG24" s="6" t="s">
        <v>481</v>
      </c>
    </row>
    <row r="25" spans="1:33" ht="45" x14ac:dyDescent="0.25">
      <c r="A25" s="127">
        <v>46122.335590277798</v>
      </c>
      <c r="B25" s="129" t="s">
        <v>77</v>
      </c>
      <c r="C25" s="132">
        <v>46120</v>
      </c>
      <c r="D25" s="133" t="s">
        <v>184</v>
      </c>
      <c r="E25" s="11" t="s">
        <v>160</v>
      </c>
      <c r="F25" s="4" t="s">
        <v>208</v>
      </c>
      <c r="G25" s="11" t="s">
        <v>250</v>
      </c>
      <c r="H25" s="11" t="s">
        <v>293</v>
      </c>
      <c r="I25" s="11" t="s">
        <v>86</v>
      </c>
      <c r="J25" s="129" t="s">
        <v>62</v>
      </c>
      <c r="K25" s="131">
        <v>46126</v>
      </c>
      <c r="L25" s="12" t="s">
        <v>63</v>
      </c>
      <c r="M25" s="12" t="s">
        <v>63</v>
      </c>
      <c r="N25" s="12" t="s">
        <v>63</v>
      </c>
      <c r="O25" s="12" t="s">
        <v>63</v>
      </c>
      <c r="P25" s="12" t="s">
        <v>365</v>
      </c>
      <c r="Q25" s="12" t="s">
        <v>342</v>
      </c>
      <c r="R25" s="12" t="s">
        <v>338</v>
      </c>
      <c r="S25" s="12" t="s">
        <v>338</v>
      </c>
      <c r="T25" s="12" t="s">
        <v>476</v>
      </c>
      <c r="U25" s="12" t="s">
        <v>66</v>
      </c>
      <c r="V25" s="12" t="s">
        <v>400</v>
      </c>
      <c r="W25" s="12" t="s">
        <v>320</v>
      </c>
      <c r="X25" s="12" t="s">
        <v>53</v>
      </c>
      <c r="Y25" s="12" t="s">
        <v>401</v>
      </c>
      <c r="Z25" s="12" t="s">
        <v>402</v>
      </c>
      <c r="AA25" s="12" t="s">
        <v>403</v>
      </c>
      <c r="AB25" s="12" t="s">
        <v>342</v>
      </c>
      <c r="AC25" s="12" t="s">
        <v>64</v>
      </c>
      <c r="AD25" s="12" t="s">
        <v>468</v>
      </c>
      <c r="AE25" s="135">
        <f t="shared" si="0"/>
        <v>2.3355902777984738</v>
      </c>
      <c r="AF25" s="135">
        <f t="shared" si="1"/>
        <v>-3.6644097222015262</v>
      </c>
      <c r="AG25" s="6" t="s">
        <v>481</v>
      </c>
    </row>
    <row r="26" spans="1:33" ht="180" x14ac:dyDescent="0.25">
      <c r="A26" s="127">
        <v>46125.5305324074</v>
      </c>
      <c r="B26" s="129" t="s">
        <v>77</v>
      </c>
      <c r="C26" s="132">
        <v>46124</v>
      </c>
      <c r="D26" s="133" t="s">
        <v>185</v>
      </c>
      <c r="E26" s="11" t="s">
        <v>181</v>
      </c>
      <c r="F26" s="4" t="s">
        <v>227</v>
      </c>
      <c r="G26" s="11" t="s">
        <v>270</v>
      </c>
      <c r="H26" s="11" t="s">
        <v>310</v>
      </c>
      <c r="I26" s="11" t="s">
        <v>69</v>
      </c>
      <c r="J26" s="129" t="s">
        <v>62</v>
      </c>
      <c r="K26" s="131">
        <v>46125</v>
      </c>
      <c r="L26" s="12" t="s">
        <v>63</v>
      </c>
      <c r="M26" s="12" t="s">
        <v>63</v>
      </c>
      <c r="N26" s="12" t="s">
        <v>63</v>
      </c>
      <c r="O26" s="12" t="s">
        <v>63</v>
      </c>
      <c r="P26" s="12" t="s">
        <v>366</v>
      </c>
      <c r="Q26" s="12" t="s">
        <v>342</v>
      </c>
      <c r="R26" s="12" t="s">
        <v>338</v>
      </c>
      <c r="S26" s="12" t="s">
        <v>338</v>
      </c>
      <c r="T26" s="12" t="s">
        <v>476</v>
      </c>
      <c r="U26" s="12" t="s">
        <v>66</v>
      </c>
      <c r="V26" s="12" t="s">
        <v>400</v>
      </c>
      <c r="W26" s="12" t="s">
        <v>396</v>
      </c>
      <c r="X26" s="12" t="s">
        <v>430</v>
      </c>
      <c r="Y26" s="12" t="s">
        <v>406</v>
      </c>
      <c r="Z26" s="12" t="s">
        <v>402</v>
      </c>
      <c r="AA26" s="12" t="s">
        <v>403</v>
      </c>
      <c r="AB26" s="12" t="s">
        <v>342</v>
      </c>
      <c r="AC26" s="12" t="s">
        <v>64</v>
      </c>
      <c r="AD26" s="12" t="s">
        <v>468</v>
      </c>
      <c r="AE26" s="135">
        <f t="shared" si="0"/>
        <v>1.5305324073997326</v>
      </c>
      <c r="AF26" s="135">
        <f t="shared" si="1"/>
        <v>0.53053240739973262</v>
      </c>
      <c r="AG26" s="6" t="s">
        <v>481</v>
      </c>
    </row>
    <row r="27" spans="1:33" ht="135" x14ac:dyDescent="0.25">
      <c r="A27" s="127">
        <v>46127.607881944401</v>
      </c>
      <c r="B27" s="129" t="s">
        <v>77</v>
      </c>
      <c r="C27" s="132">
        <v>46127</v>
      </c>
      <c r="D27" s="133" t="s">
        <v>186</v>
      </c>
      <c r="E27" s="11" t="s">
        <v>160</v>
      </c>
      <c r="F27" s="4" t="s">
        <v>228</v>
      </c>
      <c r="G27" s="11" t="s">
        <v>271</v>
      </c>
      <c r="H27" s="11" t="s">
        <v>311</v>
      </c>
      <c r="I27" s="11" t="s">
        <v>86</v>
      </c>
      <c r="J27" s="129" t="s">
        <v>62</v>
      </c>
      <c r="K27" s="131">
        <v>46141</v>
      </c>
      <c r="L27" s="12" t="s">
        <v>63</v>
      </c>
      <c r="M27" s="12" t="s">
        <v>63</v>
      </c>
      <c r="N27" s="12" t="s">
        <v>63</v>
      </c>
      <c r="O27" s="12" t="s">
        <v>367</v>
      </c>
      <c r="P27" s="12" t="s">
        <v>368</v>
      </c>
      <c r="Q27" s="12" t="s">
        <v>369</v>
      </c>
      <c r="R27" s="12" t="s">
        <v>338</v>
      </c>
      <c r="S27" s="12" t="s">
        <v>338</v>
      </c>
      <c r="T27" s="12" t="s">
        <v>476</v>
      </c>
      <c r="U27" s="12" t="s">
        <v>66</v>
      </c>
      <c r="V27" s="12" t="s">
        <v>400</v>
      </c>
      <c r="W27" s="12" t="s">
        <v>320</v>
      </c>
      <c r="X27" s="12" t="s">
        <v>431</v>
      </c>
      <c r="Y27" s="12" t="s">
        <v>432</v>
      </c>
      <c r="Z27" s="12" t="s">
        <v>402</v>
      </c>
      <c r="AA27" s="12" t="s">
        <v>403</v>
      </c>
      <c r="AB27" s="12" t="s">
        <v>369</v>
      </c>
      <c r="AC27" s="12" t="s">
        <v>64</v>
      </c>
      <c r="AD27" s="12" t="s">
        <v>468</v>
      </c>
      <c r="AE27" s="135">
        <f t="shared" si="0"/>
        <v>0.60788194440101506</v>
      </c>
      <c r="AF27" s="135">
        <f t="shared" si="1"/>
        <v>-13.392118055598985</v>
      </c>
      <c r="AG27" s="6" t="s">
        <v>481</v>
      </c>
    </row>
    <row r="28" spans="1:33" ht="270" x14ac:dyDescent="0.25">
      <c r="A28" s="127">
        <v>46132.666122685201</v>
      </c>
      <c r="B28" s="129" t="s">
        <v>77</v>
      </c>
      <c r="C28" s="132">
        <v>46131</v>
      </c>
      <c r="D28" s="133" t="s">
        <v>187</v>
      </c>
      <c r="E28" s="11" t="s">
        <v>181</v>
      </c>
      <c r="F28" s="4" t="s">
        <v>229</v>
      </c>
      <c r="G28" s="11" t="s">
        <v>272</v>
      </c>
      <c r="H28" s="11" t="s">
        <v>312</v>
      </c>
      <c r="I28" s="11" t="s">
        <v>39</v>
      </c>
      <c r="J28" s="129" t="s">
        <v>63</v>
      </c>
      <c r="K28" s="131">
        <v>46142</v>
      </c>
      <c r="L28" s="12" t="s">
        <v>63</v>
      </c>
      <c r="M28" s="12" t="s">
        <v>63</v>
      </c>
      <c r="N28" s="12" t="s">
        <v>370</v>
      </c>
      <c r="O28" s="12" t="s">
        <v>63</v>
      </c>
      <c r="P28" s="12" t="s">
        <v>371</v>
      </c>
      <c r="Q28" s="12" t="s">
        <v>369</v>
      </c>
      <c r="R28" s="12" t="s">
        <v>338</v>
      </c>
      <c r="S28" s="12" t="s">
        <v>338</v>
      </c>
      <c r="T28" s="12" t="s">
        <v>476</v>
      </c>
      <c r="U28" s="12" t="s">
        <v>66</v>
      </c>
      <c r="V28" s="12" t="s">
        <v>424</v>
      </c>
      <c r="W28" s="12" t="s">
        <v>396</v>
      </c>
      <c r="X28" s="12" t="s">
        <v>433</v>
      </c>
      <c r="Y28" s="12" t="s">
        <v>434</v>
      </c>
      <c r="Z28" s="12" t="s">
        <v>402</v>
      </c>
      <c r="AA28" s="12" t="s">
        <v>435</v>
      </c>
      <c r="AB28" s="12" t="s">
        <v>369</v>
      </c>
      <c r="AC28" s="12" t="s">
        <v>64</v>
      </c>
      <c r="AD28" s="12" t="s">
        <v>470</v>
      </c>
      <c r="AE28" s="135">
        <f t="shared" si="0"/>
        <v>1.6661226852011168</v>
      </c>
      <c r="AF28" s="135">
        <f t="shared" si="1"/>
        <v>-9.3338773147988832</v>
      </c>
      <c r="AG28" s="6" t="s">
        <v>478</v>
      </c>
    </row>
    <row r="29" spans="1:33" ht="150" x14ac:dyDescent="0.25">
      <c r="A29" s="127">
        <v>46133.657453703701</v>
      </c>
      <c r="B29" s="129" t="s">
        <v>77</v>
      </c>
      <c r="C29" s="132">
        <v>46133</v>
      </c>
      <c r="D29" s="133" t="s">
        <v>188</v>
      </c>
      <c r="E29" s="11" t="s">
        <v>158</v>
      </c>
      <c r="F29" s="4" t="s">
        <v>230</v>
      </c>
      <c r="G29" s="11" t="s">
        <v>273</v>
      </c>
      <c r="H29" s="11" t="s">
        <v>313</v>
      </c>
      <c r="I29" s="11" t="s">
        <v>86</v>
      </c>
      <c r="J29" s="129" t="s">
        <v>62</v>
      </c>
      <c r="K29" s="131">
        <v>46147</v>
      </c>
      <c r="L29" s="12" t="s">
        <v>63</v>
      </c>
      <c r="M29" s="12" t="s">
        <v>63</v>
      </c>
      <c r="N29" s="12" t="s">
        <v>63</v>
      </c>
      <c r="O29" s="12" t="s">
        <v>63</v>
      </c>
      <c r="P29" s="12" t="s">
        <v>372</v>
      </c>
      <c r="Q29" s="12" t="s">
        <v>342</v>
      </c>
      <c r="R29" s="12" t="s">
        <v>338</v>
      </c>
      <c r="S29" s="12" t="s">
        <v>338</v>
      </c>
      <c r="T29" s="12" t="s">
        <v>476</v>
      </c>
      <c r="U29" s="12" t="s">
        <v>66</v>
      </c>
      <c r="V29" s="12" t="s">
        <v>400</v>
      </c>
      <c r="W29" s="12" t="s">
        <v>320</v>
      </c>
      <c r="X29" s="12" t="s">
        <v>436</v>
      </c>
      <c r="Y29" s="12" t="s">
        <v>437</v>
      </c>
      <c r="Z29" s="12" t="s">
        <v>402</v>
      </c>
      <c r="AA29" s="12" t="s">
        <v>403</v>
      </c>
      <c r="AB29" s="12" t="s">
        <v>342</v>
      </c>
      <c r="AC29" s="12" t="s">
        <v>64</v>
      </c>
      <c r="AD29" s="12" t="s">
        <v>468</v>
      </c>
      <c r="AE29" s="135">
        <f t="shared" si="0"/>
        <v>0.6574537037013215</v>
      </c>
      <c r="AF29" s="135">
        <f t="shared" si="1"/>
        <v>-13.342546296298678</v>
      </c>
      <c r="AG29" s="6" t="s">
        <v>481</v>
      </c>
    </row>
    <row r="30" spans="1:33" ht="165" x14ac:dyDescent="0.25">
      <c r="A30" s="127">
        <v>46135</v>
      </c>
      <c r="B30" s="129" t="s">
        <v>77</v>
      </c>
      <c r="C30" s="132">
        <v>46135</v>
      </c>
      <c r="D30" s="133" t="s">
        <v>189</v>
      </c>
      <c r="E30" s="11" t="s">
        <v>157</v>
      </c>
      <c r="F30" s="4" t="s">
        <v>231</v>
      </c>
      <c r="G30" s="11" t="s">
        <v>274</v>
      </c>
      <c r="H30" s="11" t="s">
        <v>314</v>
      </c>
      <c r="I30" s="11" t="s">
        <v>39</v>
      </c>
      <c r="J30" s="129" t="s">
        <v>331</v>
      </c>
      <c r="K30" s="131">
        <v>46135</v>
      </c>
      <c r="L30" s="12" t="s">
        <v>63</v>
      </c>
      <c r="M30" s="12" t="s">
        <v>63</v>
      </c>
      <c r="N30" s="12" t="s">
        <v>63</v>
      </c>
      <c r="O30" s="12" t="s">
        <v>63</v>
      </c>
      <c r="P30" s="12" t="s">
        <v>373</v>
      </c>
      <c r="Q30" s="12" t="s">
        <v>342</v>
      </c>
      <c r="R30" s="12" t="s">
        <v>338</v>
      </c>
      <c r="S30" s="12" t="s">
        <v>338</v>
      </c>
      <c r="T30" s="12" t="s">
        <v>476</v>
      </c>
      <c r="U30" s="12" t="s">
        <v>66</v>
      </c>
      <c r="V30" s="12" t="s">
        <v>424</v>
      </c>
      <c r="W30" s="12" t="s">
        <v>396</v>
      </c>
      <c r="X30" s="12" t="s">
        <v>438</v>
      </c>
      <c r="Y30" s="12" t="s">
        <v>439</v>
      </c>
      <c r="Z30" s="12" t="s">
        <v>402</v>
      </c>
      <c r="AA30" s="12" t="s">
        <v>440</v>
      </c>
      <c r="AB30" s="12" t="s">
        <v>342</v>
      </c>
      <c r="AC30" s="12" t="s">
        <v>64</v>
      </c>
      <c r="AD30" s="12" t="s">
        <v>468</v>
      </c>
      <c r="AE30" s="135">
        <f t="shared" si="0"/>
        <v>0</v>
      </c>
      <c r="AF30" s="135">
        <f t="shared" si="1"/>
        <v>0</v>
      </c>
      <c r="AG30" s="6" t="s">
        <v>481</v>
      </c>
    </row>
    <row r="31" spans="1:33" ht="135" x14ac:dyDescent="0.25">
      <c r="A31" s="127">
        <v>46147.711412037002</v>
      </c>
      <c r="B31" s="129" t="s">
        <v>77</v>
      </c>
      <c r="C31" s="132">
        <v>46147</v>
      </c>
      <c r="D31" s="133" t="s">
        <v>190</v>
      </c>
      <c r="E31" s="11" t="s">
        <v>158</v>
      </c>
      <c r="F31" s="4" t="s">
        <v>78</v>
      </c>
      <c r="G31" s="11" t="s">
        <v>275</v>
      </c>
      <c r="H31" s="11" t="s">
        <v>315</v>
      </c>
      <c r="I31" s="11" t="s">
        <v>39</v>
      </c>
      <c r="J31" s="129" t="s">
        <v>63</v>
      </c>
      <c r="K31" s="131">
        <v>46162</v>
      </c>
      <c r="L31" s="12" t="s">
        <v>63</v>
      </c>
      <c r="M31" s="12" t="s">
        <v>63</v>
      </c>
      <c r="N31" s="12" t="s">
        <v>63</v>
      </c>
      <c r="O31" s="12" t="s">
        <v>63</v>
      </c>
      <c r="P31" s="12" t="s">
        <v>374</v>
      </c>
      <c r="Q31" s="12" t="s">
        <v>342</v>
      </c>
      <c r="R31" s="12" t="s">
        <v>338</v>
      </c>
      <c r="S31" s="12" t="s">
        <v>338</v>
      </c>
      <c r="T31" s="12" t="s">
        <v>476</v>
      </c>
      <c r="U31" s="12" t="s">
        <v>66</v>
      </c>
      <c r="V31" s="12" t="s">
        <v>400</v>
      </c>
      <c r="W31" s="12" t="s">
        <v>320</v>
      </c>
      <c r="X31" s="12" t="s">
        <v>441</v>
      </c>
      <c r="Y31" s="12" t="s">
        <v>442</v>
      </c>
      <c r="Z31" s="12" t="s">
        <v>402</v>
      </c>
      <c r="AA31" s="12" t="s">
        <v>403</v>
      </c>
      <c r="AB31" s="12" t="s">
        <v>342</v>
      </c>
      <c r="AC31" s="12" t="s">
        <v>64</v>
      </c>
      <c r="AD31" s="12" t="s">
        <v>468</v>
      </c>
      <c r="AE31" s="135">
        <f t="shared" si="0"/>
        <v>0.7114120370024466</v>
      </c>
      <c r="AF31" s="135">
        <f t="shared" si="1"/>
        <v>-14.288587962997553</v>
      </c>
      <c r="AG31" s="6" t="s">
        <v>481</v>
      </c>
    </row>
    <row r="32" spans="1:33" ht="180" x14ac:dyDescent="0.25">
      <c r="A32" s="127">
        <v>46154.307673611103</v>
      </c>
      <c r="B32" s="129" t="s">
        <v>77</v>
      </c>
      <c r="C32" s="132">
        <v>46153</v>
      </c>
      <c r="D32" s="133" t="s">
        <v>191</v>
      </c>
      <c r="E32" s="11" t="s">
        <v>163</v>
      </c>
      <c r="F32" s="4" t="s">
        <v>232</v>
      </c>
      <c r="G32" s="11" t="s">
        <v>276</v>
      </c>
      <c r="H32" s="11" t="s">
        <v>316</v>
      </c>
      <c r="I32" s="11" t="s">
        <v>86</v>
      </c>
      <c r="J32" s="129" t="s">
        <v>63</v>
      </c>
      <c r="K32" s="131">
        <v>46193</v>
      </c>
      <c r="L32" s="12" t="s">
        <v>63</v>
      </c>
      <c r="M32" s="12" t="s">
        <v>63</v>
      </c>
      <c r="N32" s="12" t="s">
        <v>63</v>
      </c>
      <c r="O32" s="12" t="s">
        <v>63</v>
      </c>
      <c r="P32" s="12" t="s">
        <v>375</v>
      </c>
      <c r="Q32" s="12" t="s">
        <v>342</v>
      </c>
      <c r="R32" s="12" t="s">
        <v>338</v>
      </c>
      <c r="S32" s="12" t="s">
        <v>338</v>
      </c>
      <c r="T32" s="12" t="s">
        <v>476</v>
      </c>
      <c r="U32" s="12" t="s">
        <v>66</v>
      </c>
      <c r="V32" s="12" t="s">
        <v>400</v>
      </c>
      <c r="W32" s="12" t="s">
        <v>320</v>
      </c>
      <c r="X32" s="12" t="s">
        <v>443</v>
      </c>
      <c r="Y32" s="12" t="s">
        <v>444</v>
      </c>
      <c r="Z32" s="12" t="s">
        <v>402</v>
      </c>
      <c r="AA32" s="12" t="s">
        <v>403</v>
      </c>
      <c r="AB32" s="12" t="s">
        <v>342</v>
      </c>
      <c r="AC32" s="12" t="s">
        <v>64</v>
      </c>
      <c r="AD32" s="12" t="s">
        <v>468</v>
      </c>
      <c r="AE32" s="135">
        <f t="shared" si="0"/>
        <v>1.3076736111033824</v>
      </c>
      <c r="AF32" s="135">
        <f t="shared" si="1"/>
        <v>-38.692326388896618</v>
      </c>
      <c r="AG32" s="6" t="s">
        <v>481</v>
      </c>
    </row>
    <row r="33" spans="1:33" ht="195" x14ac:dyDescent="0.25">
      <c r="A33" s="127">
        <v>46156.340405092596</v>
      </c>
      <c r="B33" s="129" t="s">
        <v>77</v>
      </c>
      <c r="C33" s="132">
        <v>46156</v>
      </c>
      <c r="D33" s="133" t="s">
        <v>192</v>
      </c>
      <c r="E33" s="11" t="s">
        <v>157</v>
      </c>
      <c r="F33" s="4" t="s">
        <v>233</v>
      </c>
      <c r="G33" s="11" t="s">
        <v>277</v>
      </c>
      <c r="H33" s="11" t="s">
        <v>317</v>
      </c>
      <c r="I33" s="11" t="s">
        <v>49</v>
      </c>
      <c r="J33" s="129" t="s">
        <v>63</v>
      </c>
      <c r="K33" s="131">
        <v>46167</v>
      </c>
      <c r="L33" s="12" t="s">
        <v>63</v>
      </c>
      <c r="M33" s="12" t="s">
        <v>63</v>
      </c>
      <c r="N33" s="12" t="s">
        <v>63</v>
      </c>
      <c r="O33" s="12" t="s">
        <v>63</v>
      </c>
      <c r="P33" s="12" t="s">
        <v>376</v>
      </c>
      <c r="Q33" s="12" t="s">
        <v>342</v>
      </c>
      <c r="R33" s="12" t="s">
        <v>338</v>
      </c>
      <c r="S33" s="12" t="s">
        <v>338</v>
      </c>
      <c r="T33" s="12" t="s">
        <v>476</v>
      </c>
      <c r="U33" s="12" t="s">
        <v>66</v>
      </c>
      <c r="V33" s="12" t="s">
        <v>424</v>
      </c>
      <c r="W33" s="12" t="s">
        <v>396</v>
      </c>
      <c r="X33" s="12" t="s">
        <v>445</v>
      </c>
      <c r="Y33" s="12" t="s">
        <v>446</v>
      </c>
      <c r="Z33" s="12" t="s">
        <v>402</v>
      </c>
      <c r="AA33" s="12" t="s">
        <v>411</v>
      </c>
      <c r="AB33" s="12" t="s">
        <v>342</v>
      </c>
      <c r="AC33" s="12" t="s">
        <v>64</v>
      </c>
      <c r="AD33" s="12" t="s">
        <v>468</v>
      </c>
      <c r="AE33" s="135">
        <f t="shared" si="0"/>
        <v>0.34040509259648388</v>
      </c>
      <c r="AF33" s="135">
        <f t="shared" si="1"/>
        <v>-10.659594907403516</v>
      </c>
      <c r="AG33" s="6" t="s">
        <v>481</v>
      </c>
    </row>
    <row r="34" spans="1:33" ht="150" x14ac:dyDescent="0.25">
      <c r="A34" s="127">
        <v>46162.547939814802</v>
      </c>
      <c r="B34" s="129" t="s">
        <v>77</v>
      </c>
      <c r="C34" s="132">
        <v>46158</v>
      </c>
      <c r="D34" s="133" t="s">
        <v>193</v>
      </c>
      <c r="E34" s="11" t="s">
        <v>176</v>
      </c>
      <c r="F34" s="4" t="s">
        <v>234</v>
      </c>
      <c r="G34" s="11" t="s">
        <v>278</v>
      </c>
      <c r="H34" s="11" t="s">
        <v>318</v>
      </c>
      <c r="I34" s="11" t="s">
        <v>327</v>
      </c>
      <c r="J34" s="129" t="s">
        <v>63</v>
      </c>
      <c r="K34" s="131">
        <v>46168</v>
      </c>
      <c r="L34" s="12" t="s">
        <v>63</v>
      </c>
      <c r="M34" s="12" t="s">
        <v>63</v>
      </c>
      <c r="N34" s="12" t="s">
        <v>63</v>
      </c>
      <c r="O34" s="12" t="s">
        <v>63</v>
      </c>
      <c r="P34" s="12" t="s">
        <v>377</v>
      </c>
      <c r="Q34" s="12" t="s">
        <v>342</v>
      </c>
      <c r="R34" s="12" t="s">
        <v>338</v>
      </c>
      <c r="S34" s="12" t="s">
        <v>338</v>
      </c>
      <c r="T34" s="12" t="s">
        <v>476</v>
      </c>
      <c r="U34" s="12" t="s">
        <v>66</v>
      </c>
      <c r="V34" s="12" t="s">
        <v>400</v>
      </c>
      <c r="W34" s="12" t="s">
        <v>320</v>
      </c>
      <c r="X34" s="12" t="s">
        <v>447</v>
      </c>
      <c r="Y34" s="12" t="s">
        <v>448</v>
      </c>
      <c r="Z34" s="12" t="s">
        <v>402</v>
      </c>
      <c r="AA34" s="12" t="s">
        <v>403</v>
      </c>
      <c r="AB34" s="12" t="s">
        <v>342</v>
      </c>
      <c r="AC34" s="12" t="s">
        <v>64</v>
      </c>
      <c r="AD34" s="12" t="s">
        <v>468</v>
      </c>
      <c r="AE34" s="135">
        <f t="shared" si="0"/>
        <v>4.5479398148017935</v>
      </c>
      <c r="AF34" s="135">
        <f t="shared" si="1"/>
        <v>-5.4520601851982065</v>
      </c>
      <c r="AG34" s="6" t="s">
        <v>481</v>
      </c>
    </row>
    <row r="35" spans="1:33" ht="225" x14ac:dyDescent="0.25">
      <c r="A35" s="127">
        <v>46163.319155092599</v>
      </c>
      <c r="B35" s="129" t="s">
        <v>77</v>
      </c>
      <c r="C35" s="132">
        <v>46162</v>
      </c>
      <c r="D35" s="133" t="s">
        <v>194</v>
      </c>
      <c r="E35" s="11" t="s">
        <v>160</v>
      </c>
      <c r="F35" s="4" t="s">
        <v>235</v>
      </c>
      <c r="G35" s="11" t="s">
        <v>279</v>
      </c>
      <c r="H35" s="11" t="s">
        <v>302</v>
      </c>
      <c r="I35" s="11" t="s">
        <v>328</v>
      </c>
      <c r="J35" s="129" t="s">
        <v>62</v>
      </c>
      <c r="K35" s="131">
        <v>46168</v>
      </c>
      <c r="L35" s="12" t="s">
        <v>63</v>
      </c>
      <c r="M35" s="12" t="s">
        <v>63</v>
      </c>
      <c r="N35" s="12" t="s">
        <v>63</v>
      </c>
      <c r="O35" s="12" t="s">
        <v>63</v>
      </c>
      <c r="P35" s="12" t="s">
        <v>378</v>
      </c>
      <c r="Q35" s="12" t="s">
        <v>342</v>
      </c>
      <c r="R35" s="12" t="s">
        <v>338</v>
      </c>
      <c r="S35" s="12" t="s">
        <v>338</v>
      </c>
      <c r="T35" s="12" t="s">
        <v>476</v>
      </c>
      <c r="U35" s="12" t="s">
        <v>66</v>
      </c>
      <c r="V35" s="12" t="s">
        <v>400</v>
      </c>
      <c r="W35" s="12" t="s">
        <v>320</v>
      </c>
      <c r="X35" s="12" t="s">
        <v>449</v>
      </c>
      <c r="Y35" s="12" t="s">
        <v>450</v>
      </c>
      <c r="Z35" s="12" t="s">
        <v>402</v>
      </c>
      <c r="AA35" s="12" t="s">
        <v>403</v>
      </c>
      <c r="AB35" s="12" t="s">
        <v>342</v>
      </c>
      <c r="AC35" s="12" t="s">
        <v>64</v>
      </c>
      <c r="AD35" s="12" t="s">
        <v>468</v>
      </c>
      <c r="AE35" s="135">
        <f t="shared" si="0"/>
        <v>1.3191550925985212</v>
      </c>
      <c r="AF35" s="135">
        <f t="shared" si="1"/>
        <v>-4.6808449074014788</v>
      </c>
      <c r="AG35" s="6" t="s">
        <v>481</v>
      </c>
    </row>
    <row r="36" spans="1:33" ht="135" x14ac:dyDescent="0.25">
      <c r="A36" s="127">
        <v>46163.377372685201</v>
      </c>
      <c r="B36" s="129" t="s">
        <v>77</v>
      </c>
      <c r="C36" s="132">
        <v>46161</v>
      </c>
      <c r="D36" s="133" t="s">
        <v>195</v>
      </c>
      <c r="E36" s="11" t="s">
        <v>158</v>
      </c>
      <c r="F36" s="4" t="s">
        <v>226</v>
      </c>
      <c r="G36" s="11" t="s">
        <v>67</v>
      </c>
      <c r="H36" s="11" t="s">
        <v>309</v>
      </c>
      <c r="I36" s="11" t="s">
        <v>48</v>
      </c>
      <c r="J36" s="129" t="s">
        <v>62</v>
      </c>
      <c r="K36" s="131">
        <v>46167</v>
      </c>
      <c r="L36" s="12" t="s">
        <v>63</v>
      </c>
      <c r="M36" s="12" t="s">
        <v>63</v>
      </c>
      <c r="N36" s="12" t="s">
        <v>63</v>
      </c>
      <c r="O36" s="12" t="s">
        <v>63</v>
      </c>
      <c r="P36" s="12" t="s">
        <v>379</v>
      </c>
      <c r="Q36" s="12" t="s">
        <v>342</v>
      </c>
      <c r="R36" s="12" t="s">
        <v>338</v>
      </c>
      <c r="S36" s="12" t="s">
        <v>338</v>
      </c>
      <c r="T36" s="12" t="s">
        <v>476</v>
      </c>
      <c r="U36" s="12" t="s">
        <v>66</v>
      </c>
      <c r="V36" s="12" t="s">
        <v>400</v>
      </c>
      <c r="W36" s="12" t="s">
        <v>320</v>
      </c>
      <c r="X36" s="12" t="s">
        <v>451</v>
      </c>
      <c r="Y36" s="12" t="s">
        <v>452</v>
      </c>
      <c r="Z36" s="12" t="s">
        <v>402</v>
      </c>
      <c r="AA36" s="12" t="s">
        <v>403</v>
      </c>
      <c r="AB36" s="12" t="s">
        <v>342</v>
      </c>
      <c r="AC36" s="12" t="s">
        <v>64</v>
      </c>
      <c r="AD36" s="12" t="s">
        <v>468</v>
      </c>
      <c r="AE36" s="135">
        <f t="shared" si="0"/>
        <v>2.3773726852014079</v>
      </c>
      <c r="AF36" s="135">
        <f t="shared" si="1"/>
        <v>-3.6226273147985921</v>
      </c>
      <c r="AG36" s="6" t="s">
        <v>481</v>
      </c>
    </row>
    <row r="37" spans="1:33" ht="135" x14ac:dyDescent="0.25">
      <c r="A37" s="127">
        <v>46163.468310185199</v>
      </c>
      <c r="B37" s="129" t="s">
        <v>77</v>
      </c>
      <c r="C37" s="132">
        <v>46161</v>
      </c>
      <c r="D37" s="133" t="s">
        <v>196</v>
      </c>
      <c r="E37" s="11" t="s">
        <v>158</v>
      </c>
      <c r="F37" s="4" t="s">
        <v>236</v>
      </c>
      <c r="G37" s="11" t="s">
        <v>68</v>
      </c>
      <c r="H37" s="11" t="s">
        <v>72</v>
      </c>
      <c r="I37" s="11" t="s">
        <v>48</v>
      </c>
      <c r="J37" s="129" t="s">
        <v>62</v>
      </c>
      <c r="K37" s="131">
        <v>46167</v>
      </c>
      <c r="L37" s="12" t="s">
        <v>63</v>
      </c>
      <c r="M37" s="12" t="s">
        <v>63</v>
      </c>
      <c r="N37" s="12" t="s">
        <v>63</v>
      </c>
      <c r="O37" s="12" t="s">
        <v>63</v>
      </c>
      <c r="P37" s="12" t="s">
        <v>380</v>
      </c>
      <c r="Q37" s="12" t="s">
        <v>342</v>
      </c>
      <c r="R37" s="12" t="s">
        <v>338</v>
      </c>
      <c r="S37" s="12" t="s">
        <v>338</v>
      </c>
      <c r="T37" s="12" t="s">
        <v>476</v>
      </c>
      <c r="U37" s="12" t="s">
        <v>66</v>
      </c>
      <c r="V37" s="12" t="s">
        <v>400</v>
      </c>
      <c r="W37" s="12" t="s">
        <v>320</v>
      </c>
      <c r="X37" s="12" t="s">
        <v>453</v>
      </c>
      <c r="Y37" s="12" t="s">
        <v>454</v>
      </c>
      <c r="Z37" s="12" t="s">
        <v>402</v>
      </c>
      <c r="AA37" s="12" t="s">
        <v>403</v>
      </c>
      <c r="AB37" s="12" t="s">
        <v>342</v>
      </c>
      <c r="AC37" s="12" t="s">
        <v>64</v>
      </c>
      <c r="AD37" s="12" t="s">
        <v>468</v>
      </c>
      <c r="AE37" s="135">
        <f t="shared" si="0"/>
        <v>2.4683101851987885</v>
      </c>
      <c r="AF37" s="135">
        <f t="shared" si="1"/>
        <v>-3.5316898148012115</v>
      </c>
      <c r="AG37" s="6" t="s">
        <v>481</v>
      </c>
    </row>
    <row r="38" spans="1:33" ht="195" x14ac:dyDescent="0.25">
      <c r="A38" s="127">
        <v>46163.386435185203</v>
      </c>
      <c r="B38" s="129" t="s">
        <v>77</v>
      </c>
      <c r="C38" s="132">
        <v>46163</v>
      </c>
      <c r="D38" s="133" t="s">
        <v>197</v>
      </c>
      <c r="E38" s="11" t="s">
        <v>157</v>
      </c>
      <c r="F38" s="4" t="s">
        <v>237</v>
      </c>
      <c r="G38" s="11" t="s">
        <v>280</v>
      </c>
      <c r="H38" s="11" t="s">
        <v>319</v>
      </c>
      <c r="I38" s="11" t="s">
        <v>48</v>
      </c>
      <c r="J38" s="129" t="s">
        <v>62</v>
      </c>
      <c r="K38" s="131">
        <v>46167</v>
      </c>
      <c r="L38" s="12" t="s">
        <v>63</v>
      </c>
      <c r="M38" s="12" t="s">
        <v>63</v>
      </c>
      <c r="N38" s="12" t="s">
        <v>381</v>
      </c>
      <c r="O38" s="12" t="s">
        <v>63</v>
      </c>
      <c r="P38" s="12" t="s">
        <v>382</v>
      </c>
      <c r="Q38" s="12" t="s">
        <v>342</v>
      </c>
      <c r="R38" s="12" t="s">
        <v>338</v>
      </c>
      <c r="S38" s="12" t="s">
        <v>338</v>
      </c>
      <c r="T38" s="12" t="s">
        <v>476</v>
      </c>
      <c r="U38" s="12" t="s">
        <v>66</v>
      </c>
      <c r="V38" s="12" t="s">
        <v>400</v>
      </c>
      <c r="W38" s="12" t="s">
        <v>320</v>
      </c>
      <c r="X38" s="12" t="s">
        <v>455</v>
      </c>
      <c r="Y38" s="12" t="s">
        <v>456</v>
      </c>
      <c r="Z38" s="12" t="s">
        <v>402</v>
      </c>
      <c r="AA38" s="12" t="s">
        <v>403</v>
      </c>
      <c r="AB38" s="12" t="s">
        <v>342</v>
      </c>
      <c r="AC38" s="12" t="s">
        <v>64</v>
      </c>
      <c r="AD38" s="12" t="s">
        <v>468</v>
      </c>
      <c r="AE38" s="135">
        <f t="shared" si="0"/>
        <v>0.38643518520257203</v>
      </c>
      <c r="AF38" s="135">
        <f t="shared" si="1"/>
        <v>-3.613564814797428</v>
      </c>
      <c r="AG38" s="6" t="s">
        <v>481</v>
      </c>
    </row>
    <row r="39" spans="1:33" ht="150" x14ac:dyDescent="0.25">
      <c r="A39" s="127">
        <v>46183.647928240702</v>
      </c>
      <c r="B39" s="129" t="s">
        <v>77</v>
      </c>
      <c r="C39" s="132">
        <v>46167</v>
      </c>
      <c r="D39" s="133" t="s">
        <v>198</v>
      </c>
      <c r="E39" s="11" t="s">
        <v>199</v>
      </c>
      <c r="F39" s="4" t="s">
        <v>238</v>
      </c>
      <c r="G39" s="11" t="s">
        <v>281</v>
      </c>
      <c r="H39" s="11" t="s">
        <v>73</v>
      </c>
      <c r="I39" s="11" t="s">
        <v>329</v>
      </c>
      <c r="J39" s="129" t="s">
        <v>63</v>
      </c>
      <c r="K39" s="131">
        <v>46195</v>
      </c>
      <c r="L39" s="129" t="s">
        <v>63</v>
      </c>
      <c r="M39" s="129" t="s">
        <v>63</v>
      </c>
      <c r="N39" s="129" t="s">
        <v>63</v>
      </c>
      <c r="O39" s="129" t="s">
        <v>63</v>
      </c>
      <c r="P39" s="12" t="s">
        <v>383</v>
      </c>
      <c r="Q39" s="12" t="s">
        <v>342</v>
      </c>
      <c r="R39" s="12" t="s">
        <v>342</v>
      </c>
      <c r="S39" s="12" t="s">
        <v>338</v>
      </c>
      <c r="T39" s="12" t="s">
        <v>476</v>
      </c>
      <c r="U39" s="12" t="s">
        <v>66</v>
      </c>
      <c r="V39" s="12" t="s">
        <v>400</v>
      </c>
      <c r="W39" s="12" t="s">
        <v>320</v>
      </c>
      <c r="X39" s="12" t="s">
        <v>457</v>
      </c>
      <c r="Y39" s="12" t="s">
        <v>458</v>
      </c>
      <c r="Z39" s="12" t="s">
        <v>402</v>
      </c>
      <c r="AA39" s="12" t="s">
        <v>403</v>
      </c>
      <c r="AB39" s="12" t="s">
        <v>342</v>
      </c>
      <c r="AC39" s="12" t="s">
        <v>64</v>
      </c>
      <c r="AD39" s="12" t="s">
        <v>468</v>
      </c>
      <c r="AE39" s="135">
        <f t="shared" si="0"/>
        <v>16.647928240701731</v>
      </c>
      <c r="AF39" s="135">
        <f t="shared" si="1"/>
        <v>-11.352071759298269</v>
      </c>
      <c r="AG39" s="6" t="s">
        <v>481</v>
      </c>
    </row>
    <row r="40" spans="1:33" ht="225" x14ac:dyDescent="0.25">
      <c r="A40" s="127">
        <v>46184.408587963</v>
      </c>
      <c r="B40" s="129" t="s">
        <v>77</v>
      </c>
      <c r="C40" s="132">
        <v>46168</v>
      </c>
      <c r="D40" s="133" t="s">
        <v>200</v>
      </c>
      <c r="E40" s="11" t="s">
        <v>158</v>
      </c>
      <c r="F40" s="4" t="s">
        <v>239</v>
      </c>
      <c r="G40" s="11" t="s">
        <v>282</v>
      </c>
      <c r="H40" s="11" t="s">
        <v>320</v>
      </c>
      <c r="I40" s="11" t="s">
        <v>39</v>
      </c>
      <c r="J40" s="129" t="s">
        <v>62</v>
      </c>
      <c r="K40" s="131">
        <v>46189</v>
      </c>
      <c r="L40" s="129" t="s">
        <v>63</v>
      </c>
      <c r="M40" s="129" t="s">
        <v>63</v>
      </c>
      <c r="N40" s="129" t="s">
        <v>63</v>
      </c>
      <c r="O40" s="129" t="s">
        <v>63</v>
      </c>
      <c r="P40" s="12" t="s">
        <v>384</v>
      </c>
      <c r="Q40" s="12" t="s">
        <v>342</v>
      </c>
      <c r="R40" s="12" t="s">
        <v>338</v>
      </c>
      <c r="S40" s="12" t="s">
        <v>338</v>
      </c>
      <c r="T40" s="12" t="s">
        <v>476</v>
      </c>
      <c r="U40" s="12" t="s">
        <v>66</v>
      </c>
      <c r="V40" s="12" t="s">
        <v>400</v>
      </c>
      <c r="W40" s="12" t="s">
        <v>320</v>
      </c>
      <c r="X40" s="12" t="s">
        <v>459</v>
      </c>
      <c r="Y40" s="12" t="s">
        <v>460</v>
      </c>
      <c r="Z40" s="12" t="s">
        <v>402</v>
      </c>
      <c r="AA40" s="12" t="s">
        <v>403</v>
      </c>
      <c r="AB40" s="12" t="s">
        <v>342</v>
      </c>
      <c r="AC40" s="12" t="s">
        <v>64</v>
      </c>
      <c r="AD40" s="12" t="s">
        <v>468</v>
      </c>
      <c r="AE40" s="135">
        <f t="shared" si="0"/>
        <v>16.408587963000173</v>
      </c>
      <c r="AF40" s="135">
        <f t="shared" si="1"/>
        <v>-4.5914120369998273</v>
      </c>
      <c r="AG40" s="6" t="s">
        <v>481</v>
      </c>
    </row>
    <row r="41" spans="1:33" ht="210" x14ac:dyDescent="0.25">
      <c r="A41" s="127">
        <v>46185.704305555599</v>
      </c>
      <c r="B41" s="129" t="s">
        <v>77</v>
      </c>
      <c r="C41" s="132">
        <v>46169</v>
      </c>
      <c r="D41" s="133" t="s">
        <v>201</v>
      </c>
      <c r="E41" s="11" t="s">
        <v>160</v>
      </c>
      <c r="F41" s="4" t="s">
        <v>240</v>
      </c>
      <c r="G41" s="11" t="s">
        <v>283</v>
      </c>
      <c r="H41" s="11" t="s">
        <v>320</v>
      </c>
      <c r="I41" s="11" t="s">
        <v>86</v>
      </c>
      <c r="J41" s="129" t="s">
        <v>62</v>
      </c>
      <c r="K41" s="131">
        <v>46191</v>
      </c>
      <c r="L41" s="129" t="s">
        <v>63</v>
      </c>
      <c r="M41" s="129" t="s">
        <v>63</v>
      </c>
      <c r="N41" s="129" t="s">
        <v>63</v>
      </c>
      <c r="O41" s="129" t="s">
        <v>63</v>
      </c>
      <c r="P41" s="12" t="s">
        <v>385</v>
      </c>
      <c r="Q41" s="12" t="s">
        <v>342</v>
      </c>
      <c r="R41" s="12" t="s">
        <v>338</v>
      </c>
      <c r="S41" s="12" t="s">
        <v>338</v>
      </c>
      <c r="T41" s="12" t="s">
        <v>476</v>
      </c>
      <c r="U41" s="12" t="s">
        <v>66</v>
      </c>
      <c r="V41" s="12" t="s">
        <v>400</v>
      </c>
      <c r="W41" s="12" t="s">
        <v>320</v>
      </c>
      <c r="X41" s="12" t="s">
        <v>461</v>
      </c>
      <c r="Y41" s="12" t="s">
        <v>462</v>
      </c>
      <c r="Z41" s="12" t="s">
        <v>402</v>
      </c>
      <c r="AA41" s="12" t="s">
        <v>403</v>
      </c>
      <c r="AB41" s="12" t="s">
        <v>342</v>
      </c>
      <c r="AC41" s="12" t="s">
        <v>64</v>
      </c>
      <c r="AD41" s="12" t="s">
        <v>468</v>
      </c>
      <c r="AE41" s="136">
        <f t="shared" si="0"/>
        <v>16.704305555598694</v>
      </c>
      <c r="AF41" s="136">
        <f t="shared" si="1"/>
        <v>-5.2956944444013061</v>
      </c>
      <c r="AG41" s="6" t="s">
        <v>481</v>
      </c>
    </row>
    <row r="42" spans="1:33" x14ac:dyDescent="0.25">
      <c r="A42" s="128">
        <v>46184.6386921296</v>
      </c>
      <c r="B42" s="130" t="s">
        <v>77</v>
      </c>
      <c r="C42" s="132" t="s">
        <v>471</v>
      </c>
      <c r="D42" s="132" t="s">
        <v>471</v>
      </c>
      <c r="E42" s="132" t="s">
        <v>471</v>
      </c>
      <c r="F42" s="4" t="s">
        <v>241</v>
      </c>
      <c r="G42" s="11" t="s">
        <v>284</v>
      </c>
      <c r="H42" s="11" t="s">
        <v>321</v>
      </c>
      <c r="I42" s="11" t="s">
        <v>39</v>
      </c>
      <c r="J42" s="130" t="s">
        <v>63</v>
      </c>
      <c r="K42" s="134"/>
      <c r="AE42" s="136" t="e">
        <f t="shared" ref="AE42:AE48" si="2">A42-C42</f>
        <v>#VALUE!</v>
      </c>
      <c r="AF42" s="136">
        <f t="shared" ref="AF42:AF48" si="3">A42-K42</f>
        <v>46184.6386921296</v>
      </c>
    </row>
    <row r="43" spans="1:33" x14ac:dyDescent="0.25">
      <c r="A43" s="128">
        <v>46184.526087963</v>
      </c>
      <c r="B43" s="130" t="s">
        <v>77</v>
      </c>
      <c r="C43" s="132" t="s">
        <v>471</v>
      </c>
      <c r="D43" s="132" t="s">
        <v>471</v>
      </c>
      <c r="E43" s="132" t="s">
        <v>471</v>
      </c>
      <c r="F43" s="4" t="s">
        <v>242</v>
      </c>
      <c r="G43" s="11" t="s">
        <v>250</v>
      </c>
      <c r="H43" s="11" t="s">
        <v>320</v>
      </c>
      <c r="I43" s="11" t="s">
        <v>86</v>
      </c>
      <c r="J43" s="130" t="s">
        <v>62</v>
      </c>
      <c r="K43" s="134"/>
      <c r="AE43" s="136" t="e">
        <f t="shared" si="2"/>
        <v>#VALUE!</v>
      </c>
      <c r="AF43" s="136">
        <f t="shared" si="3"/>
        <v>46184.526087963</v>
      </c>
    </row>
    <row r="44" spans="1:33" ht="240" x14ac:dyDescent="0.25">
      <c r="A44" s="127">
        <v>46167</v>
      </c>
      <c r="B44" s="129" t="s">
        <v>77</v>
      </c>
      <c r="C44" s="132">
        <v>46167</v>
      </c>
      <c r="D44" s="133" t="s">
        <v>202</v>
      </c>
      <c r="E44" s="11" t="s">
        <v>199</v>
      </c>
      <c r="F44" s="4" t="s">
        <v>214</v>
      </c>
      <c r="G44" s="11" t="s">
        <v>285</v>
      </c>
      <c r="H44" s="11" t="s">
        <v>298</v>
      </c>
      <c r="I44" s="11" t="s">
        <v>39</v>
      </c>
      <c r="J44" s="129" t="s">
        <v>62</v>
      </c>
      <c r="K44" s="131">
        <v>46189</v>
      </c>
      <c r="L44" s="12" t="s">
        <v>338</v>
      </c>
      <c r="M44" s="12" t="s">
        <v>338</v>
      </c>
      <c r="N44" s="12" t="s">
        <v>386</v>
      </c>
      <c r="O44" s="12" t="s">
        <v>338</v>
      </c>
      <c r="P44" s="12" t="s">
        <v>338</v>
      </c>
      <c r="Q44" s="12" t="s">
        <v>65</v>
      </c>
      <c r="R44" s="12" t="s">
        <v>477</v>
      </c>
      <c r="S44" s="12" t="s">
        <v>477</v>
      </c>
      <c r="T44" s="12" t="s">
        <v>338</v>
      </c>
      <c r="U44" s="12" t="s">
        <v>66</v>
      </c>
      <c r="V44" s="12" t="s">
        <v>424</v>
      </c>
      <c r="W44" s="12" t="s">
        <v>396</v>
      </c>
      <c r="X44" s="12" t="s">
        <v>463</v>
      </c>
      <c r="Y44" s="12" t="s">
        <v>464</v>
      </c>
      <c r="Z44" s="12" t="s">
        <v>402</v>
      </c>
      <c r="AA44" s="12" t="s">
        <v>405</v>
      </c>
      <c r="AB44" s="12" t="s">
        <v>65</v>
      </c>
      <c r="AC44" s="12" t="s">
        <v>64</v>
      </c>
      <c r="AD44" s="12" t="s">
        <v>468</v>
      </c>
      <c r="AE44" s="136">
        <f t="shared" si="2"/>
        <v>0</v>
      </c>
      <c r="AF44" s="136">
        <f t="shared" si="3"/>
        <v>-22</v>
      </c>
      <c r="AG44" s="6" t="s">
        <v>479</v>
      </c>
    </row>
    <row r="45" spans="1:33" ht="45" x14ac:dyDescent="0.25">
      <c r="A45" s="128">
        <v>46176.478692129604</v>
      </c>
      <c r="B45" s="130" t="s">
        <v>153</v>
      </c>
      <c r="C45" s="132" t="s">
        <v>471</v>
      </c>
      <c r="D45" s="132" t="s">
        <v>471</v>
      </c>
      <c r="E45" s="132" t="s">
        <v>471</v>
      </c>
      <c r="F45" s="4" t="s">
        <v>243</v>
      </c>
      <c r="G45" s="11" t="s">
        <v>286</v>
      </c>
      <c r="H45" s="11" t="s">
        <v>322</v>
      </c>
      <c r="I45" s="11" t="s">
        <v>49</v>
      </c>
      <c r="J45" s="130" t="s">
        <v>62</v>
      </c>
      <c r="K45" s="134"/>
      <c r="AA45" s="12" t="s">
        <v>403</v>
      </c>
      <c r="AE45" s="136" t="e">
        <f t="shared" si="2"/>
        <v>#VALUE!</v>
      </c>
      <c r="AF45" s="136">
        <f t="shared" si="3"/>
        <v>46176.478692129604</v>
      </c>
    </row>
    <row r="46" spans="1:33" x14ac:dyDescent="0.25">
      <c r="A46" s="128">
        <v>46184.422083333302</v>
      </c>
      <c r="B46" s="127" t="s">
        <v>475</v>
      </c>
      <c r="C46" s="132" t="s">
        <v>471</v>
      </c>
      <c r="D46" s="132" t="s">
        <v>471</v>
      </c>
      <c r="E46" s="132" t="s">
        <v>471</v>
      </c>
      <c r="F46" s="4" t="s">
        <v>244</v>
      </c>
      <c r="G46" s="11" t="s">
        <v>287</v>
      </c>
      <c r="H46" s="11" t="s">
        <v>320</v>
      </c>
      <c r="I46" s="11" t="s">
        <v>86</v>
      </c>
      <c r="J46" s="130" t="s">
        <v>62</v>
      </c>
      <c r="K46" s="134"/>
      <c r="AE46" s="136" t="e">
        <f t="shared" si="2"/>
        <v>#VALUE!</v>
      </c>
      <c r="AF46" s="136">
        <f t="shared" si="3"/>
        <v>46184.422083333302</v>
      </c>
    </row>
    <row r="47" spans="1:33" x14ac:dyDescent="0.25">
      <c r="A47" s="128">
        <v>46182.6073958333</v>
      </c>
      <c r="B47" s="130" t="s">
        <v>154</v>
      </c>
      <c r="C47" s="132" t="s">
        <v>471</v>
      </c>
      <c r="D47" s="132" t="s">
        <v>471</v>
      </c>
      <c r="E47" s="132" t="s">
        <v>471</v>
      </c>
      <c r="F47" s="4" t="s">
        <v>245</v>
      </c>
      <c r="G47" s="11" t="s">
        <v>288</v>
      </c>
      <c r="H47" s="11" t="s">
        <v>323</v>
      </c>
      <c r="I47" s="11" t="s">
        <v>325</v>
      </c>
      <c r="J47" s="130" t="s">
        <v>62</v>
      </c>
      <c r="K47" s="134"/>
      <c r="AE47" s="136" t="e">
        <f t="shared" si="2"/>
        <v>#VALUE!</v>
      </c>
      <c r="AF47" s="136">
        <f t="shared" si="3"/>
        <v>46182.6073958333</v>
      </c>
    </row>
    <row r="48" spans="1:33" x14ac:dyDescent="0.25">
      <c r="A48" s="128">
        <v>46191.471412036997</v>
      </c>
      <c r="B48" s="130" t="s">
        <v>74</v>
      </c>
      <c r="C48" s="132" t="s">
        <v>471</v>
      </c>
      <c r="D48" s="132" t="s">
        <v>471</v>
      </c>
      <c r="E48" s="132" t="s">
        <v>471</v>
      </c>
      <c r="F48" s="4" t="s">
        <v>246</v>
      </c>
      <c r="G48" s="11" t="s">
        <v>289</v>
      </c>
      <c r="H48" s="11" t="s">
        <v>324</v>
      </c>
      <c r="I48" s="11" t="s">
        <v>48</v>
      </c>
      <c r="J48" s="130" t="s">
        <v>62</v>
      </c>
      <c r="K48" s="134"/>
      <c r="AE48" s="136" t="e">
        <f t="shared" si="2"/>
        <v>#VALUE!</v>
      </c>
      <c r="AF48" s="136">
        <f t="shared" si="3"/>
        <v>46191.471412036997</v>
      </c>
    </row>
  </sheetData>
  <autoFilter ref="A1:AG48" xr:uid="{AA449B4C-F9BA-4C85-84E7-9780C0F695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ECBB7-3B83-466E-BD30-6BCBBC79AAAD}">
  <dimension ref="A1:R52"/>
  <sheetViews>
    <sheetView workbookViewId="0">
      <selection activeCell="B60" sqref="B60"/>
    </sheetView>
  </sheetViews>
  <sheetFormatPr baseColWidth="10" defaultRowHeight="15" x14ac:dyDescent="0.25"/>
  <cols>
    <col min="1" max="1" width="54.140625" customWidth="1"/>
  </cols>
  <sheetData>
    <row r="1" spans="1:18" s="63" customFormat="1" ht="37.5" customHeight="1" x14ac:dyDescent="0.2">
      <c r="A1" s="108"/>
      <c r="B1" s="109"/>
      <c r="C1" s="109"/>
      <c r="D1" s="109"/>
      <c r="E1" s="110">
        <v>100</v>
      </c>
      <c r="F1" s="109"/>
      <c r="G1" s="64" t="s">
        <v>43</v>
      </c>
      <c r="H1" s="64"/>
      <c r="I1" s="64"/>
      <c r="J1" s="64"/>
      <c r="K1" s="64">
        <v>2025</v>
      </c>
      <c r="L1" s="64"/>
      <c r="M1" s="64"/>
      <c r="N1" s="64"/>
      <c r="O1" s="64"/>
      <c r="P1" s="64"/>
    </row>
    <row r="2" spans="1:18" s="66" customFormat="1" ht="26.25" customHeight="1" x14ac:dyDescent="0.25">
      <c r="A2" s="64" t="s">
        <v>85</v>
      </c>
      <c r="B2" s="109"/>
      <c r="C2" s="109"/>
      <c r="D2" s="109"/>
      <c r="E2" s="109"/>
      <c r="F2" s="109"/>
      <c r="G2" s="64" t="s">
        <v>33</v>
      </c>
      <c r="H2" s="64">
        <v>100</v>
      </c>
      <c r="I2" s="64"/>
      <c r="J2" s="64" t="s">
        <v>34</v>
      </c>
      <c r="K2" s="64">
        <v>100</v>
      </c>
      <c r="L2" s="64"/>
      <c r="M2" s="64" t="s">
        <v>32</v>
      </c>
      <c r="N2" s="64">
        <v>100</v>
      </c>
      <c r="O2" s="64"/>
      <c r="P2" s="64"/>
    </row>
    <row r="3" spans="1:18" s="63" customFormat="1" ht="24.75" customHeight="1" x14ac:dyDescent="0.2">
      <c r="A3" s="67" t="s">
        <v>35</v>
      </c>
      <c r="B3" s="67"/>
      <c r="C3" s="67"/>
      <c r="D3" s="67"/>
      <c r="E3" s="67"/>
      <c r="F3" s="67"/>
      <c r="G3" s="67"/>
      <c r="H3" s="67"/>
      <c r="I3" s="67"/>
      <c r="J3" s="67"/>
      <c r="K3" s="67"/>
      <c r="L3" s="67"/>
      <c r="M3" s="67"/>
      <c r="N3" s="67"/>
      <c r="O3" s="67"/>
      <c r="P3" s="67"/>
    </row>
    <row r="4" spans="1:18" s="63" customFormat="1" ht="12.75" x14ac:dyDescent="0.2">
      <c r="A4" s="111" t="s">
        <v>36</v>
      </c>
      <c r="B4" s="123">
        <v>45658</v>
      </c>
      <c r="C4" s="123">
        <v>45689</v>
      </c>
      <c r="D4" s="123">
        <v>45717</v>
      </c>
      <c r="E4" s="69" t="s">
        <v>3</v>
      </c>
      <c r="F4" s="69" t="s">
        <v>4</v>
      </c>
      <c r="G4" s="69" t="s">
        <v>5</v>
      </c>
      <c r="H4" s="69" t="s">
        <v>6</v>
      </c>
      <c r="I4" s="69" t="s">
        <v>7</v>
      </c>
      <c r="J4" s="70" t="s">
        <v>8</v>
      </c>
      <c r="K4" s="70" t="s">
        <v>9</v>
      </c>
      <c r="L4" s="70" t="s">
        <v>10</v>
      </c>
      <c r="M4" s="70" t="s">
        <v>11</v>
      </c>
      <c r="N4" s="70" t="s">
        <v>37</v>
      </c>
      <c r="O4" s="71"/>
      <c r="P4" s="71"/>
    </row>
    <row r="5" spans="1:18" s="63" customFormat="1" ht="34.15" customHeight="1" x14ac:dyDescent="0.2">
      <c r="A5" s="72" t="s">
        <v>19</v>
      </c>
      <c r="B5" s="73">
        <v>1</v>
      </c>
      <c r="C5" s="73">
        <v>0</v>
      </c>
      <c r="D5" s="73">
        <v>1</v>
      </c>
      <c r="E5" s="80">
        <v>1</v>
      </c>
      <c r="F5" s="80">
        <v>0</v>
      </c>
      <c r="G5" s="80">
        <v>0</v>
      </c>
      <c r="H5" s="73">
        <v>0</v>
      </c>
      <c r="I5" s="73">
        <v>0</v>
      </c>
      <c r="J5" s="74">
        <v>0</v>
      </c>
      <c r="K5" s="75">
        <v>1</v>
      </c>
      <c r="L5" s="75">
        <v>0</v>
      </c>
      <c r="M5" s="75">
        <v>1</v>
      </c>
      <c r="N5" s="75">
        <f>SUM(B5:M5)</f>
        <v>5</v>
      </c>
      <c r="O5" s="76"/>
      <c r="P5" s="77"/>
    </row>
    <row r="6" spans="1:18" s="63" customFormat="1" ht="34.15" customHeight="1" x14ac:dyDescent="0.2">
      <c r="A6" s="72" t="s">
        <v>20</v>
      </c>
      <c r="B6" s="73">
        <v>0</v>
      </c>
      <c r="C6" s="73">
        <v>1</v>
      </c>
      <c r="D6" s="73">
        <v>1</v>
      </c>
      <c r="E6" s="80">
        <v>0</v>
      </c>
      <c r="F6" s="80">
        <v>1</v>
      </c>
      <c r="G6" s="80">
        <v>0</v>
      </c>
      <c r="H6" s="73">
        <v>0</v>
      </c>
      <c r="I6" s="73">
        <v>0</v>
      </c>
      <c r="J6" s="74">
        <v>1</v>
      </c>
      <c r="K6" s="75">
        <v>2</v>
      </c>
      <c r="L6" s="75">
        <v>0</v>
      </c>
      <c r="M6" s="75">
        <v>1</v>
      </c>
      <c r="N6" s="75">
        <f>SUM(B6:M6)</f>
        <v>7</v>
      </c>
      <c r="O6" s="78"/>
      <c r="P6" s="79"/>
    </row>
    <row r="7" spans="1:18" s="63" customFormat="1" ht="34.15" customHeight="1" x14ac:dyDescent="0.2">
      <c r="A7" s="72" t="s">
        <v>21</v>
      </c>
      <c r="B7" s="73">
        <v>0</v>
      </c>
      <c r="C7" s="73">
        <v>0</v>
      </c>
      <c r="D7" s="73">
        <v>1</v>
      </c>
      <c r="E7" s="80">
        <v>0</v>
      </c>
      <c r="F7" s="80">
        <v>0</v>
      </c>
      <c r="G7" s="80">
        <v>0</v>
      </c>
      <c r="H7" s="73">
        <v>2</v>
      </c>
      <c r="I7" s="73">
        <v>1</v>
      </c>
      <c r="J7" s="74">
        <v>1</v>
      </c>
      <c r="K7" s="75">
        <v>2</v>
      </c>
      <c r="L7" s="75">
        <v>1</v>
      </c>
      <c r="M7" s="75">
        <v>0</v>
      </c>
      <c r="N7" s="75">
        <f t="shared" ref="N7:N17" si="0">SUM(B7:M7)</f>
        <v>8</v>
      </c>
      <c r="O7" s="78"/>
      <c r="P7" s="79"/>
    </row>
    <row r="8" spans="1:18" s="63" customFormat="1" ht="34.15" customHeight="1" x14ac:dyDescent="0.2">
      <c r="A8" s="72" t="s">
        <v>79</v>
      </c>
      <c r="B8" s="73">
        <v>4</v>
      </c>
      <c r="C8" s="73">
        <v>3</v>
      </c>
      <c r="D8" s="73">
        <v>6</v>
      </c>
      <c r="E8" s="80">
        <v>8</v>
      </c>
      <c r="F8" s="80">
        <v>6</v>
      </c>
      <c r="G8" s="80">
        <v>4</v>
      </c>
      <c r="H8" s="73">
        <v>5</v>
      </c>
      <c r="I8" s="73">
        <v>5</v>
      </c>
      <c r="J8" s="74">
        <v>8</v>
      </c>
      <c r="K8" s="75">
        <v>10</v>
      </c>
      <c r="L8" s="75">
        <v>4</v>
      </c>
      <c r="M8" s="75">
        <v>3</v>
      </c>
      <c r="N8" s="75">
        <f t="shared" si="0"/>
        <v>66</v>
      </c>
      <c r="O8" s="78"/>
      <c r="P8" s="79"/>
    </row>
    <row r="9" spans="1:18" s="63" customFormat="1" ht="34.15" customHeight="1" x14ac:dyDescent="0.2">
      <c r="A9" s="72" t="s">
        <v>54</v>
      </c>
      <c r="B9" s="73">
        <v>0</v>
      </c>
      <c r="C9" s="73">
        <v>0</v>
      </c>
      <c r="D9" s="73">
        <v>0</v>
      </c>
      <c r="E9" s="80">
        <v>0</v>
      </c>
      <c r="F9" s="80">
        <v>0</v>
      </c>
      <c r="G9" s="80">
        <v>1</v>
      </c>
      <c r="H9" s="73">
        <v>1</v>
      </c>
      <c r="I9" s="73">
        <v>0</v>
      </c>
      <c r="J9" s="73">
        <v>0</v>
      </c>
      <c r="K9" s="75">
        <v>2</v>
      </c>
      <c r="L9" s="75">
        <v>0</v>
      </c>
      <c r="M9" s="75">
        <v>0</v>
      </c>
      <c r="N9" s="75">
        <f t="shared" si="0"/>
        <v>4</v>
      </c>
      <c r="O9" s="78"/>
      <c r="P9" s="79"/>
    </row>
    <row r="10" spans="1:18" s="63" customFormat="1" ht="52.15" customHeight="1" x14ac:dyDescent="0.2">
      <c r="A10" s="81" t="s">
        <v>30</v>
      </c>
      <c r="B10" s="73">
        <v>0</v>
      </c>
      <c r="C10" s="73">
        <v>1</v>
      </c>
      <c r="D10" s="73">
        <v>2</v>
      </c>
      <c r="E10" s="80">
        <v>0</v>
      </c>
      <c r="F10" s="80">
        <v>14</v>
      </c>
      <c r="G10" s="80">
        <v>0</v>
      </c>
      <c r="H10" s="73">
        <v>0</v>
      </c>
      <c r="I10" s="73">
        <v>0</v>
      </c>
      <c r="J10" s="74">
        <v>4</v>
      </c>
      <c r="K10" s="75">
        <v>122</v>
      </c>
      <c r="L10" s="75">
        <v>0</v>
      </c>
      <c r="M10" s="75">
        <v>45</v>
      </c>
      <c r="N10" s="75">
        <f t="shared" si="0"/>
        <v>188</v>
      </c>
      <c r="O10" s="78"/>
      <c r="P10" s="79"/>
    </row>
    <row r="11" spans="1:18" s="63" customFormat="1" ht="33.6" customHeight="1" x14ac:dyDescent="0.2">
      <c r="A11" s="72" t="s">
        <v>80</v>
      </c>
      <c r="B11" s="73">
        <v>0</v>
      </c>
      <c r="C11" s="73">
        <v>0</v>
      </c>
      <c r="D11" s="73">
        <v>0</v>
      </c>
      <c r="E11" s="80">
        <v>0</v>
      </c>
      <c r="F11" s="80">
        <v>0</v>
      </c>
      <c r="G11" s="80">
        <v>0</v>
      </c>
      <c r="H11" s="73">
        <v>0</v>
      </c>
      <c r="I11" s="73">
        <v>0</v>
      </c>
      <c r="J11" s="73">
        <v>0</v>
      </c>
      <c r="K11" s="74">
        <v>32</v>
      </c>
      <c r="L11" s="75">
        <v>0</v>
      </c>
      <c r="M11" s="75">
        <v>30</v>
      </c>
      <c r="N11" s="75">
        <f t="shared" si="0"/>
        <v>62</v>
      </c>
      <c r="O11" s="78"/>
      <c r="P11" s="79"/>
    </row>
    <row r="12" spans="1:18" s="63" customFormat="1" ht="33.6" customHeight="1" x14ac:dyDescent="0.2">
      <c r="A12" s="72" t="s">
        <v>25</v>
      </c>
      <c r="B12" s="82">
        <v>738</v>
      </c>
      <c r="C12" s="82">
        <v>708</v>
      </c>
      <c r="D12" s="82">
        <v>729</v>
      </c>
      <c r="E12" s="83">
        <v>746</v>
      </c>
      <c r="F12" s="82">
        <v>750</v>
      </c>
      <c r="G12" s="82">
        <v>733</v>
      </c>
      <c r="H12" s="82">
        <v>709</v>
      </c>
      <c r="I12" s="82">
        <v>690</v>
      </c>
      <c r="J12" s="82">
        <v>703</v>
      </c>
      <c r="K12" s="82">
        <v>728</v>
      </c>
      <c r="L12" s="82">
        <v>743</v>
      </c>
      <c r="M12" s="83">
        <v>715</v>
      </c>
      <c r="N12" s="75">
        <f>AVERAGE(B12:M12)</f>
        <v>724.33333333333337</v>
      </c>
      <c r="O12" s="78"/>
      <c r="P12" s="79"/>
      <c r="R12" s="84"/>
    </row>
    <row r="13" spans="1:18" s="63" customFormat="1" ht="33.6" customHeight="1" x14ac:dyDescent="0.2">
      <c r="A13" s="72" t="s">
        <v>26</v>
      </c>
      <c r="B13" s="85">
        <f>16468+42442+121978</f>
        <v>180888</v>
      </c>
      <c r="C13" s="85">
        <f>17932+40318+120618</f>
        <v>178868</v>
      </c>
      <c r="D13" s="85">
        <f>17403+41056+173988</f>
        <v>232447</v>
      </c>
      <c r="E13" s="83">
        <v>232803</v>
      </c>
      <c r="F13" s="85">
        <v>187499</v>
      </c>
      <c r="G13" s="85">
        <v>187499</v>
      </c>
      <c r="H13" s="85">
        <v>187499</v>
      </c>
      <c r="I13" s="85">
        <v>187499</v>
      </c>
      <c r="J13" s="86">
        <v>172688</v>
      </c>
      <c r="K13" s="86">
        <v>172894</v>
      </c>
      <c r="L13" s="85">
        <v>177040</v>
      </c>
      <c r="M13" s="86">
        <v>176488</v>
      </c>
      <c r="N13" s="75">
        <f>SUM(B13:M13)</f>
        <v>2274112</v>
      </c>
      <c r="O13" s="78"/>
      <c r="P13" s="79"/>
    </row>
    <row r="14" spans="1:18" s="63" customFormat="1" ht="33.6" customHeight="1" x14ac:dyDescent="0.2">
      <c r="A14" s="72" t="s">
        <v>42</v>
      </c>
      <c r="B14" s="73">
        <v>0</v>
      </c>
      <c r="C14" s="73">
        <v>0</v>
      </c>
      <c r="D14" s="73">
        <v>0</v>
      </c>
      <c r="E14" s="73">
        <v>0</v>
      </c>
      <c r="F14" s="73">
        <v>0</v>
      </c>
      <c r="G14" s="73">
        <v>0</v>
      </c>
      <c r="H14" s="73">
        <v>0</v>
      </c>
      <c r="I14" s="73">
        <v>0</v>
      </c>
      <c r="J14" s="73">
        <v>0</v>
      </c>
      <c r="K14" s="73">
        <v>0</v>
      </c>
      <c r="L14" s="73">
        <v>0</v>
      </c>
      <c r="M14" s="73">
        <v>0</v>
      </c>
      <c r="N14" s="75">
        <f t="shared" si="0"/>
        <v>0</v>
      </c>
      <c r="O14" s="78"/>
      <c r="P14" s="79"/>
    </row>
    <row r="15" spans="1:18" s="63" customFormat="1" ht="33.6" customHeight="1" x14ac:dyDescent="0.2">
      <c r="A15" s="72" t="s">
        <v>81</v>
      </c>
      <c r="B15" s="73">
        <v>0</v>
      </c>
      <c r="C15" s="73">
        <v>0</v>
      </c>
      <c r="D15" s="73">
        <v>0</v>
      </c>
      <c r="E15" s="73">
        <v>0</v>
      </c>
      <c r="F15" s="73">
        <v>2</v>
      </c>
      <c r="G15" s="73">
        <v>0</v>
      </c>
      <c r="H15" s="73">
        <v>0</v>
      </c>
      <c r="I15" s="73">
        <v>0</v>
      </c>
      <c r="J15" s="73">
        <v>0</v>
      </c>
      <c r="K15" s="73">
        <v>0</v>
      </c>
      <c r="L15" s="73">
        <v>0</v>
      </c>
      <c r="M15" s="73">
        <v>0</v>
      </c>
      <c r="N15" s="75">
        <f t="shared" si="0"/>
        <v>2</v>
      </c>
      <c r="O15" s="78"/>
      <c r="P15" s="79"/>
    </row>
    <row r="16" spans="1:18" s="63" customFormat="1" ht="33.6" customHeight="1" x14ac:dyDescent="0.2">
      <c r="A16" s="81" t="s">
        <v>82</v>
      </c>
      <c r="B16" s="73">
        <v>0</v>
      </c>
      <c r="C16" s="73">
        <v>0</v>
      </c>
      <c r="D16" s="73">
        <v>0</v>
      </c>
      <c r="E16" s="73">
        <v>0</v>
      </c>
      <c r="F16" s="73">
        <v>2</v>
      </c>
      <c r="G16" s="73">
        <v>0</v>
      </c>
      <c r="H16" s="73">
        <v>0</v>
      </c>
      <c r="I16" s="73">
        <v>0</v>
      </c>
      <c r="J16" s="73">
        <v>0</v>
      </c>
      <c r="K16" s="73">
        <v>0</v>
      </c>
      <c r="L16" s="73">
        <v>0</v>
      </c>
      <c r="M16" s="73">
        <v>0</v>
      </c>
      <c r="N16" s="75">
        <f t="shared" si="0"/>
        <v>2</v>
      </c>
      <c r="O16" s="78"/>
      <c r="P16" s="79"/>
    </row>
    <row r="17" spans="1:16" s="63" customFormat="1" ht="33.6" customHeight="1" x14ac:dyDescent="0.2">
      <c r="A17" s="81" t="s">
        <v>87</v>
      </c>
      <c r="B17" s="124">
        <v>0</v>
      </c>
      <c r="C17" s="124">
        <v>0</v>
      </c>
      <c r="D17" s="124">
        <v>0</v>
      </c>
      <c r="E17" s="124">
        <v>1</v>
      </c>
      <c r="F17" s="124">
        <v>0</v>
      </c>
      <c r="G17" s="124">
        <v>0</v>
      </c>
      <c r="H17" s="124">
        <v>0</v>
      </c>
      <c r="I17" s="124">
        <v>0</v>
      </c>
      <c r="J17" s="124">
        <v>0</v>
      </c>
      <c r="K17" s="124">
        <v>0</v>
      </c>
      <c r="L17" s="124">
        <v>0</v>
      </c>
      <c r="M17" s="124">
        <v>0</v>
      </c>
      <c r="N17" s="75">
        <f t="shared" si="0"/>
        <v>1</v>
      </c>
      <c r="O17" s="78"/>
      <c r="P17" s="79"/>
    </row>
    <row r="18" spans="1:16" s="91" customFormat="1" ht="33.6" customHeight="1" x14ac:dyDescent="0.2">
      <c r="A18" s="112" t="s">
        <v>14</v>
      </c>
      <c r="B18" s="113">
        <f t="shared" ref="B18:M18" si="1">IFERROR((((B$6+B$7)/B$12)*$K$2),0)</f>
        <v>0</v>
      </c>
      <c r="C18" s="113">
        <f t="shared" si="1"/>
        <v>0.14124293785310735</v>
      </c>
      <c r="D18" s="113">
        <f t="shared" si="1"/>
        <v>0.2743484224965706</v>
      </c>
      <c r="E18" s="113">
        <f t="shared" si="1"/>
        <v>0</v>
      </c>
      <c r="F18" s="113">
        <f t="shared" si="1"/>
        <v>0.13333333333333333</v>
      </c>
      <c r="G18" s="113">
        <f t="shared" si="1"/>
        <v>0</v>
      </c>
      <c r="H18" s="113">
        <f t="shared" si="1"/>
        <v>0.28208744710860367</v>
      </c>
      <c r="I18" s="113">
        <f t="shared" si="1"/>
        <v>0.14492753623188406</v>
      </c>
      <c r="J18" s="113">
        <f t="shared" si="1"/>
        <v>0.28449502133712662</v>
      </c>
      <c r="K18" s="113">
        <f t="shared" si="1"/>
        <v>0.5494505494505495</v>
      </c>
      <c r="L18" s="113">
        <f t="shared" si="1"/>
        <v>0.13458950201884254</v>
      </c>
      <c r="M18" s="113">
        <f t="shared" si="1"/>
        <v>0.13986013986013987</v>
      </c>
      <c r="N18" s="90">
        <f t="shared" ref="N18:N25" si="2">AVERAGE(B18:M18)</f>
        <v>0.17369457414084646</v>
      </c>
      <c r="O18" s="78"/>
      <c r="P18" s="79"/>
    </row>
    <row r="19" spans="1:16" s="91" customFormat="1" ht="33.6" customHeight="1" x14ac:dyDescent="0.2">
      <c r="A19" s="112" t="s">
        <v>15</v>
      </c>
      <c r="B19" s="114">
        <f t="shared" ref="B19:M19" si="3">IFERROR((((B$10+B$11)/B$12)*$K$2),0)</f>
        <v>0</v>
      </c>
      <c r="C19" s="114">
        <f t="shared" si="3"/>
        <v>0.14124293785310735</v>
      </c>
      <c r="D19" s="114">
        <f t="shared" si="3"/>
        <v>0.2743484224965706</v>
      </c>
      <c r="E19" s="114">
        <f t="shared" si="3"/>
        <v>0</v>
      </c>
      <c r="F19" s="114">
        <f t="shared" si="3"/>
        <v>1.8666666666666669</v>
      </c>
      <c r="G19" s="114">
        <f t="shared" si="3"/>
        <v>0</v>
      </c>
      <c r="H19" s="114">
        <f t="shared" si="3"/>
        <v>0</v>
      </c>
      <c r="I19" s="114">
        <f t="shared" si="3"/>
        <v>0</v>
      </c>
      <c r="J19" s="114">
        <f t="shared" si="3"/>
        <v>0.56899004267425324</v>
      </c>
      <c r="K19" s="114">
        <f t="shared" si="3"/>
        <v>21.153846153846153</v>
      </c>
      <c r="L19" s="114">
        <f t="shared" si="3"/>
        <v>0</v>
      </c>
      <c r="M19" s="114">
        <f t="shared" si="3"/>
        <v>10.48951048951049</v>
      </c>
      <c r="N19" s="90">
        <f t="shared" si="2"/>
        <v>2.8745503927539366</v>
      </c>
      <c r="O19" s="78"/>
      <c r="P19" s="79"/>
    </row>
    <row r="20" spans="1:16" s="91" customFormat="1" ht="33.6" customHeight="1" x14ac:dyDescent="0.2">
      <c r="A20" s="112" t="s">
        <v>12</v>
      </c>
      <c r="B20" s="115">
        <f t="shared" ref="B20:M20" si="4">+(B$18*B$19)/1000</f>
        <v>0</v>
      </c>
      <c r="C20" s="115">
        <f t="shared" si="4"/>
        <v>1.9949567493376745E-5</v>
      </c>
      <c r="D20" s="115">
        <f t="shared" si="4"/>
        <v>7.5267056926356813E-5</v>
      </c>
      <c r="E20" s="115">
        <f t="shared" si="4"/>
        <v>0</v>
      </c>
      <c r="F20" s="115">
        <f t="shared" si="4"/>
        <v>2.4888888888888893E-4</v>
      </c>
      <c r="G20" s="115">
        <f t="shared" si="4"/>
        <v>0</v>
      </c>
      <c r="H20" s="115">
        <f t="shared" si="4"/>
        <v>0</v>
      </c>
      <c r="I20" s="115">
        <f t="shared" si="4"/>
        <v>0</v>
      </c>
      <c r="J20" s="115">
        <f t="shared" si="4"/>
        <v>1.6187483433122426E-4</v>
      </c>
      <c r="K20" s="115">
        <f t="shared" si="4"/>
        <v>1.1622992392223162E-2</v>
      </c>
      <c r="L20" s="115">
        <f t="shared" si="4"/>
        <v>0</v>
      </c>
      <c r="M20" s="115">
        <f t="shared" si="4"/>
        <v>1.4670644041273413E-3</v>
      </c>
      <c r="N20" s="90">
        <f t="shared" si="2"/>
        <v>1.1330030953325292E-3</v>
      </c>
      <c r="O20" s="78"/>
      <c r="P20" s="79"/>
    </row>
    <row r="21" spans="1:16" s="91" customFormat="1" ht="33.6" customHeight="1" x14ac:dyDescent="0.2">
      <c r="A21" s="112" t="s">
        <v>13</v>
      </c>
      <c r="B21" s="115">
        <f t="shared" ref="B21:M21" si="5">IFERROR((((B$6+B$7)/B$12)*$E$1),0)</f>
        <v>0</v>
      </c>
      <c r="C21" s="115">
        <f t="shared" si="5"/>
        <v>0.14124293785310735</v>
      </c>
      <c r="D21" s="115">
        <f t="shared" si="5"/>
        <v>0.2743484224965706</v>
      </c>
      <c r="E21" s="115">
        <f t="shared" si="5"/>
        <v>0</v>
      </c>
      <c r="F21" s="115">
        <f t="shared" si="5"/>
        <v>0.13333333333333333</v>
      </c>
      <c r="G21" s="115">
        <f t="shared" si="5"/>
        <v>0</v>
      </c>
      <c r="H21" s="115">
        <f t="shared" si="5"/>
        <v>0.28208744710860367</v>
      </c>
      <c r="I21" s="115">
        <f t="shared" si="5"/>
        <v>0.14492753623188406</v>
      </c>
      <c r="J21" s="115">
        <f t="shared" si="5"/>
        <v>0.28449502133712662</v>
      </c>
      <c r="K21" s="115">
        <f t="shared" si="5"/>
        <v>0.5494505494505495</v>
      </c>
      <c r="L21" s="115">
        <f t="shared" si="5"/>
        <v>0.13458950201884254</v>
      </c>
      <c r="M21" s="115">
        <f t="shared" si="5"/>
        <v>0.13986013986013987</v>
      </c>
      <c r="N21" s="90">
        <f t="shared" si="2"/>
        <v>0.17369457414084646</v>
      </c>
      <c r="O21" s="78"/>
      <c r="P21" s="79"/>
    </row>
    <row r="22" spans="1:16" s="91" customFormat="1" ht="33.6" customHeight="1" x14ac:dyDescent="0.2">
      <c r="A22" s="112" t="s">
        <v>84</v>
      </c>
      <c r="B22" s="115">
        <f>IFERROR(((B$11/B$12)*$E$1),0)</f>
        <v>0</v>
      </c>
      <c r="C22" s="115">
        <f t="shared" ref="C22:M22" si="6">IFERROR(((C$11/C$12)*$E$1),0)</f>
        <v>0</v>
      </c>
      <c r="D22" s="115">
        <f t="shared" si="6"/>
        <v>0</v>
      </c>
      <c r="E22" s="115">
        <f t="shared" si="6"/>
        <v>0</v>
      </c>
      <c r="F22" s="115">
        <f t="shared" si="6"/>
        <v>0</v>
      </c>
      <c r="G22" s="115">
        <f t="shared" si="6"/>
        <v>0</v>
      </c>
      <c r="H22" s="115">
        <f t="shared" si="6"/>
        <v>0</v>
      </c>
      <c r="I22" s="115">
        <f t="shared" si="6"/>
        <v>0</v>
      </c>
      <c r="J22" s="115">
        <f t="shared" si="6"/>
        <v>0</v>
      </c>
      <c r="K22" s="115">
        <f t="shared" si="6"/>
        <v>4.395604395604396</v>
      </c>
      <c r="L22" s="115">
        <f t="shared" si="6"/>
        <v>0</v>
      </c>
      <c r="M22" s="115">
        <f t="shared" si="6"/>
        <v>4.1958041958041958</v>
      </c>
      <c r="N22" s="90">
        <f t="shared" si="2"/>
        <v>0.71595071595071591</v>
      </c>
      <c r="O22" s="78"/>
      <c r="P22" s="79"/>
    </row>
    <row r="23" spans="1:16" s="91" customFormat="1" ht="33.6" customHeight="1" x14ac:dyDescent="0.2">
      <c r="A23" s="112" t="s">
        <v>83</v>
      </c>
      <c r="B23" s="115">
        <f>IFERROR(((B$8/B$12)*$E$1),0)</f>
        <v>0.54200542005420049</v>
      </c>
      <c r="C23" s="115">
        <f t="shared" ref="C23:N23" si="7">IFERROR(((C$8/C$12)*$E$1),0)</f>
        <v>0.42372881355932202</v>
      </c>
      <c r="D23" s="115">
        <f t="shared" si="7"/>
        <v>0.82304526748971196</v>
      </c>
      <c r="E23" s="115">
        <f t="shared" si="7"/>
        <v>1.0723860589812333</v>
      </c>
      <c r="F23" s="115">
        <f t="shared" si="7"/>
        <v>0.8</v>
      </c>
      <c r="G23" s="115">
        <f t="shared" si="7"/>
        <v>0.54570259208731242</v>
      </c>
      <c r="H23" s="115">
        <f t="shared" si="7"/>
        <v>0.70521861777150918</v>
      </c>
      <c r="I23" s="115">
        <f t="shared" si="7"/>
        <v>0.72463768115942029</v>
      </c>
      <c r="J23" s="115">
        <f t="shared" si="7"/>
        <v>1.1379800853485065</v>
      </c>
      <c r="K23" s="115">
        <f t="shared" si="7"/>
        <v>1.3736263736263736</v>
      </c>
      <c r="L23" s="115">
        <f t="shared" si="7"/>
        <v>0.53835800807537015</v>
      </c>
      <c r="M23" s="115">
        <f t="shared" si="7"/>
        <v>0.41958041958041958</v>
      </c>
      <c r="N23" s="90">
        <f t="shared" si="7"/>
        <v>9.1118269673262766</v>
      </c>
      <c r="O23" s="78"/>
      <c r="P23" s="79"/>
    </row>
    <row r="24" spans="1:16" s="91" customFormat="1" ht="33.6" customHeight="1" x14ac:dyDescent="0.2">
      <c r="A24" s="112" t="s">
        <v>17</v>
      </c>
      <c r="B24" s="115">
        <f>IFERROR((((B$6+B$7)/B$12)*$E$1),0)</f>
        <v>0</v>
      </c>
      <c r="C24" s="115">
        <f t="shared" ref="C24:M24" si="8">IFERROR((((C$6+C$7)/C$12)*$E$1),0)</f>
        <v>0.14124293785310735</v>
      </c>
      <c r="D24" s="115">
        <f t="shared" si="8"/>
        <v>0.2743484224965706</v>
      </c>
      <c r="E24" s="115">
        <f t="shared" si="8"/>
        <v>0</v>
      </c>
      <c r="F24" s="115">
        <f t="shared" si="8"/>
        <v>0.13333333333333333</v>
      </c>
      <c r="G24" s="115">
        <f t="shared" si="8"/>
        <v>0</v>
      </c>
      <c r="H24" s="115">
        <f t="shared" si="8"/>
        <v>0.28208744710860367</v>
      </c>
      <c r="I24" s="115">
        <f t="shared" si="8"/>
        <v>0.14492753623188406</v>
      </c>
      <c r="J24" s="115">
        <f t="shared" si="8"/>
        <v>0.28449502133712662</v>
      </c>
      <c r="K24" s="115">
        <f t="shared" si="8"/>
        <v>0.5494505494505495</v>
      </c>
      <c r="L24" s="115">
        <f t="shared" si="8"/>
        <v>0.13458950201884254</v>
      </c>
      <c r="M24" s="115">
        <f t="shared" si="8"/>
        <v>0.13986013986013987</v>
      </c>
      <c r="N24" s="90">
        <f t="shared" si="2"/>
        <v>0.17369457414084646</v>
      </c>
      <c r="O24" s="78"/>
      <c r="P24" s="79"/>
    </row>
    <row r="25" spans="1:16" s="91" customFormat="1" ht="33.6" customHeight="1" x14ac:dyDescent="0.2">
      <c r="A25" s="112" t="s">
        <v>41</v>
      </c>
      <c r="B25" s="115">
        <f>IFERROR(((B$14)/(B$6+B$7)*$K$2),0)</f>
        <v>0</v>
      </c>
      <c r="C25" s="115">
        <f t="shared" ref="C25:M25" si="9">IFERROR(((C$14)/(C$6+C$7)*$K$2),0)</f>
        <v>0</v>
      </c>
      <c r="D25" s="115">
        <f t="shared" si="9"/>
        <v>0</v>
      </c>
      <c r="E25" s="115">
        <f t="shared" si="9"/>
        <v>0</v>
      </c>
      <c r="F25" s="115">
        <f t="shared" si="9"/>
        <v>0</v>
      </c>
      <c r="G25" s="115">
        <f t="shared" si="9"/>
        <v>0</v>
      </c>
      <c r="H25" s="115">
        <f t="shared" si="9"/>
        <v>0</v>
      </c>
      <c r="I25" s="115">
        <f t="shared" si="9"/>
        <v>0</v>
      </c>
      <c r="J25" s="115">
        <f t="shared" si="9"/>
        <v>0</v>
      </c>
      <c r="K25" s="115">
        <f t="shared" si="9"/>
        <v>0</v>
      </c>
      <c r="L25" s="115">
        <f t="shared" si="9"/>
        <v>0</v>
      </c>
      <c r="M25" s="115">
        <f t="shared" si="9"/>
        <v>0</v>
      </c>
      <c r="N25" s="90">
        <f t="shared" si="2"/>
        <v>0</v>
      </c>
      <c r="O25" s="78"/>
      <c r="P25" s="79"/>
    </row>
    <row r="26" spans="1:16" s="118" customFormat="1" ht="33.6" customHeight="1" x14ac:dyDescent="0.25">
      <c r="A26" s="116" t="s">
        <v>31</v>
      </c>
      <c r="B26" s="117">
        <v>2.3917000000000001E-3</v>
      </c>
      <c r="C26" s="117">
        <v>2.3917000000000001E-3</v>
      </c>
      <c r="D26" s="117">
        <v>2.3917000000000001E-3</v>
      </c>
      <c r="E26" s="117">
        <v>2.3917000000000001E-3</v>
      </c>
      <c r="F26" s="117">
        <v>2.3917000000000001E-3</v>
      </c>
      <c r="G26" s="117">
        <v>2.3917000000000001E-3</v>
      </c>
      <c r="H26" s="117">
        <v>2.3917000000000001E-3</v>
      </c>
      <c r="I26" s="117">
        <v>2.3917000000000001E-3</v>
      </c>
      <c r="J26" s="117">
        <v>2.3917000000000001E-3</v>
      </c>
      <c r="K26" s="117">
        <v>2.3917000000000001E-3</v>
      </c>
      <c r="L26" s="117">
        <v>2.3917000000000001E-3</v>
      </c>
      <c r="M26" s="117">
        <v>2.3917000000000001E-3</v>
      </c>
      <c r="N26" s="116"/>
      <c r="O26" s="95"/>
      <c r="P26" s="96"/>
    </row>
    <row r="27" spans="1:16" s="63" customFormat="1" ht="63.6" customHeight="1" x14ac:dyDescent="0.2">
      <c r="A27" s="97" t="s">
        <v>38</v>
      </c>
      <c r="B27" s="119"/>
      <c r="C27" s="119"/>
      <c r="D27" s="119"/>
      <c r="E27" s="119"/>
      <c r="F27" s="119"/>
      <c r="G27" s="98"/>
      <c r="H27" s="98"/>
      <c r="I27" s="98"/>
      <c r="J27" s="98"/>
      <c r="K27" s="98"/>
      <c r="L27" s="98"/>
      <c r="M27" s="98"/>
      <c r="N27" s="98"/>
      <c r="O27" s="98"/>
      <c r="P27" s="98"/>
    </row>
    <row r="28" spans="1:16" s="63" customFormat="1" ht="323.25" customHeight="1" x14ac:dyDescent="0.2">
      <c r="A28" s="99"/>
      <c r="B28" s="120"/>
      <c r="C28" s="120"/>
      <c r="D28" s="120"/>
      <c r="E28" s="120"/>
      <c r="F28" s="120"/>
      <c r="G28" s="100"/>
      <c r="H28" s="100"/>
      <c r="I28" s="100"/>
      <c r="J28" s="100"/>
      <c r="K28" s="100"/>
      <c r="L28" s="100"/>
      <c r="M28" s="100"/>
      <c r="N28" s="100"/>
      <c r="O28" s="100"/>
      <c r="P28" s="100"/>
    </row>
    <row r="29" spans="1:16" s="63" customFormat="1" ht="53.25" customHeight="1" x14ac:dyDescent="0.2">
      <c r="A29" s="99"/>
      <c r="B29" s="120"/>
      <c r="C29" s="120"/>
      <c r="D29" s="120"/>
      <c r="E29" s="120"/>
      <c r="F29" s="120"/>
      <c r="G29" s="100"/>
      <c r="H29" s="100"/>
      <c r="I29" s="100"/>
      <c r="J29" s="100"/>
      <c r="K29" s="100"/>
      <c r="L29" s="100"/>
      <c r="M29" s="100"/>
      <c r="N29" s="100"/>
      <c r="O29" s="100"/>
      <c r="P29" s="100"/>
    </row>
    <row r="30" spans="1:16" s="63" customFormat="1" ht="53.25" customHeight="1" x14ac:dyDescent="0.2">
      <c r="A30" s="99"/>
      <c r="B30" s="120"/>
      <c r="C30" s="120"/>
      <c r="D30" s="120"/>
      <c r="E30" s="120"/>
      <c r="F30" s="120"/>
      <c r="G30" s="100"/>
      <c r="H30" s="100"/>
      <c r="I30" s="100"/>
      <c r="J30" s="100"/>
      <c r="K30" s="100"/>
      <c r="L30" s="100"/>
      <c r="M30" s="100"/>
      <c r="N30" s="100"/>
      <c r="O30" s="100"/>
      <c r="P30" s="100"/>
    </row>
    <row r="31" spans="1:16" s="63" customFormat="1" ht="53.25" customHeight="1" x14ac:dyDescent="0.2">
      <c r="A31" s="99"/>
      <c r="B31" s="120"/>
      <c r="C31" s="120"/>
      <c r="D31" s="120"/>
      <c r="E31" s="120"/>
      <c r="F31" s="120"/>
      <c r="G31" s="100"/>
      <c r="H31" s="100"/>
      <c r="I31" s="100"/>
      <c r="J31" s="100"/>
      <c r="K31" s="100"/>
      <c r="L31" s="100"/>
      <c r="M31" s="100"/>
      <c r="N31" s="100"/>
      <c r="O31" s="100"/>
      <c r="P31" s="100"/>
    </row>
    <row r="32" spans="1:16" s="63" customFormat="1" ht="53.25" customHeight="1" x14ac:dyDescent="0.2">
      <c r="A32" s="99"/>
      <c r="B32" s="120"/>
      <c r="C32" s="120"/>
      <c r="D32" s="120"/>
      <c r="E32" s="120"/>
      <c r="F32" s="120"/>
      <c r="G32" s="100"/>
      <c r="H32" s="100"/>
      <c r="I32" s="100"/>
      <c r="J32" s="100"/>
      <c r="K32" s="100"/>
      <c r="L32" s="100"/>
      <c r="M32" s="100"/>
      <c r="N32" s="100"/>
      <c r="O32" s="100"/>
      <c r="P32" s="100"/>
    </row>
    <row r="33" spans="1:16" s="63" customFormat="1" ht="53.25" customHeight="1" x14ac:dyDescent="0.2">
      <c r="A33" s="99"/>
      <c r="B33" s="120"/>
      <c r="C33" s="120"/>
      <c r="D33" s="120"/>
      <c r="E33" s="120"/>
      <c r="F33" s="120"/>
      <c r="G33" s="100"/>
      <c r="H33" s="100"/>
      <c r="I33" s="100"/>
      <c r="J33" s="100"/>
      <c r="K33" s="100"/>
      <c r="L33" s="100"/>
      <c r="M33" s="100"/>
      <c r="N33" s="100"/>
      <c r="O33" s="100"/>
      <c r="P33" s="100"/>
    </row>
    <row r="34" spans="1:16" s="63" customFormat="1" ht="53.25" customHeight="1" x14ac:dyDescent="0.2">
      <c r="A34" s="99"/>
      <c r="B34" s="120"/>
      <c r="C34" s="120"/>
      <c r="D34" s="120"/>
      <c r="E34" s="120"/>
      <c r="F34" s="120"/>
      <c r="G34" s="100"/>
      <c r="H34" s="100"/>
      <c r="I34" s="100"/>
      <c r="J34" s="100"/>
      <c r="K34" s="100"/>
      <c r="L34" s="100"/>
      <c r="M34" s="100"/>
      <c r="N34" s="100"/>
      <c r="O34" s="100"/>
      <c r="P34" s="100"/>
    </row>
    <row r="35" spans="1:16" s="63" customFormat="1" ht="53.25" customHeight="1" x14ac:dyDescent="0.2">
      <c r="A35" s="99"/>
      <c r="B35" s="120"/>
      <c r="C35" s="120"/>
      <c r="D35" s="120"/>
      <c r="E35" s="120"/>
      <c r="F35" s="120"/>
      <c r="G35" s="100"/>
      <c r="H35" s="100"/>
      <c r="I35" s="100"/>
      <c r="J35" s="100"/>
      <c r="K35" s="100"/>
      <c r="L35" s="100"/>
      <c r="M35" s="100"/>
      <c r="N35" s="100"/>
      <c r="O35" s="100"/>
      <c r="P35" s="100"/>
    </row>
    <row r="36" spans="1:16" s="63" customFormat="1" ht="53.25" customHeight="1" x14ac:dyDescent="0.2">
      <c r="A36" s="99"/>
      <c r="B36" s="120"/>
      <c r="C36" s="120"/>
      <c r="D36" s="120"/>
      <c r="E36" s="120"/>
      <c r="F36" s="120"/>
      <c r="G36" s="100"/>
      <c r="H36" s="100"/>
      <c r="I36" s="100"/>
      <c r="J36" s="100"/>
      <c r="K36" s="100"/>
      <c r="L36" s="100"/>
      <c r="M36" s="100"/>
      <c r="N36" s="100"/>
      <c r="O36" s="100"/>
      <c r="P36" s="100"/>
    </row>
    <row r="37" spans="1:16" s="63" customFormat="1" ht="53.25" customHeight="1" x14ac:dyDescent="0.2">
      <c r="A37" s="99"/>
      <c r="B37" s="120"/>
      <c r="C37" s="120"/>
      <c r="D37" s="120"/>
      <c r="E37" s="120"/>
      <c r="F37" s="120"/>
      <c r="G37" s="100"/>
      <c r="H37" s="100"/>
      <c r="I37" s="100"/>
      <c r="J37" s="100"/>
      <c r="K37" s="100"/>
      <c r="L37" s="100"/>
      <c r="M37" s="100"/>
      <c r="N37" s="100"/>
      <c r="O37" s="100"/>
      <c r="P37" s="100"/>
    </row>
    <row r="38" spans="1:16" s="63" customFormat="1" ht="53.25" customHeight="1" x14ac:dyDescent="0.2">
      <c r="A38" s="99"/>
      <c r="B38" s="120"/>
      <c r="C38" s="120"/>
      <c r="D38" s="120"/>
      <c r="E38" s="120"/>
      <c r="F38" s="120"/>
      <c r="G38" s="100"/>
      <c r="H38" s="100"/>
      <c r="I38" s="100"/>
      <c r="J38" s="100"/>
      <c r="K38" s="100"/>
      <c r="L38" s="100"/>
      <c r="M38" s="100"/>
      <c r="N38" s="100"/>
      <c r="O38" s="100"/>
      <c r="P38" s="100"/>
    </row>
    <row r="39" spans="1:16" s="63" customFormat="1" ht="43.15" customHeight="1" x14ac:dyDescent="0.2">
      <c r="A39" s="99"/>
      <c r="B39" s="120"/>
      <c r="C39" s="120"/>
      <c r="D39" s="120"/>
      <c r="E39" s="120"/>
      <c r="F39" s="120"/>
      <c r="G39" s="100"/>
      <c r="H39" s="100"/>
      <c r="I39" s="100"/>
      <c r="J39" s="100"/>
      <c r="K39" s="100"/>
      <c r="L39" s="100"/>
      <c r="M39" s="100"/>
      <c r="N39" s="100"/>
      <c r="O39" s="100"/>
      <c r="P39" s="100"/>
    </row>
    <row r="40" spans="1:16" s="104" customFormat="1" ht="17.25" customHeight="1" x14ac:dyDescent="0.2">
      <c r="A40" s="121" t="s">
        <v>16</v>
      </c>
      <c r="B40" s="102" t="s">
        <v>44</v>
      </c>
      <c r="C40" s="102"/>
      <c r="D40" s="102"/>
      <c r="E40" s="102"/>
      <c r="F40" s="102"/>
      <c r="G40" s="102"/>
      <c r="H40" s="102"/>
      <c r="I40" s="102" t="s">
        <v>55</v>
      </c>
      <c r="J40" s="102"/>
      <c r="K40" s="102"/>
      <c r="L40" s="102"/>
      <c r="M40" s="102"/>
      <c r="N40" s="103"/>
      <c r="O40" s="103"/>
    </row>
    <row r="41" spans="1:16" s="63" customFormat="1" ht="81.599999999999994" customHeight="1" x14ac:dyDescent="0.2">
      <c r="A41" s="122" t="s">
        <v>0</v>
      </c>
      <c r="B41" s="106" t="s">
        <v>138</v>
      </c>
      <c r="C41" s="106"/>
      <c r="D41" s="106"/>
      <c r="E41" s="106"/>
      <c r="F41" s="106"/>
      <c r="G41" s="106"/>
      <c r="H41" s="106"/>
      <c r="I41" s="106" t="s">
        <v>126</v>
      </c>
      <c r="J41" s="106"/>
      <c r="K41" s="106"/>
      <c r="L41" s="106"/>
      <c r="M41" s="106"/>
      <c r="N41" s="107"/>
      <c r="O41" s="107"/>
    </row>
    <row r="42" spans="1:16" s="63" customFormat="1" ht="81.599999999999994" customHeight="1" x14ac:dyDescent="0.2">
      <c r="A42" s="122" t="s">
        <v>1</v>
      </c>
      <c r="B42" s="106" t="s">
        <v>139</v>
      </c>
      <c r="C42" s="106"/>
      <c r="D42" s="106"/>
      <c r="E42" s="106"/>
      <c r="F42" s="106"/>
      <c r="G42" s="106"/>
      <c r="H42" s="106"/>
      <c r="I42" s="106" t="s">
        <v>126</v>
      </c>
      <c r="J42" s="106"/>
      <c r="K42" s="106"/>
      <c r="L42" s="106"/>
      <c r="M42" s="106"/>
      <c r="N42" s="107"/>
      <c r="O42" s="107"/>
    </row>
    <row r="43" spans="1:16" s="63" customFormat="1" ht="81.599999999999994" customHeight="1" x14ac:dyDescent="0.2">
      <c r="A43" s="122" t="s">
        <v>2</v>
      </c>
      <c r="B43" s="106" t="s">
        <v>140</v>
      </c>
      <c r="C43" s="106"/>
      <c r="D43" s="106"/>
      <c r="E43" s="106"/>
      <c r="F43" s="106"/>
      <c r="G43" s="106"/>
      <c r="H43" s="106"/>
      <c r="I43" s="106" t="s">
        <v>126</v>
      </c>
      <c r="J43" s="106"/>
      <c r="K43" s="106"/>
      <c r="L43" s="106"/>
      <c r="M43" s="106"/>
      <c r="N43" s="107"/>
      <c r="O43" s="107"/>
    </row>
    <row r="44" spans="1:16" s="63" customFormat="1" ht="85.15" customHeight="1" x14ac:dyDescent="0.2">
      <c r="A44" s="122" t="s">
        <v>3</v>
      </c>
      <c r="B44" s="106" t="s">
        <v>141</v>
      </c>
      <c r="C44" s="106"/>
      <c r="D44" s="106"/>
      <c r="E44" s="106"/>
      <c r="F44" s="106"/>
      <c r="G44" s="106"/>
      <c r="H44" s="106"/>
      <c r="I44" s="106" t="s">
        <v>126</v>
      </c>
      <c r="J44" s="106"/>
      <c r="K44" s="106"/>
      <c r="L44" s="106"/>
      <c r="M44" s="106"/>
      <c r="N44" s="107"/>
      <c r="O44" s="107"/>
    </row>
    <row r="45" spans="1:16" s="63" customFormat="1" ht="85.15" customHeight="1" x14ac:dyDescent="0.2">
      <c r="A45" s="122" t="s">
        <v>4</v>
      </c>
      <c r="B45" s="106" t="s">
        <v>142</v>
      </c>
      <c r="C45" s="106"/>
      <c r="D45" s="106"/>
      <c r="E45" s="106"/>
      <c r="F45" s="106"/>
      <c r="G45" s="106"/>
      <c r="H45" s="106"/>
      <c r="I45" s="106" t="s">
        <v>126</v>
      </c>
      <c r="J45" s="106"/>
      <c r="K45" s="106"/>
      <c r="L45" s="106"/>
      <c r="M45" s="106"/>
      <c r="N45" s="107"/>
      <c r="O45" s="107"/>
    </row>
    <row r="46" spans="1:16" s="63" customFormat="1" ht="92.45" customHeight="1" x14ac:dyDescent="0.2">
      <c r="A46" s="122" t="s">
        <v>5</v>
      </c>
      <c r="B46" s="106" t="s">
        <v>143</v>
      </c>
      <c r="C46" s="106"/>
      <c r="D46" s="106"/>
      <c r="E46" s="106"/>
      <c r="F46" s="106"/>
      <c r="G46" s="106"/>
      <c r="H46" s="106"/>
      <c r="I46" s="106" t="s">
        <v>126</v>
      </c>
      <c r="J46" s="106"/>
      <c r="K46" s="106"/>
      <c r="L46" s="106"/>
      <c r="M46" s="106"/>
      <c r="N46" s="107"/>
      <c r="O46" s="107"/>
    </row>
    <row r="47" spans="1:16" s="63" customFormat="1" ht="88.9" customHeight="1" x14ac:dyDescent="0.2">
      <c r="A47" s="122" t="s">
        <v>6</v>
      </c>
      <c r="B47" s="106" t="s">
        <v>144</v>
      </c>
      <c r="C47" s="106"/>
      <c r="D47" s="106"/>
      <c r="E47" s="106"/>
      <c r="F47" s="106"/>
      <c r="G47" s="106"/>
      <c r="H47" s="106"/>
      <c r="I47" s="106" t="s">
        <v>126</v>
      </c>
      <c r="J47" s="106"/>
      <c r="K47" s="106"/>
      <c r="L47" s="106"/>
      <c r="M47" s="106"/>
      <c r="N47" s="107"/>
      <c r="O47" s="107"/>
    </row>
    <row r="48" spans="1:16" s="63" customFormat="1" ht="78.75" customHeight="1" x14ac:dyDescent="0.2">
      <c r="A48" s="122" t="s">
        <v>7</v>
      </c>
      <c r="B48" s="106" t="s">
        <v>145</v>
      </c>
      <c r="C48" s="106"/>
      <c r="D48" s="106"/>
      <c r="E48" s="106"/>
      <c r="F48" s="106"/>
      <c r="G48" s="106"/>
      <c r="H48" s="106"/>
      <c r="I48" s="106" t="s">
        <v>126</v>
      </c>
      <c r="J48" s="106"/>
      <c r="K48" s="106"/>
      <c r="L48" s="106"/>
      <c r="M48" s="106"/>
      <c r="N48" s="107"/>
      <c r="O48" s="107"/>
    </row>
    <row r="49" spans="1:15" s="63" customFormat="1" ht="79.5" customHeight="1" x14ac:dyDescent="0.2">
      <c r="A49" s="122" t="s">
        <v>8</v>
      </c>
      <c r="B49" s="106" t="s">
        <v>146</v>
      </c>
      <c r="C49" s="106"/>
      <c r="D49" s="106"/>
      <c r="E49" s="106"/>
      <c r="F49" s="106"/>
      <c r="G49" s="106"/>
      <c r="H49" s="106"/>
      <c r="I49" s="106" t="s">
        <v>126</v>
      </c>
      <c r="J49" s="106"/>
      <c r="K49" s="106"/>
      <c r="L49" s="106"/>
      <c r="M49" s="106"/>
      <c r="N49" s="107"/>
      <c r="O49" s="107"/>
    </row>
    <row r="50" spans="1:15" s="63" customFormat="1" ht="89.25" customHeight="1" x14ac:dyDescent="0.2">
      <c r="A50" s="122" t="s">
        <v>9</v>
      </c>
      <c r="B50" s="106" t="s">
        <v>147</v>
      </c>
      <c r="C50" s="106"/>
      <c r="D50" s="106"/>
      <c r="E50" s="106"/>
      <c r="F50" s="106"/>
      <c r="G50" s="106"/>
      <c r="H50" s="106"/>
      <c r="I50" s="106" t="s">
        <v>126</v>
      </c>
      <c r="J50" s="106"/>
      <c r="K50" s="106"/>
      <c r="L50" s="106"/>
      <c r="M50" s="106"/>
      <c r="N50" s="107"/>
      <c r="O50" s="107"/>
    </row>
    <row r="51" spans="1:15" s="63" customFormat="1" ht="97.5" customHeight="1" x14ac:dyDescent="0.2">
      <c r="A51" s="122" t="s">
        <v>10</v>
      </c>
      <c r="B51" s="106" t="s">
        <v>148</v>
      </c>
      <c r="C51" s="106"/>
      <c r="D51" s="106"/>
      <c r="E51" s="106"/>
      <c r="F51" s="106"/>
      <c r="G51" s="106"/>
      <c r="H51" s="106"/>
      <c r="I51" s="106" t="s">
        <v>126</v>
      </c>
      <c r="J51" s="106"/>
      <c r="K51" s="106"/>
      <c r="L51" s="106"/>
      <c r="M51" s="106"/>
      <c r="N51" s="107"/>
      <c r="O51" s="107"/>
    </row>
    <row r="52" spans="1:15" s="63" customFormat="1" ht="96" customHeight="1" x14ac:dyDescent="0.2">
      <c r="A52" s="122" t="s">
        <v>11</v>
      </c>
      <c r="B52" s="106" t="s">
        <v>149</v>
      </c>
      <c r="C52" s="106"/>
      <c r="D52" s="106"/>
      <c r="E52" s="106"/>
      <c r="F52" s="106"/>
      <c r="G52" s="106"/>
      <c r="H52" s="106"/>
      <c r="I52" s="106" t="s">
        <v>126</v>
      </c>
      <c r="J52" s="106"/>
      <c r="K52" s="106"/>
      <c r="L52" s="106"/>
      <c r="M52" s="106"/>
      <c r="N52" s="107"/>
      <c r="O52" s="107"/>
    </row>
  </sheetData>
  <mergeCells count="29">
    <mergeCell ref="B51:H51"/>
    <mergeCell ref="I51:M51"/>
    <mergeCell ref="B52:H52"/>
    <mergeCell ref="I52:M52"/>
    <mergeCell ref="B48:H48"/>
    <mergeCell ref="I48:M48"/>
    <mergeCell ref="B49:H49"/>
    <mergeCell ref="I49:M49"/>
    <mergeCell ref="B50:H50"/>
    <mergeCell ref="I50:M50"/>
    <mergeCell ref="B45:H45"/>
    <mergeCell ref="I45:M45"/>
    <mergeCell ref="B46:H46"/>
    <mergeCell ref="I46:M46"/>
    <mergeCell ref="B47:H47"/>
    <mergeCell ref="I47:M47"/>
    <mergeCell ref="B42:H42"/>
    <mergeCell ref="I42:M42"/>
    <mergeCell ref="B43:H43"/>
    <mergeCell ref="I43:M43"/>
    <mergeCell ref="B44:H44"/>
    <mergeCell ref="I44:M44"/>
    <mergeCell ref="A3:P3"/>
    <mergeCell ref="O5:O26"/>
    <mergeCell ref="P5:P26"/>
    <mergeCell ref="B40:H40"/>
    <mergeCell ref="I40:M40"/>
    <mergeCell ref="B41:H41"/>
    <mergeCell ref="I41:M41"/>
  </mergeCells>
  <conditionalFormatting sqref="B20:J20 L20:M20">
    <cfRule type="cellIs" dxfId="8" priority="1" operator="greaterThan">
      <formula>0.002</formula>
    </cfRule>
    <cfRule type="cellIs" dxfId="7" priority="2" operator="greaterThan">
      <formula>0.003</formula>
    </cfRule>
    <cfRule type="cellIs" dxfId="6" priority="3" operator="greaterThan">
      <formula>0.002</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25BD-C4CE-4DE4-9A98-2B9D5393BFDF}">
  <dimension ref="A1:R51"/>
  <sheetViews>
    <sheetView zoomScale="90" zoomScaleNormal="90" workbookViewId="0">
      <selection activeCell="K15" sqref="K15"/>
    </sheetView>
  </sheetViews>
  <sheetFormatPr baseColWidth="10" defaultRowHeight="15" x14ac:dyDescent="0.25"/>
  <cols>
    <col min="1" max="1" width="56" customWidth="1"/>
  </cols>
  <sheetData>
    <row r="1" spans="1:18" s="63" customFormat="1" ht="37.5" customHeight="1" x14ac:dyDescent="0.2">
      <c r="A1" s="108"/>
      <c r="B1" s="109"/>
      <c r="C1" s="109"/>
      <c r="D1" s="109"/>
      <c r="E1" s="110">
        <v>100</v>
      </c>
      <c r="F1" s="109"/>
      <c r="G1" s="64" t="s">
        <v>43</v>
      </c>
      <c r="H1" s="64"/>
      <c r="I1" s="64"/>
      <c r="J1" s="64"/>
      <c r="K1" s="64">
        <v>2024</v>
      </c>
      <c r="L1" s="64"/>
      <c r="M1" s="64"/>
      <c r="N1" s="64"/>
      <c r="O1" s="64"/>
      <c r="P1" s="64"/>
    </row>
    <row r="2" spans="1:18" s="66" customFormat="1" ht="26.25" customHeight="1" x14ac:dyDescent="0.25">
      <c r="A2" s="64" t="s">
        <v>124</v>
      </c>
      <c r="B2" s="109"/>
      <c r="C2" s="109"/>
      <c r="D2" s="109"/>
      <c r="E2" s="109"/>
      <c r="F2" s="109"/>
      <c r="G2" s="64" t="s">
        <v>33</v>
      </c>
      <c r="H2" s="64">
        <v>100</v>
      </c>
      <c r="I2" s="64"/>
      <c r="J2" s="64" t="s">
        <v>34</v>
      </c>
      <c r="K2" s="64">
        <v>100</v>
      </c>
      <c r="L2" s="64"/>
      <c r="M2" s="64" t="s">
        <v>32</v>
      </c>
      <c r="N2" s="64">
        <v>100</v>
      </c>
      <c r="O2" s="64"/>
      <c r="P2" s="64"/>
    </row>
    <row r="3" spans="1:18" s="63" customFormat="1" ht="24.75" customHeight="1" x14ac:dyDescent="0.2">
      <c r="A3" s="67" t="s">
        <v>35</v>
      </c>
      <c r="B3" s="67"/>
      <c r="C3" s="67"/>
      <c r="D3" s="67"/>
      <c r="E3" s="67"/>
      <c r="F3" s="67"/>
      <c r="G3" s="67"/>
      <c r="H3" s="67"/>
      <c r="I3" s="67"/>
      <c r="J3" s="67"/>
      <c r="K3" s="67"/>
      <c r="L3" s="67"/>
      <c r="M3" s="67"/>
      <c r="N3" s="67"/>
      <c r="O3" s="67"/>
      <c r="P3" s="67"/>
    </row>
    <row r="4" spans="1:18" s="63" customFormat="1" ht="12.75" x14ac:dyDescent="0.2">
      <c r="A4" s="111" t="s">
        <v>36</v>
      </c>
      <c r="B4" s="69" t="s">
        <v>0</v>
      </c>
      <c r="C4" s="69" t="s">
        <v>1</v>
      </c>
      <c r="D4" s="69" t="s">
        <v>2</v>
      </c>
      <c r="E4" s="69" t="s">
        <v>3</v>
      </c>
      <c r="F4" s="69" t="s">
        <v>4</v>
      </c>
      <c r="G4" s="69" t="s">
        <v>5</v>
      </c>
      <c r="H4" s="69" t="s">
        <v>6</v>
      </c>
      <c r="I4" s="69" t="s">
        <v>7</v>
      </c>
      <c r="J4" s="70" t="s">
        <v>8</v>
      </c>
      <c r="K4" s="70" t="s">
        <v>9</v>
      </c>
      <c r="L4" s="70" t="s">
        <v>10</v>
      </c>
      <c r="M4" s="70" t="s">
        <v>11</v>
      </c>
      <c r="N4" s="70" t="s">
        <v>37</v>
      </c>
      <c r="O4" s="71"/>
      <c r="P4" s="71"/>
    </row>
    <row r="5" spans="1:18" s="63" customFormat="1" ht="34.15" customHeight="1" x14ac:dyDescent="0.2">
      <c r="A5" s="72" t="s">
        <v>19</v>
      </c>
      <c r="B5" s="73">
        <v>0</v>
      </c>
      <c r="C5" s="73">
        <v>0</v>
      </c>
      <c r="D5" s="73">
        <v>3</v>
      </c>
      <c r="E5" s="80">
        <v>4</v>
      </c>
      <c r="F5" s="80">
        <v>4</v>
      </c>
      <c r="G5" s="73">
        <v>1</v>
      </c>
      <c r="H5" s="73">
        <v>0</v>
      </c>
      <c r="I5" s="73">
        <v>0</v>
      </c>
      <c r="J5" s="74">
        <v>0</v>
      </c>
      <c r="K5" s="75">
        <v>1</v>
      </c>
      <c r="L5" s="75">
        <v>1</v>
      </c>
      <c r="M5" s="75">
        <v>0</v>
      </c>
      <c r="N5" s="75">
        <f>SUM(B5:M5)</f>
        <v>14</v>
      </c>
      <c r="O5" s="76"/>
      <c r="P5" s="77"/>
    </row>
    <row r="6" spans="1:18" s="63" customFormat="1" ht="34.15" customHeight="1" x14ac:dyDescent="0.2">
      <c r="A6" s="72" t="s">
        <v>20</v>
      </c>
      <c r="B6" s="73">
        <v>0</v>
      </c>
      <c r="C6" s="73">
        <v>0</v>
      </c>
      <c r="D6" s="73">
        <v>0</v>
      </c>
      <c r="E6" s="80">
        <v>1</v>
      </c>
      <c r="F6" s="80">
        <v>1</v>
      </c>
      <c r="G6" s="73">
        <v>1</v>
      </c>
      <c r="H6" s="73">
        <v>1</v>
      </c>
      <c r="I6" s="73">
        <v>1</v>
      </c>
      <c r="J6" s="74">
        <v>1</v>
      </c>
      <c r="K6" s="75">
        <v>2</v>
      </c>
      <c r="L6" s="75">
        <v>0</v>
      </c>
      <c r="M6" s="75">
        <v>1</v>
      </c>
      <c r="N6" s="75">
        <f t="shared" ref="N6:N16" si="0">SUM(B6:M6)</f>
        <v>9</v>
      </c>
      <c r="O6" s="78"/>
      <c r="P6" s="79"/>
    </row>
    <row r="7" spans="1:18" s="63" customFormat="1" ht="34.15" customHeight="1" x14ac:dyDescent="0.2">
      <c r="A7" s="72" t="s">
        <v>21</v>
      </c>
      <c r="B7" s="73">
        <v>0</v>
      </c>
      <c r="C7" s="73">
        <v>0</v>
      </c>
      <c r="D7" s="73">
        <v>1</v>
      </c>
      <c r="E7" s="80">
        <v>0</v>
      </c>
      <c r="F7" s="80">
        <v>0</v>
      </c>
      <c r="G7" s="73">
        <v>0</v>
      </c>
      <c r="H7" s="73">
        <v>0</v>
      </c>
      <c r="I7" s="73">
        <v>0</v>
      </c>
      <c r="J7" s="74">
        <v>0</v>
      </c>
      <c r="K7" s="75">
        <v>1</v>
      </c>
      <c r="L7" s="75">
        <v>0</v>
      </c>
      <c r="M7" s="75">
        <v>1</v>
      </c>
      <c r="N7" s="75">
        <f t="shared" si="0"/>
        <v>3</v>
      </c>
      <c r="O7" s="78"/>
      <c r="P7" s="79"/>
    </row>
    <row r="8" spans="1:18" s="63" customFormat="1" ht="34.15" customHeight="1" x14ac:dyDescent="0.2">
      <c r="A8" s="72" t="s">
        <v>79</v>
      </c>
      <c r="B8" s="73">
        <v>5</v>
      </c>
      <c r="C8" s="73">
        <v>1</v>
      </c>
      <c r="D8" s="73">
        <v>2</v>
      </c>
      <c r="E8" s="80">
        <v>4</v>
      </c>
      <c r="F8" s="80">
        <v>4</v>
      </c>
      <c r="G8" s="80">
        <v>2</v>
      </c>
      <c r="H8" s="73">
        <v>1</v>
      </c>
      <c r="I8" s="73">
        <v>8</v>
      </c>
      <c r="J8" s="74">
        <v>6</v>
      </c>
      <c r="K8" s="75">
        <v>4</v>
      </c>
      <c r="L8" s="75">
        <v>6</v>
      </c>
      <c r="M8" s="75">
        <v>5</v>
      </c>
      <c r="N8" s="75">
        <f t="shared" si="0"/>
        <v>48</v>
      </c>
      <c r="O8" s="78"/>
      <c r="P8" s="79"/>
    </row>
    <row r="9" spans="1:18" s="63" customFormat="1" ht="34.15" customHeight="1" x14ac:dyDescent="0.2">
      <c r="A9" s="72" t="s">
        <v>54</v>
      </c>
      <c r="B9" s="73">
        <v>0</v>
      </c>
      <c r="C9" s="73">
        <v>0</v>
      </c>
      <c r="D9" s="73">
        <v>0</v>
      </c>
      <c r="E9" s="80">
        <v>0</v>
      </c>
      <c r="F9" s="80">
        <v>0</v>
      </c>
      <c r="G9" s="73">
        <v>1</v>
      </c>
      <c r="H9" s="73">
        <v>0</v>
      </c>
      <c r="I9" s="73">
        <v>0</v>
      </c>
      <c r="J9" s="74">
        <v>0</v>
      </c>
      <c r="K9" s="75">
        <v>0</v>
      </c>
      <c r="L9" s="75">
        <v>0</v>
      </c>
      <c r="M9" s="75">
        <v>0</v>
      </c>
      <c r="N9" s="75">
        <f t="shared" si="0"/>
        <v>1</v>
      </c>
      <c r="O9" s="78"/>
      <c r="P9" s="79"/>
    </row>
    <row r="10" spans="1:18" s="63" customFormat="1" ht="52.15" customHeight="1" x14ac:dyDescent="0.2">
      <c r="A10" s="81" t="s">
        <v>30</v>
      </c>
      <c r="B10" s="73">
        <v>0</v>
      </c>
      <c r="C10" s="73">
        <v>0</v>
      </c>
      <c r="D10" s="73">
        <v>0</v>
      </c>
      <c r="E10" s="80">
        <v>30</v>
      </c>
      <c r="F10" s="80">
        <v>37</v>
      </c>
      <c r="G10" s="73">
        <v>78</v>
      </c>
      <c r="H10" s="73">
        <v>50</v>
      </c>
      <c r="I10" s="73">
        <v>10</v>
      </c>
      <c r="J10" s="74">
        <v>8</v>
      </c>
      <c r="K10" s="75">
        <v>6</v>
      </c>
      <c r="L10" s="75">
        <v>0</v>
      </c>
      <c r="M10" s="75">
        <v>6</v>
      </c>
      <c r="N10" s="75">
        <f t="shared" si="0"/>
        <v>225</v>
      </c>
      <c r="O10" s="78"/>
      <c r="P10" s="79"/>
    </row>
    <row r="11" spans="1:18" s="63" customFormat="1" ht="33.6" customHeight="1" x14ac:dyDescent="0.2">
      <c r="A11" s="72" t="s">
        <v>80</v>
      </c>
      <c r="B11" s="73">
        <v>0</v>
      </c>
      <c r="C11" s="73">
        <v>0</v>
      </c>
      <c r="D11" s="73">
        <v>0</v>
      </c>
      <c r="E11" s="80">
        <v>0</v>
      </c>
      <c r="F11" s="80">
        <v>0</v>
      </c>
      <c r="G11" s="73">
        <v>0</v>
      </c>
      <c r="H11" s="73">
        <v>0</v>
      </c>
      <c r="I11" s="73">
        <v>0</v>
      </c>
      <c r="J11" s="74">
        <v>0</v>
      </c>
      <c r="K11" s="74">
        <v>0</v>
      </c>
      <c r="L11" s="75">
        <v>0</v>
      </c>
      <c r="M11" s="75">
        <v>6</v>
      </c>
      <c r="N11" s="75">
        <f t="shared" si="0"/>
        <v>6</v>
      </c>
      <c r="O11" s="78"/>
      <c r="P11" s="79"/>
    </row>
    <row r="12" spans="1:18" s="63" customFormat="1" ht="33.6" customHeight="1" x14ac:dyDescent="0.2">
      <c r="A12" s="72" t="s">
        <v>25</v>
      </c>
      <c r="B12" s="82">
        <v>827</v>
      </c>
      <c r="C12" s="82">
        <v>817</v>
      </c>
      <c r="D12" s="82">
        <v>795</v>
      </c>
      <c r="E12" s="82">
        <v>794</v>
      </c>
      <c r="F12" s="82">
        <v>798</v>
      </c>
      <c r="G12" s="82">
        <v>774</v>
      </c>
      <c r="H12" s="82">
        <v>824</v>
      </c>
      <c r="I12" s="82">
        <v>782</v>
      </c>
      <c r="J12" s="82">
        <v>780</v>
      </c>
      <c r="K12" s="82">
        <v>785</v>
      </c>
      <c r="L12" s="82">
        <v>775</v>
      </c>
      <c r="M12" s="83">
        <v>734</v>
      </c>
      <c r="N12" s="75">
        <f t="shared" si="0"/>
        <v>9485</v>
      </c>
      <c r="O12" s="78"/>
      <c r="P12" s="79"/>
      <c r="R12" s="84"/>
    </row>
    <row r="13" spans="1:18" s="63" customFormat="1" ht="33.6" customHeight="1" x14ac:dyDescent="0.2">
      <c r="A13" s="72" t="s">
        <v>26</v>
      </c>
      <c r="B13" s="85">
        <f>19505+175758</f>
        <v>195263</v>
      </c>
      <c r="C13" s="85">
        <f>20210+183055</f>
        <v>203265</v>
      </c>
      <c r="D13" s="85">
        <v>194562</v>
      </c>
      <c r="E13" s="85">
        <v>203035</v>
      </c>
      <c r="F13" s="85">
        <v>202195</v>
      </c>
      <c r="G13" s="85">
        <v>187853</v>
      </c>
      <c r="H13" s="85">
        <v>194571</v>
      </c>
      <c r="I13" s="85">
        <v>199736</v>
      </c>
      <c r="J13" s="86">
        <v>196502</v>
      </c>
      <c r="K13" s="82">
        <v>196699</v>
      </c>
      <c r="L13" s="85">
        <v>185922</v>
      </c>
      <c r="M13" s="86">
        <v>196300</v>
      </c>
      <c r="N13" s="75">
        <f>SUM(B13:M13)</f>
        <v>2355903</v>
      </c>
      <c r="O13" s="78"/>
      <c r="P13" s="79"/>
    </row>
    <row r="14" spans="1:18" s="63" customFormat="1" ht="33.6" customHeight="1" x14ac:dyDescent="0.2">
      <c r="A14" s="72" t="s">
        <v>42</v>
      </c>
      <c r="B14" s="73">
        <v>0</v>
      </c>
      <c r="C14" s="73">
        <v>0</v>
      </c>
      <c r="D14" s="73">
        <v>0</v>
      </c>
      <c r="E14" s="73">
        <v>0</v>
      </c>
      <c r="F14" s="73">
        <v>0</v>
      </c>
      <c r="G14" s="73">
        <v>0</v>
      </c>
      <c r="H14" s="73">
        <v>0</v>
      </c>
      <c r="I14" s="73">
        <v>0</v>
      </c>
      <c r="J14" s="73">
        <v>0</v>
      </c>
      <c r="K14" s="73">
        <v>0</v>
      </c>
      <c r="L14" s="73">
        <v>0</v>
      </c>
      <c r="M14" s="73">
        <v>0</v>
      </c>
      <c r="N14" s="75">
        <f t="shared" si="0"/>
        <v>0</v>
      </c>
      <c r="O14" s="78"/>
      <c r="P14" s="79"/>
    </row>
    <row r="15" spans="1:18" s="63" customFormat="1" ht="33.6" customHeight="1" x14ac:dyDescent="0.2">
      <c r="A15" s="72" t="s">
        <v>81</v>
      </c>
      <c r="B15" s="73">
        <v>0</v>
      </c>
      <c r="C15" s="73">
        <v>0</v>
      </c>
      <c r="D15" s="73">
        <v>0</v>
      </c>
      <c r="E15" s="73">
        <v>0</v>
      </c>
      <c r="F15" s="73">
        <v>0</v>
      </c>
      <c r="G15" s="73">
        <v>0</v>
      </c>
      <c r="H15" s="73">
        <v>0</v>
      </c>
      <c r="I15" s="73">
        <v>0</v>
      </c>
      <c r="J15" s="73">
        <v>0</v>
      </c>
      <c r="K15" s="73">
        <v>0</v>
      </c>
      <c r="L15" s="73">
        <v>0</v>
      </c>
      <c r="M15" s="73">
        <v>0</v>
      </c>
      <c r="N15" s="75">
        <f t="shared" si="0"/>
        <v>0</v>
      </c>
      <c r="O15" s="78"/>
      <c r="P15" s="79"/>
    </row>
    <row r="16" spans="1:18" s="63" customFormat="1" ht="33.6" customHeight="1" x14ac:dyDescent="0.2">
      <c r="A16" s="81" t="s">
        <v>82</v>
      </c>
      <c r="B16" s="73">
        <v>0</v>
      </c>
      <c r="C16" s="73">
        <v>0</v>
      </c>
      <c r="D16" s="73">
        <v>0</v>
      </c>
      <c r="E16" s="73">
        <v>0</v>
      </c>
      <c r="F16" s="73">
        <v>0</v>
      </c>
      <c r="G16" s="73">
        <v>0</v>
      </c>
      <c r="H16" s="73">
        <v>0</v>
      </c>
      <c r="I16" s="73">
        <v>0</v>
      </c>
      <c r="J16" s="73">
        <v>0</v>
      </c>
      <c r="K16" s="73">
        <v>0</v>
      </c>
      <c r="L16" s="73">
        <v>0</v>
      </c>
      <c r="M16" s="73">
        <v>0</v>
      </c>
      <c r="N16" s="75">
        <f t="shared" si="0"/>
        <v>0</v>
      </c>
      <c r="O16" s="78"/>
      <c r="P16" s="79"/>
    </row>
    <row r="17" spans="1:16" s="91" customFormat="1" ht="33.6" customHeight="1" x14ac:dyDescent="0.2">
      <c r="A17" s="112" t="s">
        <v>14</v>
      </c>
      <c r="B17" s="113">
        <f>IFERROR((((B$6+B$7)/B$12)*$K$2),0)</f>
        <v>0</v>
      </c>
      <c r="C17" s="113">
        <f>IFERROR((((C$6+C$7)/C$12)*$K$2),0)</f>
        <v>0</v>
      </c>
      <c r="D17" s="113">
        <f>IFERROR((((D$6+D$7)/D$12)*$K$2),0)</f>
        <v>0.12578616352201258</v>
      </c>
      <c r="E17" s="113">
        <f t="shared" ref="E17:M17" si="1">IFERROR((((E$6+E$7)/E$12)*$K$2),0)</f>
        <v>0.12594458438287154</v>
      </c>
      <c r="F17" s="113">
        <f t="shared" si="1"/>
        <v>0.12531328320802004</v>
      </c>
      <c r="G17" s="113">
        <f t="shared" si="1"/>
        <v>0.12919896640826875</v>
      </c>
      <c r="H17" s="113">
        <f t="shared" si="1"/>
        <v>0.12135922330097086</v>
      </c>
      <c r="I17" s="113">
        <f t="shared" si="1"/>
        <v>0.12787723785166241</v>
      </c>
      <c r="J17" s="113">
        <f t="shared" si="1"/>
        <v>0.12820512820512819</v>
      </c>
      <c r="K17" s="113">
        <f t="shared" si="1"/>
        <v>0.38216560509554143</v>
      </c>
      <c r="L17" s="113">
        <f t="shared" si="1"/>
        <v>0</v>
      </c>
      <c r="M17" s="113">
        <f t="shared" si="1"/>
        <v>0.27247956403269752</v>
      </c>
      <c r="N17" s="90">
        <f t="shared" ref="N17:N24" si="2">AVERAGE(B17:M17)</f>
        <v>0.12819414633393111</v>
      </c>
      <c r="O17" s="78"/>
      <c r="P17" s="79"/>
    </row>
    <row r="18" spans="1:16" s="91" customFormat="1" ht="33.6" customHeight="1" x14ac:dyDescent="0.2">
      <c r="A18" s="112" t="s">
        <v>15</v>
      </c>
      <c r="B18" s="114">
        <f>IFERROR((((B$10+B$11)/B$12)*$K$2),0)</f>
        <v>0</v>
      </c>
      <c r="C18" s="114">
        <f>IFERROR((((C$10+C$11)/C$12)*$K$2),0)</f>
        <v>0</v>
      </c>
      <c r="D18" s="114">
        <f>IFERROR((((D$10+D$11)/D$12)*$K$2),0)</f>
        <v>0</v>
      </c>
      <c r="E18" s="114">
        <f t="shared" ref="E18:L18" si="3">IFERROR((((E$10+E$11)/E$12)*$K$2),0)</f>
        <v>3.7783375314861463</v>
      </c>
      <c r="F18" s="114">
        <f t="shared" si="3"/>
        <v>4.6365914786967419</v>
      </c>
      <c r="G18" s="114">
        <f t="shared" si="3"/>
        <v>10.077519379844961</v>
      </c>
      <c r="H18" s="114">
        <f t="shared" si="3"/>
        <v>6.0679611650485441</v>
      </c>
      <c r="I18" s="114">
        <f t="shared" si="3"/>
        <v>1.2787723785166241</v>
      </c>
      <c r="J18" s="114">
        <f t="shared" si="3"/>
        <v>1.0256410256410255</v>
      </c>
      <c r="K18" s="114">
        <f t="shared" si="3"/>
        <v>0.76433121019108285</v>
      </c>
      <c r="L18" s="114">
        <f t="shared" si="3"/>
        <v>0</v>
      </c>
      <c r="M18" s="114">
        <f>IFERROR((((M$10+M$11)/M$12)*$K$2),0)</f>
        <v>1.6348773841961852</v>
      </c>
      <c r="N18" s="90">
        <f t="shared" si="2"/>
        <v>2.4386692961351093</v>
      </c>
      <c r="O18" s="78"/>
      <c r="P18" s="79"/>
    </row>
    <row r="19" spans="1:16" s="91" customFormat="1" ht="33.6" customHeight="1" x14ac:dyDescent="0.2">
      <c r="A19" s="112" t="s">
        <v>12</v>
      </c>
      <c r="B19" s="115">
        <f>+(B$17*B$18)/1000</f>
        <v>0</v>
      </c>
      <c r="C19" s="115">
        <f>+(C$17*C$18)/1000</f>
        <v>0</v>
      </c>
      <c r="D19" s="115">
        <f>+(D$17*D$18)/1000</f>
        <v>0</v>
      </c>
      <c r="E19" s="115">
        <f t="shared" ref="E19:M19" si="4">+(E$17*E$18)/1000</f>
        <v>4.758611500612275E-4</v>
      </c>
      <c r="F19" s="115">
        <f t="shared" si="4"/>
        <v>5.8102650108981721E-4</v>
      </c>
      <c r="G19" s="115">
        <f t="shared" si="4"/>
        <v>1.3020050878352666E-3</v>
      </c>
      <c r="H19" s="115">
        <f t="shared" si="4"/>
        <v>7.3640305401074559E-4</v>
      </c>
      <c r="I19" s="115">
        <f t="shared" si="4"/>
        <v>1.6352587960570642E-4</v>
      </c>
      <c r="J19" s="115">
        <f t="shared" si="4"/>
        <v>1.3149243918474685E-4</v>
      </c>
      <c r="K19" s="115">
        <f t="shared" si="4"/>
        <v>2.9210109943608265E-4</v>
      </c>
      <c r="L19" s="115">
        <f t="shared" si="4"/>
        <v>0</v>
      </c>
      <c r="M19" s="115">
        <f t="shared" si="4"/>
        <v>4.4547067689269348E-4</v>
      </c>
      <c r="N19" s="90">
        <f t="shared" si="2"/>
        <v>3.4399049067635715E-4</v>
      </c>
      <c r="O19" s="78"/>
      <c r="P19" s="79"/>
    </row>
    <row r="20" spans="1:16" s="91" customFormat="1" ht="33.6" customHeight="1" x14ac:dyDescent="0.2">
      <c r="A20" s="112" t="s">
        <v>13</v>
      </c>
      <c r="B20" s="115">
        <f>IFERROR((((B$6+B$7)/B$12)*$E$1),0)</f>
        <v>0</v>
      </c>
      <c r="C20" s="115">
        <f>IFERROR((((C$6+C$7)/C$12)*$E$1),0)</f>
        <v>0</v>
      </c>
      <c r="D20" s="115">
        <f>IFERROR((((D$6+D$7)/D$12)*$E$1),0)</f>
        <v>0.12578616352201258</v>
      </c>
      <c r="E20" s="115">
        <f t="shared" ref="E20:M20" si="5">IFERROR((((E$6+E$7)/E$12)*$E$1),0)</f>
        <v>0.12594458438287154</v>
      </c>
      <c r="F20" s="115">
        <f t="shared" si="5"/>
        <v>0.12531328320802004</v>
      </c>
      <c r="G20" s="115">
        <f t="shared" si="5"/>
        <v>0.12919896640826875</v>
      </c>
      <c r="H20" s="115">
        <f t="shared" si="5"/>
        <v>0.12135922330097086</v>
      </c>
      <c r="I20" s="115">
        <f t="shared" si="5"/>
        <v>0.12787723785166241</v>
      </c>
      <c r="J20" s="115">
        <f t="shared" si="5"/>
        <v>0.12820512820512819</v>
      </c>
      <c r="K20" s="115">
        <f t="shared" si="5"/>
        <v>0.38216560509554143</v>
      </c>
      <c r="L20" s="115">
        <f t="shared" si="5"/>
        <v>0</v>
      </c>
      <c r="M20" s="115">
        <f t="shared" si="5"/>
        <v>0.27247956403269752</v>
      </c>
      <c r="N20" s="90">
        <f t="shared" si="2"/>
        <v>0.12819414633393111</v>
      </c>
      <c r="O20" s="78"/>
      <c r="P20" s="79"/>
    </row>
    <row r="21" spans="1:16" s="91" customFormat="1" ht="33.6" customHeight="1" x14ac:dyDescent="0.2">
      <c r="A21" s="112" t="s">
        <v>84</v>
      </c>
      <c r="B21" s="115">
        <f>IFERROR(((B$11/B$12)*$E$1),0)</f>
        <v>0</v>
      </c>
      <c r="C21" s="115">
        <f t="shared" ref="C21:M21" si="6">IFERROR(((C$11/C$12)*$E$1),0)</f>
        <v>0</v>
      </c>
      <c r="D21" s="115">
        <f t="shared" si="6"/>
        <v>0</v>
      </c>
      <c r="E21" s="115">
        <f t="shared" si="6"/>
        <v>0</v>
      </c>
      <c r="F21" s="115">
        <f t="shared" si="6"/>
        <v>0</v>
      </c>
      <c r="G21" s="115">
        <f t="shared" si="6"/>
        <v>0</v>
      </c>
      <c r="H21" s="115">
        <f t="shared" si="6"/>
        <v>0</v>
      </c>
      <c r="I21" s="115">
        <f t="shared" si="6"/>
        <v>0</v>
      </c>
      <c r="J21" s="115">
        <f t="shared" si="6"/>
        <v>0</v>
      </c>
      <c r="K21" s="115">
        <f t="shared" si="6"/>
        <v>0</v>
      </c>
      <c r="L21" s="115">
        <f t="shared" si="6"/>
        <v>0</v>
      </c>
      <c r="M21" s="115">
        <f t="shared" si="6"/>
        <v>0.81743869209809261</v>
      </c>
      <c r="N21" s="90">
        <f t="shared" si="2"/>
        <v>6.811989100817438E-2</v>
      </c>
      <c r="O21" s="78"/>
      <c r="P21" s="79"/>
    </row>
    <row r="22" spans="1:16" s="91" customFormat="1" ht="33.6" customHeight="1" x14ac:dyDescent="0.2">
      <c r="A22" s="112" t="s">
        <v>83</v>
      </c>
      <c r="B22" s="115">
        <f>IFERROR(((B$8/B$12)*$E$1),0)</f>
        <v>0.60459492140266025</v>
      </c>
      <c r="C22" s="115">
        <f t="shared" ref="C22:M22" si="7">IFERROR(((C$8/C$12)*$E$1),0)</f>
        <v>0.12239902080783352</v>
      </c>
      <c r="D22" s="115">
        <f t="shared" si="7"/>
        <v>0.25157232704402516</v>
      </c>
      <c r="E22" s="115">
        <f t="shared" si="7"/>
        <v>0.50377833753148615</v>
      </c>
      <c r="F22" s="115">
        <f t="shared" si="7"/>
        <v>0.50125313283208017</v>
      </c>
      <c r="G22" s="115">
        <f t="shared" si="7"/>
        <v>0.2583979328165375</v>
      </c>
      <c r="H22" s="115">
        <f t="shared" si="7"/>
        <v>0.12135922330097086</v>
      </c>
      <c r="I22" s="115">
        <f t="shared" si="7"/>
        <v>1.0230179028132993</v>
      </c>
      <c r="J22" s="115">
        <f t="shared" si="7"/>
        <v>0.76923076923076927</v>
      </c>
      <c r="K22" s="115">
        <f t="shared" si="7"/>
        <v>0.50955414012738853</v>
      </c>
      <c r="L22" s="115">
        <f t="shared" si="7"/>
        <v>0.77419354838709675</v>
      </c>
      <c r="M22" s="115">
        <f t="shared" si="7"/>
        <v>0.68119891008174382</v>
      </c>
      <c r="N22" s="90">
        <f>IFERROR(((N$8/N$12)*$E$1),0)</f>
        <v>0.50606220347917763</v>
      </c>
      <c r="O22" s="78"/>
      <c r="P22" s="79"/>
    </row>
    <row r="23" spans="1:16" s="91" customFormat="1" ht="33.6" customHeight="1" x14ac:dyDescent="0.2">
      <c r="A23" s="112" t="s">
        <v>17</v>
      </c>
      <c r="B23" s="115">
        <f>IFERROR((((B$6+B$7)/B$12)*$E$1),0)</f>
        <v>0</v>
      </c>
      <c r="C23" s="115">
        <f t="shared" ref="C23:M23" si="8">IFERROR((((C$6+C$7)/C$12)*$E$1),0)</f>
        <v>0</v>
      </c>
      <c r="D23" s="115">
        <f t="shared" si="8"/>
        <v>0.12578616352201258</v>
      </c>
      <c r="E23" s="115">
        <f t="shared" si="8"/>
        <v>0.12594458438287154</v>
      </c>
      <c r="F23" s="115">
        <f t="shared" si="8"/>
        <v>0.12531328320802004</v>
      </c>
      <c r="G23" s="115">
        <f t="shared" si="8"/>
        <v>0.12919896640826875</v>
      </c>
      <c r="H23" s="115">
        <f t="shared" si="8"/>
        <v>0.12135922330097086</v>
      </c>
      <c r="I23" s="115">
        <f t="shared" si="8"/>
        <v>0.12787723785166241</v>
      </c>
      <c r="J23" s="115">
        <f t="shared" si="8"/>
        <v>0.12820512820512819</v>
      </c>
      <c r="K23" s="115">
        <f t="shared" si="8"/>
        <v>0.38216560509554143</v>
      </c>
      <c r="L23" s="115">
        <f t="shared" si="8"/>
        <v>0</v>
      </c>
      <c r="M23" s="115">
        <f t="shared" si="8"/>
        <v>0.27247956403269752</v>
      </c>
      <c r="N23" s="90">
        <f t="shared" si="2"/>
        <v>0.12819414633393111</v>
      </c>
      <c r="O23" s="78"/>
      <c r="P23" s="79"/>
    </row>
    <row r="24" spans="1:16" s="91" customFormat="1" ht="33.6" customHeight="1" x14ac:dyDescent="0.2">
      <c r="A24" s="112" t="s">
        <v>41</v>
      </c>
      <c r="B24" s="115">
        <f>IFERROR(((B$14)/(B$6+B$7)*$K$2),0)</f>
        <v>0</v>
      </c>
      <c r="C24" s="115">
        <f t="shared" ref="C24:M24" si="9">IFERROR(((C$14)/(C$6+C$7)*$K$2),0)</f>
        <v>0</v>
      </c>
      <c r="D24" s="115">
        <f t="shared" si="9"/>
        <v>0</v>
      </c>
      <c r="E24" s="115">
        <f t="shared" si="9"/>
        <v>0</v>
      </c>
      <c r="F24" s="115">
        <f t="shared" si="9"/>
        <v>0</v>
      </c>
      <c r="G24" s="115">
        <f t="shared" si="9"/>
        <v>0</v>
      </c>
      <c r="H24" s="115">
        <f t="shared" si="9"/>
        <v>0</v>
      </c>
      <c r="I24" s="115">
        <f t="shared" si="9"/>
        <v>0</v>
      </c>
      <c r="J24" s="115">
        <f t="shared" si="9"/>
        <v>0</v>
      </c>
      <c r="K24" s="115">
        <f t="shared" si="9"/>
        <v>0</v>
      </c>
      <c r="L24" s="115">
        <f t="shared" si="9"/>
        <v>0</v>
      </c>
      <c r="M24" s="115">
        <f t="shared" si="9"/>
        <v>0</v>
      </c>
      <c r="N24" s="90">
        <f t="shared" si="2"/>
        <v>0</v>
      </c>
      <c r="O24" s="78"/>
      <c r="P24" s="79"/>
    </row>
    <row r="25" spans="1:16" s="118" customFormat="1" ht="33.6" customHeight="1" x14ac:dyDescent="0.25">
      <c r="A25" s="116" t="s">
        <v>31</v>
      </c>
      <c r="B25" s="117">
        <v>2.3917000000000001E-3</v>
      </c>
      <c r="C25" s="117">
        <v>2.3917000000000001E-3</v>
      </c>
      <c r="D25" s="117">
        <v>2.3917000000000001E-3</v>
      </c>
      <c r="E25" s="117">
        <v>2.3917000000000001E-3</v>
      </c>
      <c r="F25" s="117">
        <v>2.3917000000000001E-3</v>
      </c>
      <c r="G25" s="117">
        <v>2.3917000000000001E-3</v>
      </c>
      <c r="H25" s="117">
        <v>2.3917000000000001E-3</v>
      </c>
      <c r="I25" s="117">
        <v>2.3917000000000001E-3</v>
      </c>
      <c r="J25" s="117">
        <v>2.3917000000000001E-3</v>
      </c>
      <c r="K25" s="117">
        <v>2.3917000000000001E-3</v>
      </c>
      <c r="L25" s="117">
        <v>2.3917000000000001E-3</v>
      </c>
      <c r="M25" s="117">
        <v>2.3917000000000001E-3</v>
      </c>
      <c r="N25" s="116"/>
      <c r="O25" s="95"/>
      <c r="P25" s="96"/>
    </row>
    <row r="26" spans="1:16" s="63" customFormat="1" ht="24.75" customHeight="1" x14ac:dyDescent="0.2">
      <c r="A26" s="97" t="s">
        <v>38</v>
      </c>
      <c r="B26" s="119"/>
      <c r="C26" s="119"/>
      <c r="D26" s="119"/>
      <c r="E26" s="119"/>
      <c r="F26" s="119"/>
      <c r="G26" s="98"/>
      <c r="H26" s="98"/>
      <c r="I26" s="98"/>
      <c r="J26" s="98"/>
      <c r="K26" s="98"/>
      <c r="L26" s="98"/>
      <c r="M26" s="98"/>
      <c r="N26" s="98"/>
      <c r="O26" s="98"/>
      <c r="P26" s="98"/>
    </row>
    <row r="27" spans="1:16" s="63" customFormat="1" ht="323.25" customHeight="1" x14ac:dyDescent="0.2">
      <c r="A27" s="99"/>
      <c r="B27" s="120"/>
      <c r="C27" s="120"/>
      <c r="D27" s="120"/>
      <c r="E27" s="120"/>
      <c r="F27" s="120"/>
      <c r="G27" s="100"/>
      <c r="H27" s="100"/>
      <c r="I27" s="100"/>
      <c r="J27" s="100"/>
      <c r="K27" s="100"/>
      <c r="L27" s="100"/>
      <c r="M27" s="100"/>
      <c r="N27" s="100"/>
      <c r="O27" s="100"/>
      <c r="P27" s="100"/>
    </row>
    <row r="28" spans="1:16" s="63" customFormat="1" ht="53.25" customHeight="1" x14ac:dyDescent="0.2">
      <c r="A28" s="99"/>
      <c r="B28" s="120"/>
      <c r="C28" s="120"/>
      <c r="D28" s="120"/>
      <c r="E28" s="120"/>
      <c r="F28" s="120"/>
      <c r="G28" s="100"/>
      <c r="H28" s="100"/>
      <c r="I28" s="100"/>
      <c r="J28" s="100"/>
      <c r="K28" s="100"/>
      <c r="L28" s="100"/>
      <c r="M28" s="100"/>
      <c r="N28" s="100"/>
      <c r="O28" s="100"/>
      <c r="P28" s="100"/>
    </row>
    <row r="29" spans="1:16" s="63" customFormat="1" ht="53.25" customHeight="1" x14ac:dyDescent="0.2">
      <c r="A29" s="99"/>
      <c r="B29" s="120"/>
      <c r="C29" s="120"/>
      <c r="D29" s="120"/>
      <c r="E29" s="120"/>
      <c r="F29" s="120"/>
      <c r="G29" s="100"/>
      <c r="H29" s="100"/>
      <c r="I29" s="100"/>
      <c r="J29" s="100"/>
      <c r="K29" s="100"/>
      <c r="L29" s="100"/>
      <c r="M29" s="100"/>
      <c r="N29" s="100"/>
      <c r="O29" s="100"/>
      <c r="P29" s="100"/>
    </row>
    <row r="30" spans="1:16" s="63" customFormat="1" ht="53.25" customHeight="1" x14ac:dyDescent="0.2">
      <c r="A30" s="99"/>
      <c r="B30" s="120"/>
      <c r="C30" s="120"/>
      <c r="D30" s="120"/>
      <c r="E30" s="120"/>
      <c r="F30" s="120"/>
      <c r="G30" s="100"/>
      <c r="H30" s="100"/>
      <c r="I30" s="100"/>
      <c r="J30" s="100"/>
      <c r="K30" s="100"/>
      <c r="L30" s="100"/>
      <c r="M30" s="100"/>
      <c r="N30" s="100"/>
      <c r="O30" s="100"/>
      <c r="P30" s="100"/>
    </row>
    <row r="31" spans="1:16" s="63" customFormat="1" ht="53.25" customHeight="1" x14ac:dyDescent="0.2">
      <c r="A31" s="99"/>
      <c r="B31" s="120"/>
      <c r="C31" s="120"/>
      <c r="D31" s="120"/>
      <c r="E31" s="120"/>
      <c r="F31" s="120"/>
      <c r="G31" s="100"/>
      <c r="H31" s="100"/>
      <c r="I31" s="100"/>
      <c r="J31" s="100"/>
      <c r="K31" s="100"/>
      <c r="L31" s="100"/>
      <c r="M31" s="100"/>
      <c r="N31" s="100"/>
      <c r="O31" s="100"/>
      <c r="P31" s="100"/>
    </row>
    <row r="32" spans="1:16" s="63" customFormat="1" ht="53.25" customHeight="1" x14ac:dyDescent="0.2">
      <c r="A32" s="99"/>
      <c r="B32" s="120"/>
      <c r="C32" s="120"/>
      <c r="D32" s="120"/>
      <c r="E32" s="120"/>
      <c r="F32" s="120"/>
      <c r="G32" s="100"/>
      <c r="H32" s="100"/>
      <c r="I32" s="100"/>
      <c r="J32" s="100"/>
      <c r="K32" s="100"/>
      <c r="L32" s="100"/>
      <c r="M32" s="100"/>
      <c r="N32" s="100"/>
      <c r="O32" s="100"/>
      <c r="P32" s="100"/>
    </row>
    <row r="33" spans="1:16" s="63" customFormat="1" ht="53.25" customHeight="1" x14ac:dyDescent="0.2">
      <c r="A33" s="99"/>
      <c r="B33" s="120"/>
      <c r="C33" s="120"/>
      <c r="D33" s="120"/>
      <c r="E33" s="120"/>
      <c r="F33" s="120"/>
      <c r="G33" s="100"/>
      <c r="H33" s="100"/>
      <c r="I33" s="100"/>
      <c r="J33" s="100"/>
      <c r="K33" s="100"/>
      <c r="L33" s="100"/>
      <c r="M33" s="100"/>
      <c r="N33" s="100"/>
      <c r="O33" s="100"/>
      <c r="P33" s="100"/>
    </row>
    <row r="34" spans="1:16" s="63" customFormat="1" ht="53.25" customHeight="1" x14ac:dyDescent="0.2">
      <c r="A34" s="99"/>
      <c r="B34" s="120"/>
      <c r="C34" s="120"/>
      <c r="D34" s="120"/>
      <c r="E34" s="120"/>
      <c r="F34" s="120"/>
      <c r="G34" s="100"/>
      <c r="H34" s="100"/>
      <c r="I34" s="100"/>
      <c r="J34" s="100"/>
      <c r="K34" s="100"/>
      <c r="L34" s="100"/>
      <c r="M34" s="100"/>
      <c r="N34" s="100"/>
      <c r="O34" s="100"/>
      <c r="P34" s="100"/>
    </row>
    <row r="35" spans="1:16" s="63" customFormat="1" ht="53.25" customHeight="1" x14ac:dyDescent="0.2">
      <c r="A35" s="99"/>
      <c r="B35" s="120"/>
      <c r="C35" s="120"/>
      <c r="D35" s="120"/>
      <c r="E35" s="120"/>
      <c r="F35" s="120"/>
      <c r="G35" s="100"/>
      <c r="H35" s="100"/>
      <c r="I35" s="100"/>
      <c r="J35" s="100"/>
      <c r="K35" s="100"/>
      <c r="L35" s="100"/>
      <c r="M35" s="100"/>
      <c r="N35" s="100"/>
      <c r="O35" s="100"/>
      <c r="P35" s="100"/>
    </row>
    <row r="36" spans="1:16" s="63" customFormat="1" ht="53.25" customHeight="1" x14ac:dyDescent="0.2">
      <c r="A36" s="99"/>
      <c r="B36" s="120"/>
      <c r="C36" s="120"/>
      <c r="D36" s="120"/>
      <c r="E36" s="120"/>
      <c r="F36" s="120"/>
      <c r="G36" s="100"/>
      <c r="H36" s="100"/>
      <c r="I36" s="100"/>
      <c r="J36" s="100"/>
      <c r="K36" s="100"/>
      <c r="L36" s="100"/>
      <c r="M36" s="100"/>
      <c r="N36" s="100"/>
      <c r="O36" s="100"/>
      <c r="P36" s="100"/>
    </row>
    <row r="37" spans="1:16" s="63" customFormat="1" ht="53.25" customHeight="1" x14ac:dyDescent="0.2">
      <c r="A37" s="99"/>
      <c r="B37" s="120"/>
      <c r="C37" s="120"/>
      <c r="D37" s="120"/>
      <c r="E37" s="120"/>
      <c r="F37" s="120"/>
      <c r="G37" s="100"/>
      <c r="H37" s="100"/>
      <c r="I37" s="100"/>
      <c r="J37" s="100"/>
      <c r="K37" s="100"/>
      <c r="L37" s="100"/>
      <c r="M37" s="100"/>
      <c r="N37" s="100"/>
      <c r="O37" s="100"/>
      <c r="P37" s="100"/>
    </row>
    <row r="38" spans="1:16" s="63" customFormat="1" ht="43.15" customHeight="1" x14ac:dyDescent="0.2">
      <c r="A38" s="99"/>
      <c r="B38" s="120"/>
      <c r="C38" s="120"/>
      <c r="D38" s="120"/>
      <c r="E38" s="120"/>
      <c r="F38" s="120"/>
      <c r="G38" s="100"/>
      <c r="H38" s="100"/>
      <c r="I38" s="100"/>
      <c r="J38" s="100"/>
      <c r="K38" s="100"/>
      <c r="L38" s="100"/>
      <c r="M38" s="100"/>
      <c r="N38" s="100"/>
      <c r="O38" s="100"/>
      <c r="P38" s="100"/>
    </row>
    <row r="39" spans="1:16" s="104" customFormat="1" ht="17.25" customHeight="1" x14ac:dyDescent="0.2">
      <c r="A39" s="121" t="s">
        <v>16</v>
      </c>
      <c r="B39" s="102" t="s">
        <v>44</v>
      </c>
      <c r="C39" s="102"/>
      <c r="D39" s="102"/>
      <c r="E39" s="102"/>
      <c r="F39" s="102"/>
      <c r="G39" s="102"/>
      <c r="H39" s="102"/>
      <c r="I39" s="102" t="s">
        <v>55</v>
      </c>
      <c r="J39" s="102"/>
      <c r="K39" s="102"/>
      <c r="L39" s="102"/>
      <c r="M39" s="102"/>
      <c r="N39" s="103"/>
      <c r="O39" s="103"/>
    </row>
    <row r="40" spans="1:16" s="63" customFormat="1" ht="81.599999999999994" customHeight="1" x14ac:dyDescent="0.2">
      <c r="A40" s="122" t="s">
        <v>0</v>
      </c>
      <c r="B40" s="106" t="s">
        <v>125</v>
      </c>
      <c r="C40" s="106"/>
      <c r="D40" s="106"/>
      <c r="E40" s="106"/>
      <c r="F40" s="106"/>
      <c r="G40" s="106"/>
      <c r="H40" s="106"/>
      <c r="I40" s="106" t="s">
        <v>126</v>
      </c>
      <c r="J40" s="106"/>
      <c r="K40" s="106"/>
      <c r="L40" s="106"/>
      <c r="M40" s="106"/>
      <c r="N40" s="107"/>
      <c r="O40" s="107"/>
    </row>
    <row r="41" spans="1:16" s="63" customFormat="1" ht="81.599999999999994" customHeight="1" x14ac:dyDescent="0.2">
      <c r="A41" s="122" t="s">
        <v>1</v>
      </c>
      <c r="B41" s="106" t="s">
        <v>127</v>
      </c>
      <c r="C41" s="106"/>
      <c r="D41" s="106"/>
      <c r="E41" s="106"/>
      <c r="F41" s="106"/>
      <c r="G41" s="106"/>
      <c r="H41" s="106"/>
      <c r="I41" s="106" t="s">
        <v>126</v>
      </c>
      <c r="J41" s="106"/>
      <c r="K41" s="106"/>
      <c r="L41" s="106"/>
      <c r="M41" s="106"/>
      <c r="N41" s="107"/>
      <c r="O41" s="107"/>
    </row>
    <row r="42" spans="1:16" s="63" customFormat="1" ht="81.599999999999994" customHeight="1" x14ac:dyDescent="0.2">
      <c r="A42" s="122" t="s">
        <v>2</v>
      </c>
      <c r="B42" s="106" t="s">
        <v>128</v>
      </c>
      <c r="C42" s="106"/>
      <c r="D42" s="106"/>
      <c r="E42" s="106"/>
      <c r="F42" s="106"/>
      <c r="G42" s="106"/>
      <c r="H42" s="106"/>
      <c r="I42" s="106" t="s">
        <v>126</v>
      </c>
      <c r="J42" s="106"/>
      <c r="K42" s="106"/>
      <c r="L42" s="106"/>
      <c r="M42" s="106"/>
      <c r="N42" s="107"/>
      <c r="O42" s="107"/>
    </row>
    <row r="43" spans="1:16" s="63" customFormat="1" ht="85.15" customHeight="1" x14ac:dyDescent="0.2">
      <c r="A43" s="122" t="s">
        <v>3</v>
      </c>
      <c r="B43" s="106" t="s">
        <v>129</v>
      </c>
      <c r="C43" s="106"/>
      <c r="D43" s="106"/>
      <c r="E43" s="106"/>
      <c r="F43" s="106"/>
      <c r="G43" s="106"/>
      <c r="H43" s="106"/>
      <c r="I43" s="106" t="s">
        <v>126</v>
      </c>
      <c r="J43" s="106"/>
      <c r="K43" s="106"/>
      <c r="L43" s="106"/>
      <c r="M43" s="106"/>
      <c r="N43" s="107"/>
      <c r="O43" s="107"/>
    </row>
    <row r="44" spans="1:16" s="63" customFormat="1" ht="85.15" customHeight="1" x14ac:dyDescent="0.2">
      <c r="A44" s="122" t="s">
        <v>4</v>
      </c>
      <c r="B44" s="106" t="s">
        <v>130</v>
      </c>
      <c r="C44" s="106"/>
      <c r="D44" s="106"/>
      <c r="E44" s="106"/>
      <c r="F44" s="106"/>
      <c r="G44" s="106"/>
      <c r="H44" s="106"/>
      <c r="I44" s="106" t="s">
        <v>126</v>
      </c>
      <c r="J44" s="106"/>
      <c r="K44" s="106"/>
      <c r="L44" s="106"/>
      <c r="M44" s="106"/>
      <c r="N44" s="107"/>
      <c r="O44" s="107"/>
    </row>
    <row r="45" spans="1:16" s="63" customFormat="1" ht="92.45" customHeight="1" x14ac:dyDescent="0.2">
      <c r="A45" s="122" t="s">
        <v>5</v>
      </c>
      <c r="B45" s="106" t="s">
        <v>131</v>
      </c>
      <c r="C45" s="106"/>
      <c r="D45" s="106"/>
      <c r="E45" s="106"/>
      <c r="F45" s="106"/>
      <c r="G45" s="106"/>
      <c r="H45" s="106"/>
      <c r="I45" s="106" t="s">
        <v>126</v>
      </c>
      <c r="J45" s="106"/>
      <c r="K45" s="106"/>
      <c r="L45" s="106"/>
      <c r="M45" s="106"/>
      <c r="N45" s="107"/>
      <c r="O45" s="107"/>
    </row>
    <row r="46" spans="1:16" s="63" customFormat="1" ht="88.9" customHeight="1" x14ac:dyDescent="0.2">
      <c r="A46" s="122" t="s">
        <v>6</v>
      </c>
      <c r="B46" s="106" t="s">
        <v>132</v>
      </c>
      <c r="C46" s="106"/>
      <c r="D46" s="106"/>
      <c r="E46" s="106"/>
      <c r="F46" s="106"/>
      <c r="G46" s="106"/>
      <c r="H46" s="106"/>
      <c r="I46" s="106" t="s">
        <v>126</v>
      </c>
      <c r="J46" s="106"/>
      <c r="K46" s="106"/>
      <c r="L46" s="106"/>
      <c r="M46" s="106"/>
      <c r="N46" s="107"/>
      <c r="O46" s="107"/>
    </row>
    <row r="47" spans="1:16" s="63" customFormat="1" ht="78.75" customHeight="1" x14ac:dyDescent="0.2">
      <c r="A47" s="122" t="s">
        <v>7</v>
      </c>
      <c r="B47" s="106" t="s">
        <v>133</v>
      </c>
      <c r="C47" s="106"/>
      <c r="D47" s="106"/>
      <c r="E47" s="106"/>
      <c r="F47" s="106"/>
      <c r="G47" s="106"/>
      <c r="H47" s="106"/>
      <c r="I47" s="106" t="s">
        <v>126</v>
      </c>
      <c r="J47" s="106"/>
      <c r="K47" s="106"/>
      <c r="L47" s="106"/>
      <c r="M47" s="106"/>
      <c r="N47" s="107"/>
      <c r="O47" s="107"/>
    </row>
    <row r="48" spans="1:16" s="63" customFormat="1" ht="79.5" customHeight="1" x14ac:dyDescent="0.2">
      <c r="A48" s="122" t="s">
        <v>8</v>
      </c>
      <c r="B48" s="106" t="s">
        <v>134</v>
      </c>
      <c r="C48" s="106"/>
      <c r="D48" s="106"/>
      <c r="E48" s="106"/>
      <c r="F48" s="106"/>
      <c r="G48" s="106"/>
      <c r="H48" s="106"/>
      <c r="I48" s="106" t="s">
        <v>126</v>
      </c>
      <c r="J48" s="106"/>
      <c r="K48" s="106"/>
      <c r="L48" s="106"/>
      <c r="M48" s="106"/>
      <c r="N48" s="107"/>
      <c r="O48" s="107"/>
    </row>
    <row r="49" spans="1:15" s="63" customFormat="1" ht="72" customHeight="1" x14ac:dyDescent="0.2">
      <c r="A49" s="122" t="s">
        <v>9</v>
      </c>
      <c r="B49" s="106" t="s">
        <v>135</v>
      </c>
      <c r="C49" s="106"/>
      <c r="D49" s="106"/>
      <c r="E49" s="106"/>
      <c r="F49" s="106"/>
      <c r="G49" s="106"/>
      <c r="H49" s="106"/>
      <c r="I49" s="106" t="s">
        <v>126</v>
      </c>
      <c r="J49" s="106"/>
      <c r="K49" s="106"/>
      <c r="L49" s="106"/>
      <c r="M49" s="106"/>
      <c r="N49" s="107"/>
      <c r="O49" s="107"/>
    </row>
    <row r="50" spans="1:15" s="63" customFormat="1" ht="97.5" customHeight="1" x14ac:dyDescent="0.2">
      <c r="A50" s="122" t="s">
        <v>10</v>
      </c>
      <c r="B50" s="106" t="s">
        <v>136</v>
      </c>
      <c r="C50" s="106"/>
      <c r="D50" s="106"/>
      <c r="E50" s="106"/>
      <c r="F50" s="106"/>
      <c r="G50" s="106"/>
      <c r="H50" s="106"/>
      <c r="I50" s="106" t="s">
        <v>126</v>
      </c>
      <c r="J50" s="106"/>
      <c r="K50" s="106"/>
      <c r="L50" s="106"/>
      <c r="M50" s="106"/>
      <c r="N50" s="107"/>
      <c r="O50" s="107"/>
    </row>
    <row r="51" spans="1:15" s="63" customFormat="1" ht="119.25" customHeight="1" x14ac:dyDescent="0.2">
      <c r="A51" s="122" t="s">
        <v>11</v>
      </c>
      <c r="B51" s="106" t="s">
        <v>137</v>
      </c>
      <c r="C51" s="106"/>
      <c r="D51" s="106"/>
      <c r="E51" s="106"/>
      <c r="F51" s="106"/>
      <c r="G51" s="106"/>
      <c r="H51" s="106"/>
      <c r="I51" s="106" t="s">
        <v>126</v>
      </c>
      <c r="J51" s="106"/>
      <c r="K51" s="106"/>
      <c r="L51" s="106"/>
      <c r="M51" s="106"/>
      <c r="N51" s="107"/>
      <c r="O51" s="107"/>
    </row>
  </sheetData>
  <mergeCells count="29">
    <mergeCell ref="B50:H50"/>
    <mergeCell ref="I50:M50"/>
    <mergeCell ref="B51:H51"/>
    <mergeCell ref="I51:M51"/>
    <mergeCell ref="B47:H47"/>
    <mergeCell ref="I47:M47"/>
    <mergeCell ref="B48:H48"/>
    <mergeCell ref="I48:M48"/>
    <mergeCell ref="B49:H49"/>
    <mergeCell ref="I49:M49"/>
    <mergeCell ref="B44:H44"/>
    <mergeCell ref="I44:M44"/>
    <mergeCell ref="B45:H45"/>
    <mergeCell ref="I45:M45"/>
    <mergeCell ref="B46:H46"/>
    <mergeCell ref="I46:M46"/>
    <mergeCell ref="B41:H41"/>
    <mergeCell ref="I41:M41"/>
    <mergeCell ref="B42:H42"/>
    <mergeCell ref="I42:M42"/>
    <mergeCell ref="B43:H43"/>
    <mergeCell ref="I43:M43"/>
    <mergeCell ref="A3:P3"/>
    <mergeCell ref="O5:O25"/>
    <mergeCell ref="P5:P25"/>
    <mergeCell ref="B39:H39"/>
    <mergeCell ref="I39:M39"/>
    <mergeCell ref="B40:H40"/>
    <mergeCell ref="I40:M40"/>
  </mergeCells>
  <conditionalFormatting sqref="B19:M19">
    <cfRule type="cellIs" dxfId="5" priority="1" operator="greaterThan">
      <formula>0.002</formula>
    </cfRule>
    <cfRule type="cellIs" dxfId="4" priority="2" operator="greaterThan">
      <formula>0.003</formula>
    </cfRule>
    <cfRule type="cellIs" dxfId="3" priority="3" operator="greaterThan">
      <formula>0.002</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21A7C-65E9-45D2-B589-70C46624BE53}">
  <dimension ref="A1:R51"/>
  <sheetViews>
    <sheetView topLeftCell="A38" workbookViewId="0">
      <selection activeCell="B41" sqref="B41:H41"/>
    </sheetView>
  </sheetViews>
  <sheetFormatPr baseColWidth="10" defaultRowHeight="15" x14ac:dyDescent="0.25"/>
  <cols>
    <col min="1" max="1" width="57" bestFit="1" customWidth="1"/>
  </cols>
  <sheetData>
    <row r="1" spans="1:18" s="63" customFormat="1" ht="42" customHeight="1" x14ac:dyDescent="0.2">
      <c r="B1" s="64"/>
      <c r="C1" s="64"/>
      <c r="D1" s="64"/>
      <c r="E1" s="65">
        <v>100</v>
      </c>
      <c r="F1" s="64"/>
      <c r="G1" s="64" t="s">
        <v>43</v>
      </c>
      <c r="H1" s="64"/>
      <c r="I1" s="64"/>
      <c r="J1" s="64"/>
      <c r="K1" s="64">
        <v>2023</v>
      </c>
      <c r="L1" s="64"/>
      <c r="M1" s="64"/>
      <c r="N1" s="64"/>
      <c r="O1" s="64"/>
      <c r="P1" s="64"/>
    </row>
    <row r="2" spans="1:18" s="66" customFormat="1" ht="26.25" customHeight="1" x14ac:dyDescent="0.25">
      <c r="A2" s="64" t="s">
        <v>109</v>
      </c>
      <c r="B2" s="64"/>
      <c r="C2" s="64"/>
      <c r="D2" s="64"/>
      <c r="E2" s="64"/>
      <c r="F2" s="64"/>
      <c r="G2" s="64" t="s">
        <v>33</v>
      </c>
      <c r="H2" s="64">
        <v>100</v>
      </c>
      <c r="I2" s="64"/>
      <c r="J2" s="64" t="s">
        <v>34</v>
      </c>
      <c r="K2" s="64">
        <v>100</v>
      </c>
      <c r="L2" s="64"/>
      <c r="M2" s="64" t="s">
        <v>32</v>
      </c>
      <c r="N2" s="64">
        <v>100</v>
      </c>
      <c r="O2" s="64"/>
      <c r="P2" s="64"/>
    </row>
    <row r="3" spans="1:18" s="63" customFormat="1" ht="24.75" customHeight="1" x14ac:dyDescent="0.2">
      <c r="A3" s="67" t="s">
        <v>35</v>
      </c>
      <c r="B3" s="67"/>
      <c r="C3" s="67"/>
      <c r="D3" s="67"/>
      <c r="E3" s="67"/>
      <c r="F3" s="67"/>
      <c r="G3" s="67"/>
      <c r="H3" s="67"/>
      <c r="I3" s="67"/>
      <c r="J3" s="67"/>
      <c r="K3" s="67"/>
      <c r="L3" s="67"/>
      <c r="M3" s="67"/>
      <c r="N3" s="67"/>
      <c r="O3" s="67"/>
      <c r="P3" s="67"/>
    </row>
    <row r="4" spans="1:18" s="63" customFormat="1" ht="12.75" x14ac:dyDescent="0.2">
      <c r="A4" s="68" t="s">
        <v>36</v>
      </c>
      <c r="B4" s="69" t="s">
        <v>0</v>
      </c>
      <c r="C4" s="69" t="s">
        <v>1</v>
      </c>
      <c r="D4" s="69" t="s">
        <v>2</v>
      </c>
      <c r="E4" s="69" t="s">
        <v>3</v>
      </c>
      <c r="F4" s="69" t="s">
        <v>4</v>
      </c>
      <c r="G4" s="69" t="s">
        <v>5</v>
      </c>
      <c r="H4" s="69" t="s">
        <v>6</v>
      </c>
      <c r="I4" s="69" t="s">
        <v>7</v>
      </c>
      <c r="J4" s="70" t="s">
        <v>8</v>
      </c>
      <c r="K4" s="70" t="s">
        <v>9</v>
      </c>
      <c r="L4" s="70" t="s">
        <v>10</v>
      </c>
      <c r="M4" s="70" t="s">
        <v>11</v>
      </c>
      <c r="N4" s="70" t="s">
        <v>37</v>
      </c>
      <c r="O4" s="71"/>
      <c r="P4" s="71"/>
    </row>
    <row r="5" spans="1:18" s="63" customFormat="1" ht="34.15" customHeight="1" x14ac:dyDescent="0.2">
      <c r="A5" s="72" t="s">
        <v>19</v>
      </c>
      <c r="B5" s="73">
        <v>3</v>
      </c>
      <c r="C5" s="73">
        <v>0</v>
      </c>
      <c r="D5" s="73">
        <v>1</v>
      </c>
      <c r="E5" s="73">
        <v>1</v>
      </c>
      <c r="F5" s="73">
        <v>3</v>
      </c>
      <c r="G5" s="73">
        <v>2</v>
      </c>
      <c r="H5" s="73">
        <v>0</v>
      </c>
      <c r="I5" s="73">
        <v>0</v>
      </c>
      <c r="J5" s="74">
        <v>0</v>
      </c>
      <c r="K5" s="75">
        <v>0</v>
      </c>
      <c r="L5" s="75">
        <v>0</v>
      </c>
      <c r="M5" s="75">
        <v>1</v>
      </c>
      <c r="N5" s="75">
        <f>SUM(B5:M5)</f>
        <v>11</v>
      </c>
      <c r="O5" s="76"/>
      <c r="P5" s="77"/>
    </row>
    <row r="6" spans="1:18" s="63" customFormat="1" ht="34.15" customHeight="1" x14ac:dyDescent="0.2">
      <c r="A6" s="72" t="s">
        <v>20</v>
      </c>
      <c r="B6" s="73">
        <v>1</v>
      </c>
      <c r="C6" s="73">
        <v>0</v>
      </c>
      <c r="D6" s="73">
        <v>2</v>
      </c>
      <c r="E6" s="73">
        <v>0</v>
      </c>
      <c r="F6" s="73">
        <v>1</v>
      </c>
      <c r="G6" s="73">
        <v>0</v>
      </c>
      <c r="H6" s="73">
        <v>0</v>
      </c>
      <c r="I6" s="73">
        <v>0</v>
      </c>
      <c r="J6" s="74">
        <v>2</v>
      </c>
      <c r="K6" s="75">
        <v>2</v>
      </c>
      <c r="L6" s="75">
        <v>1</v>
      </c>
      <c r="M6" s="75">
        <v>2</v>
      </c>
      <c r="N6" s="75">
        <f t="shared" ref="N6:N16" si="0">SUM(B6:M6)</f>
        <v>11</v>
      </c>
      <c r="O6" s="78"/>
      <c r="P6" s="79"/>
    </row>
    <row r="7" spans="1:18" s="63" customFormat="1" ht="34.15" customHeight="1" x14ac:dyDescent="0.2">
      <c r="A7" s="72" t="s">
        <v>21</v>
      </c>
      <c r="B7" s="73">
        <v>0</v>
      </c>
      <c r="C7" s="73">
        <v>1</v>
      </c>
      <c r="D7" s="73">
        <v>0</v>
      </c>
      <c r="E7" s="73">
        <v>2</v>
      </c>
      <c r="F7" s="73">
        <v>1</v>
      </c>
      <c r="G7" s="73">
        <v>0</v>
      </c>
      <c r="H7" s="73">
        <v>0</v>
      </c>
      <c r="I7" s="73">
        <v>0</v>
      </c>
      <c r="J7" s="74">
        <v>1</v>
      </c>
      <c r="K7" s="75">
        <v>0</v>
      </c>
      <c r="L7" s="75">
        <v>1</v>
      </c>
      <c r="M7" s="75">
        <v>0</v>
      </c>
      <c r="N7" s="75">
        <f t="shared" si="0"/>
        <v>6</v>
      </c>
      <c r="O7" s="78"/>
      <c r="P7" s="79"/>
    </row>
    <row r="8" spans="1:18" s="63" customFormat="1" ht="34.15" customHeight="1" x14ac:dyDescent="0.2">
      <c r="A8" s="72" t="s">
        <v>79</v>
      </c>
      <c r="B8" s="73">
        <v>3</v>
      </c>
      <c r="C8" s="73">
        <v>5</v>
      </c>
      <c r="D8" s="73">
        <v>5</v>
      </c>
      <c r="E8" s="73">
        <v>3</v>
      </c>
      <c r="F8" s="73">
        <v>2</v>
      </c>
      <c r="G8" s="80">
        <v>4</v>
      </c>
      <c r="H8" s="73">
        <v>6</v>
      </c>
      <c r="I8" s="73">
        <v>5</v>
      </c>
      <c r="J8" s="74">
        <v>9</v>
      </c>
      <c r="K8" s="75">
        <v>4</v>
      </c>
      <c r="L8" s="75">
        <v>5</v>
      </c>
      <c r="M8" s="75">
        <v>4</v>
      </c>
      <c r="N8" s="75">
        <f t="shared" si="0"/>
        <v>55</v>
      </c>
      <c r="O8" s="78"/>
      <c r="P8" s="79"/>
    </row>
    <row r="9" spans="1:18" s="63" customFormat="1" ht="34.15" customHeight="1" x14ac:dyDescent="0.2">
      <c r="A9" s="72" t="s">
        <v>54</v>
      </c>
      <c r="B9" s="73">
        <v>0</v>
      </c>
      <c r="C9" s="73">
        <v>0</v>
      </c>
      <c r="D9" s="73">
        <v>0</v>
      </c>
      <c r="E9" s="73">
        <v>0</v>
      </c>
      <c r="F9" s="73">
        <v>2</v>
      </c>
      <c r="G9" s="73">
        <v>0</v>
      </c>
      <c r="H9" s="73">
        <v>0</v>
      </c>
      <c r="I9" s="73">
        <v>0</v>
      </c>
      <c r="J9" s="74">
        <v>0</v>
      </c>
      <c r="K9" s="75">
        <v>0</v>
      </c>
      <c r="L9" s="75">
        <v>0</v>
      </c>
      <c r="M9" s="75">
        <v>0</v>
      </c>
      <c r="N9" s="75">
        <f t="shared" si="0"/>
        <v>2</v>
      </c>
      <c r="O9" s="78"/>
      <c r="P9" s="79"/>
    </row>
    <row r="10" spans="1:18" s="63" customFormat="1" ht="52.15" customHeight="1" x14ac:dyDescent="0.2">
      <c r="A10" s="81" t="s">
        <v>30</v>
      </c>
      <c r="B10" s="73">
        <v>19</v>
      </c>
      <c r="C10" s="73">
        <v>0</v>
      </c>
      <c r="D10" s="73">
        <v>22</v>
      </c>
      <c r="E10" s="73">
        <v>0</v>
      </c>
      <c r="F10" s="73">
        <v>3</v>
      </c>
      <c r="G10" s="73">
        <v>0</v>
      </c>
      <c r="H10" s="73">
        <v>0</v>
      </c>
      <c r="I10" s="73">
        <v>0</v>
      </c>
      <c r="J10" s="74">
        <v>41</v>
      </c>
      <c r="K10" s="75">
        <v>7</v>
      </c>
      <c r="L10" s="75">
        <v>50</v>
      </c>
      <c r="M10" s="75">
        <v>0</v>
      </c>
      <c r="N10" s="75">
        <f t="shared" si="0"/>
        <v>142</v>
      </c>
      <c r="O10" s="78"/>
      <c r="P10" s="79"/>
    </row>
    <row r="11" spans="1:18" s="63" customFormat="1" ht="33.6" customHeight="1" x14ac:dyDescent="0.2">
      <c r="A11" s="72" t="s">
        <v>80</v>
      </c>
      <c r="B11" s="73">
        <v>0</v>
      </c>
      <c r="C11" s="73">
        <v>0</v>
      </c>
      <c r="D11" s="73">
        <v>0</v>
      </c>
      <c r="E11" s="73">
        <v>0</v>
      </c>
      <c r="F11" s="73">
        <v>0</v>
      </c>
      <c r="G11" s="73">
        <v>0</v>
      </c>
      <c r="H11" s="73">
        <v>0</v>
      </c>
      <c r="I11" s="73">
        <v>0</v>
      </c>
      <c r="J11" s="74">
        <v>0</v>
      </c>
      <c r="K11" s="75">
        <v>0</v>
      </c>
      <c r="L11" s="75">
        <v>0</v>
      </c>
      <c r="M11" s="75">
        <v>12</v>
      </c>
      <c r="N11" s="75">
        <f t="shared" si="0"/>
        <v>12</v>
      </c>
      <c r="O11" s="78"/>
      <c r="P11" s="79"/>
    </row>
    <row r="12" spans="1:18" s="63" customFormat="1" ht="33.6" customHeight="1" x14ac:dyDescent="0.2">
      <c r="A12" s="72" t="s">
        <v>25</v>
      </c>
      <c r="B12" s="82">
        <v>966</v>
      </c>
      <c r="C12" s="82">
        <v>984</v>
      </c>
      <c r="D12" s="82">
        <v>959</v>
      </c>
      <c r="E12" s="82">
        <v>815</v>
      </c>
      <c r="F12" s="82">
        <v>815</v>
      </c>
      <c r="G12" s="82">
        <v>829</v>
      </c>
      <c r="H12" s="82">
        <v>831</v>
      </c>
      <c r="I12" s="82">
        <v>842</v>
      </c>
      <c r="J12" s="82">
        <v>847</v>
      </c>
      <c r="K12" s="82">
        <v>844</v>
      </c>
      <c r="L12" s="82">
        <v>843</v>
      </c>
      <c r="M12" s="83">
        <v>836</v>
      </c>
      <c r="N12" s="75">
        <f t="shared" si="0"/>
        <v>10411</v>
      </c>
      <c r="O12" s="78"/>
      <c r="P12" s="79"/>
      <c r="R12" s="84"/>
    </row>
    <row r="13" spans="1:18" s="63" customFormat="1" ht="33.6" customHeight="1" x14ac:dyDescent="0.2">
      <c r="A13" s="72" t="s">
        <v>26</v>
      </c>
      <c r="B13" s="85">
        <v>241301</v>
      </c>
      <c r="C13" s="85">
        <v>254274</v>
      </c>
      <c r="D13" s="85">
        <v>250972</v>
      </c>
      <c r="E13" s="85">
        <v>215081</v>
      </c>
      <c r="F13" s="85">
        <v>220213</v>
      </c>
      <c r="G13" s="85">
        <v>224539</v>
      </c>
      <c r="H13" s="85">
        <v>234920</v>
      </c>
      <c r="I13" s="85">
        <v>224539</v>
      </c>
      <c r="J13" s="86">
        <v>243827</v>
      </c>
      <c r="K13" s="82">
        <v>215592</v>
      </c>
      <c r="L13" s="82">
        <v>240139</v>
      </c>
      <c r="M13" s="83">
        <v>240139</v>
      </c>
      <c r="N13" s="75">
        <f>SUM(B13:M13)</f>
        <v>2805536</v>
      </c>
      <c r="O13" s="78"/>
      <c r="P13" s="79"/>
      <c r="R13" s="63">
        <v>2835242</v>
      </c>
    </row>
    <row r="14" spans="1:18" s="63" customFormat="1" ht="33.6" customHeight="1" x14ac:dyDescent="0.2">
      <c r="A14" s="72" t="s">
        <v>42</v>
      </c>
      <c r="B14" s="73">
        <v>0</v>
      </c>
      <c r="C14" s="73">
        <v>0</v>
      </c>
      <c r="D14" s="73">
        <v>0</v>
      </c>
      <c r="E14" s="73">
        <v>0</v>
      </c>
      <c r="F14" s="73">
        <v>0</v>
      </c>
      <c r="G14" s="73">
        <v>0</v>
      </c>
      <c r="H14" s="73">
        <v>0</v>
      </c>
      <c r="I14" s="73">
        <v>0</v>
      </c>
      <c r="J14" s="74">
        <v>0</v>
      </c>
      <c r="K14" s="74">
        <v>0</v>
      </c>
      <c r="L14" s="74">
        <v>0</v>
      </c>
      <c r="M14" s="74">
        <v>0</v>
      </c>
      <c r="N14" s="75">
        <f t="shared" si="0"/>
        <v>0</v>
      </c>
      <c r="O14" s="78"/>
      <c r="P14" s="79"/>
    </row>
    <row r="15" spans="1:18" s="63" customFormat="1" ht="33.6" customHeight="1" x14ac:dyDescent="0.2">
      <c r="A15" s="72" t="s">
        <v>81</v>
      </c>
      <c r="B15" s="73">
        <v>0</v>
      </c>
      <c r="C15" s="73">
        <v>0</v>
      </c>
      <c r="D15" s="73">
        <v>0</v>
      </c>
      <c r="E15" s="73">
        <v>0</v>
      </c>
      <c r="F15" s="73">
        <v>0</v>
      </c>
      <c r="G15" s="73">
        <v>1</v>
      </c>
      <c r="H15" s="73">
        <v>0</v>
      </c>
      <c r="I15" s="73">
        <v>0</v>
      </c>
      <c r="J15" s="87">
        <v>0</v>
      </c>
      <c r="K15" s="87">
        <v>0</v>
      </c>
      <c r="L15" s="87">
        <v>0</v>
      </c>
      <c r="M15" s="87">
        <v>0</v>
      </c>
      <c r="N15" s="75">
        <f t="shared" si="0"/>
        <v>1</v>
      </c>
      <c r="O15" s="78"/>
      <c r="P15" s="79"/>
    </row>
    <row r="16" spans="1:18" s="63" customFormat="1" ht="33.6" customHeight="1" x14ac:dyDescent="0.2">
      <c r="A16" s="72" t="s">
        <v>82</v>
      </c>
      <c r="B16" s="73">
        <v>0</v>
      </c>
      <c r="C16" s="73">
        <v>0</v>
      </c>
      <c r="D16" s="73">
        <v>0</v>
      </c>
      <c r="E16" s="73">
        <v>0</v>
      </c>
      <c r="F16" s="73">
        <v>0</v>
      </c>
      <c r="G16" s="73">
        <v>30</v>
      </c>
      <c r="H16" s="73">
        <v>0</v>
      </c>
      <c r="I16" s="73">
        <v>0</v>
      </c>
      <c r="J16" s="87">
        <v>0</v>
      </c>
      <c r="K16" s="87">
        <v>0</v>
      </c>
      <c r="L16" s="87">
        <v>0</v>
      </c>
      <c r="M16" s="87">
        <v>0</v>
      </c>
      <c r="N16" s="75">
        <f t="shared" si="0"/>
        <v>30</v>
      </c>
      <c r="O16" s="78"/>
      <c r="P16" s="79"/>
    </row>
    <row r="17" spans="1:16" s="91" customFormat="1" ht="33.6" customHeight="1" x14ac:dyDescent="0.2">
      <c r="A17" s="88" t="s">
        <v>14</v>
      </c>
      <c r="B17" s="89">
        <f>IFERROR((((B$6+B$7)/B$12)*$K$2),0)</f>
        <v>0.10351966873706005</v>
      </c>
      <c r="C17" s="89">
        <f>IFERROR((((C$6+C$7)/C$12)*$K$2),0)</f>
        <v>0.10162601626016261</v>
      </c>
      <c r="D17" s="89">
        <f>IFERROR((((D$6+D$7)/D$12)*$K$2),0)</f>
        <v>0.20855057351407716</v>
      </c>
      <c r="E17" s="89">
        <f>IFERROR((((E$6+E$7)/E$12)*$K$2),0)</f>
        <v>0.245398773006135</v>
      </c>
      <c r="F17" s="89">
        <f>IFERROR((((F$6+F$7)/F$12)*$K$2),0)</f>
        <v>0.245398773006135</v>
      </c>
      <c r="G17" s="89">
        <f t="shared" ref="G17:M17" si="1">IFERROR((((G$6+G$7)/G$12)*$K$2),0)</f>
        <v>0</v>
      </c>
      <c r="H17" s="89">
        <f t="shared" si="1"/>
        <v>0</v>
      </c>
      <c r="I17" s="89">
        <f t="shared" si="1"/>
        <v>0</v>
      </c>
      <c r="J17" s="89">
        <f t="shared" si="1"/>
        <v>0.35419126328217237</v>
      </c>
      <c r="K17" s="89">
        <f t="shared" si="1"/>
        <v>0.23696682464454977</v>
      </c>
      <c r="L17" s="89">
        <f t="shared" si="1"/>
        <v>0.23724792408066431</v>
      </c>
      <c r="M17" s="89">
        <f t="shared" si="1"/>
        <v>0.23923444976076555</v>
      </c>
      <c r="N17" s="90">
        <f t="shared" ref="N17:N24" si="2">AVERAGE(B17:M17)</f>
        <v>0.16434452219097681</v>
      </c>
      <c r="O17" s="78"/>
      <c r="P17" s="79"/>
    </row>
    <row r="18" spans="1:16" s="91" customFormat="1" ht="33.6" customHeight="1" x14ac:dyDescent="0.2">
      <c r="A18" s="88" t="s">
        <v>15</v>
      </c>
      <c r="B18" s="92">
        <f>IFERROR((((B$10+B$11)/B$12)*$K$2),0)</f>
        <v>1.9668737060041408</v>
      </c>
      <c r="C18" s="92">
        <f>IFERROR((((C$10+C$11)/C$12)*$K$2),0)</f>
        <v>0</v>
      </c>
      <c r="D18" s="92">
        <f>IFERROR((((D$10+D$11)/D$12)*$K$2),0)</f>
        <v>2.2940563086548487</v>
      </c>
      <c r="E18" s="92">
        <f>IFERROR((((E$10+E$11)/E$12)*$K$2),0)</f>
        <v>0</v>
      </c>
      <c r="F18" s="92">
        <f>IFERROR((((F$10+F$11)/F$12)*$K$2),0)</f>
        <v>0.36809815950920244</v>
      </c>
      <c r="G18" s="92">
        <f t="shared" ref="G18:M18" si="3">IFERROR((((G$10+G$11)/G$12)*$K$2),0)</f>
        <v>0</v>
      </c>
      <c r="H18" s="92">
        <f t="shared" si="3"/>
        <v>0</v>
      </c>
      <c r="I18" s="92">
        <f t="shared" si="3"/>
        <v>0</v>
      </c>
      <c r="J18" s="92">
        <f t="shared" si="3"/>
        <v>4.8406139315230226</v>
      </c>
      <c r="K18" s="92">
        <f t="shared" si="3"/>
        <v>0.82938388625592419</v>
      </c>
      <c r="L18" s="92">
        <f t="shared" si="3"/>
        <v>5.9311981020166078</v>
      </c>
      <c r="M18" s="92">
        <f t="shared" si="3"/>
        <v>1.4354066985645932</v>
      </c>
      <c r="N18" s="90">
        <f t="shared" si="2"/>
        <v>1.4721358993773617</v>
      </c>
      <c r="O18" s="78"/>
      <c r="P18" s="79"/>
    </row>
    <row r="19" spans="1:16" s="91" customFormat="1" ht="33.6" customHeight="1" x14ac:dyDescent="0.2">
      <c r="A19" s="88" t="s">
        <v>12</v>
      </c>
      <c r="B19" s="90">
        <f>+(B$17*B$18)/1000</f>
        <v>2.0361011449318228E-4</v>
      </c>
      <c r="C19" s="90">
        <f>+(C$17*C$18)/1000</f>
        <v>0</v>
      </c>
      <c r="D19" s="90">
        <f>+(D$17*D$18)/1000</f>
        <v>4.7842675884355549E-4</v>
      </c>
      <c r="E19" s="90">
        <f>+(E$17*E$18)/1000</f>
        <v>0</v>
      </c>
      <c r="F19" s="90">
        <f>+(F$17*F$18)/1000</f>
        <v>9.0330836689374845E-5</v>
      </c>
      <c r="G19" s="90">
        <f t="shared" ref="G19:M19" si="4">+(G$17*G$18)/1000</f>
        <v>0</v>
      </c>
      <c r="H19" s="90">
        <f t="shared" si="4"/>
        <v>0</v>
      </c>
      <c r="I19" s="90">
        <f t="shared" si="4"/>
        <v>0</v>
      </c>
      <c r="J19" s="90">
        <f t="shared" si="4"/>
        <v>1.7145031634674224E-3</v>
      </c>
      <c r="K19" s="90">
        <f t="shared" si="4"/>
        <v>1.9653646593742279E-4</v>
      </c>
      <c r="L19" s="90">
        <f t="shared" si="4"/>
        <v>1.4071644370146164E-3</v>
      </c>
      <c r="M19" s="90">
        <f t="shared" si="4"/>
        <v>3.4339873171401752E-4</v>
      </c>
      <c r="N19" s="90">
        <f t="shared" si="2"/>
        <v>3.694975423466326E-4</v>
      </c>
      <c r="O19" s="78"/>
      <c r="P19" s="79"/>
    </row>
    <row r="20" spans="1:16" s="91" customFormat="1" ht="33.6" customHeight="1" x14ac:dyDescent="0.2">
      <c r="A20" s="88" t="s">
        <v>13</v>
      </c>
      <c r="B20" s="90">
        <f>IFERROR((((B$6+B$7)/B$12)*$E$1),0)</f>
        <v>0.10351966873706005</v>
      </c>
      <c r="C20" s="90">
        <f>IFERROR((((C$6+C$7)/C$12)*$E$1),0)</f>
        <v>0.10162601626016261</v>
      </c>
      <c r="D20" s="90">
        <f>IFERROR((((D$6+D$7)/D$12)*$E$1),0)</f>
        <v>0.20855057351407716</v>
      </c>
      <c r="E20" s="90">
        <f>IFERROR((((E$6+E$7)/E$12)*$E$1),0)</f>
        <v>0.245398773006135</v>
      </c>
      <c r="F20" s="90">
        <f>IFERROR((((F$6+F$7)/F$12)*$E$1),0)</f>
        <v>0.245398773006135</v>
      </c>
      <c r="G20" s="90">
        <f t="shared" ref="G20:M20" si="5">IFERROR((((G$6+G$7)/G$12)*$E$1),0)</f>
        <v>0</v>
      </c>
      <c r="H20" s="90">
        <f t="shared" si="5"/>
        <v>0</v>
      </c>
      <c r="I20" s="90">
        <f t="shared" si="5"/>
        <v>0</v>
      </c>
      <c r="J20" s="90">
        <f t="shared" si="5"/>
        <v>0.35419126328217237</v>
      </c>
      <c r="K20" s="90">
        <f t="shared" si="5"/>
        <v>0.23696682464454977</v>
      </c>
      <c r="L20" s="90">
        <f t="shared" si="5"/>
        <v>0.23724792408066431</v>
      </c>
      <c r="M20" s="90">
        <f t="shared" si="5"/>
        <v>0.23923444976076555</v>
      </c>
      <c r="N20" s="90">
        <f t="shared" si="2"/>
        <v>0.16434452219097681</v>
      </c>
      <c r="O20" s="78"/>
      <c r="P20" s="79"/>
    </row>
    <row r="21" spans="1:16" s="91" customFormat="1" ht="33.6" customHeight="1" x14ac:dyDescent="0.2">
      <c r="A21" s="88" t="s">
        <v>84</v>
      </c>
      <c r="B21" s="90">
        <f>IFERROR(((B$11/B$12)*$E$1),0)</f>
        <v>0</v>
      </c>
      <c r="C21" s="90">
        <f t="shared" ref="C21:M21" si="6">IFERROR(((C$11/C$12)*$E$1),0)</f>
        <v>0</v>
      </c>
      <c r="D21" s="90">
        <f t="shared" si="6"/>
        <v>0</v>
      </c>
      <c r="E21" s="90">
        <f t="shared" si="6"/>
        <v>0</v>
      </c>
      <c r="F21" s="90">
        <f t="shared" si="6"/>
        <v>0</v>
      </c>
      <c r="G21" s="90">
        <f t="shared" si="6"/>
        <v>0</v>
      </c>
      <c r="H21" s="90">
        <f t="shared" si="6"/>
        <v>0</v>
      </c>
      <c r="I21" s="90">
        <f t="shared" si="6"/>
        <v>0</v>
      </c>
      <c r="J21" s="90">
        <f t="shared" si="6"/>
        <v>0</v>
      </c>
      <c r="K21" s="90">
        <f t="shared" si="6"/>
        <v>0</v>
      </c>
      <c r="L21" s="90">
        <f t="shared" si="6"/>
        <v>0</v>
      </c>
      <c r="M21" s="90">
        <f t="shared" si="6"/>
        <v>1.4354066985645932</v>
      </c>
      <c r="N21" s="90">
        <f t="shared" si="2"/>
        <v>0.11961722488038277</v>
      </c>
      <c r="O21" s="78"/>
      <c r="P21" s="79"/>
    </row>
    <row r="22" spans="1:16" s="91" customFormat="1" ht="33.6" customHeight="1" x14ac:dyDescent="0.2">
      <c r="A22" s="88" t="s">
        <v>83</v>
      </c>
      <c r="B22" s="90">
        <f>IFERROR(((B$8/B$12)*$E$1),0)</f>
        <v>0.3105590062111801</v>
      </c>
      <c r="C22" s="90">
        <f t="shared" ref="C22:N22" si="7">IFERROR(((C$8/C$12)*$E$1),0)</f>
        <v>0.50813008130081294</v>
      </c>
      <c r="D22" s="90">
        <f t="shared" si="7"/>
        <v>0.52137643378519283</v>
      </c>
      <c r="E22" s="90">
        <f t="shared" si="7"/>
        <v>0.36809815950920244</v>
      </c>
      <c r="F22" s="90">
        <f t="shared" si="7"/>
        <v>0.245398773006135</v>
      </c>
      <c r="G22" s="90">
        <f t="shared" si="7"/>
        <v>0.48250904704463204</v>
      </c>
      <c r="H22" s="90">
        <f t="shared" si="7"/>
        <v>0.72202166064981954</v>
      </c>
      <c r="I22" s="90">
        <f t="shared" si="7"/>
        <v>0.59382422802850354</v>
      </c>
      <c r="J22" s="90">
        <f t="shared" si="7"/>
        <v>1.0625737898465171</v>
      </c>
      <c r="K22" s="90">
        <f t="shared" si="7"/>
        <v>0.47393364928909953</v>
      </c>
      <c r="L22" s="90">
        <f t="shared" si="7"/>
        <v>0.59311981020166071</v>
      </c>
      <c r="M22" s="90">
        <f t="shared" si="7"/>
        <v>0.4784688995215311</v>
      </c>
      <c r="N22" s="90">
        <f t="shared" si="7"/>
        <v>0.52828738833925648</v>
      </c>
      <c r="O22" s="78"/>
      <c r="P22" s="79"/>
    </row>
    <row r="23" spans="1:16" s="91" customFormat="1" ht="33.6" customHeight="1" x14ac:dyDescent="0.2">
      <c r="A23" s="88" t="s">
        <v>17</v>
      </c>
      <c r="B23" s="90">
        <f>IFERROR((((B$6+B$7)/B$12)*$E$1),0)</f>
        <v>0.10351966873706005</v>
      </c>
      <c r="C23" s="90">
        <f t="shared" ref="C23" si="8">IFERROR((((C$6+C$7)/C$12)*$E$1),0)</f>
        <v>0.10162601626016261</v>
      </c>
      <c r="D23" s="90">
        <f>IFERROR((((D$6+D$7)/D$12)*$E$1),0)</f>
        <v>0.20855057351407716</v>
      </c>
      <c r="E23" s="90">
        <f>IFERROR((((E$6+E$7)/E$12)*$E$1),0)</f>
        <v>0.245398773006135</v>
      </c>
      <c r="F23" s="90">
        <f>IFERROR((((F$6+F$7)/F$12)*$E$1),0)</f>
        <v>0.245398773006135</v>
      </c>
      <c r="G23" s="90">
        <f t="shared" ref="G23:M23" si="9">IFERROR((((G$6+G$7)/G$12)*$E$1),0)</f>
        <v>0</v>
      </c>
      <c r="H23" s="90">
        <f t="shared" si="9"/>
        <v>0</v>
      </c>
      <c r="I23" s="90">
        <f t="shared" si="9"/>
        <v>0</v>
      </c>
      <c r="J23" s="90">
        <f t="shared" si="9"/>
        <v>0.35419126328217237</v>
      </c>
      <c r="K23" s="90">
        <f t="shared" si="9"/>
        <v>0.23696682464454977</v>
      </c>
      <c r="L23" s="90">
        <f t="shared" si="9"/>
        <v>0.23724792408066431</v>
      </c>
      <c r="M23" s="90">
        <f t="shared" si="9"/>
        <v>0.23923444976076555</v>
      </c>
      <c r="N23" s="90">
        <f t="shared" si="2"/>
        <v>0.16434452219097681</v>
      </c>
      <c r="O23" s="78"/>
      <c r="P23" s="79"/>
    </row>
    <row r="24" spans="1:16" s="91" customFormat="1" ht="33.6" customHeight="1" x14ac:dyDescent="0.2">
      <c r="A24" s="88" t="s">
        <v>41</v>
      </c>
      <c r="B24" s="90">
        <f>IFERROR(((B$14)/(B$6+B$7)*$K$2),0)</f>
        <v>0</v>
      </c>
      <c r="C24" s="90">
        <f t="shared" ref="C24:M24" si="10">IFERROR(((C$14)/(C$6+C$7)*$K$2),0)</f>
        <v>0</v>
      </c>
      <c r="D24" s="90">
        <f t="shared" si="10"/>
        <v>0</v>
      </c>
      <c r="E24" s="90">
        <f t="shared" si="10"/>
        <v>0</v>
      </c>
      <c r="F24" s="90">
        <f t="shared" si="10"/>
        <v>0</v>
      </c>
      <c r="G24" s="90">
        <f t="shared" si="10"/>
        <v>0</v>
      </c>
      <c r="H24" s="90">
        <f t="shared" si="10"/>
        <v>0</v>
      </c>
      <c r="I24" s="90">
        <f t="shared" si="10"/>
        <v>0</v>
      </c>
      <c r="J24" s="90">
        <f t="shared" si="10"/>
        <v>0</v>
      </c>
      <c r="K24" s="90">
        <f t="shared" si="10"/>
        <v>0</v>
      </c>
      <c r="L24" s="90">
        <f t="shared" si="10"/>
        <v>0</v>
      </c>
      <c r="M24" s="90">
        <f t="shared" si="10"/>
        <v>0</v>
      </c>
      <c r="N24" s="90">
        <f t="shared" si="2"/>
        <v>0</v>
      </c>
      <c r="O24" s="78"/>
      <c r="P24" s="79"/>
    </row>
    <row r="25" spans="1:16" s="91" customFormat="1" ht="33.6" customHeight="1" x14ac:dyDescent="0.2">
      <c r="A25" s="93" t="s">
        <v>31</v>
      </c>
      <c r="B25" s="94">
        <v>2.3917000000000001E-3</v>
      </c>
      <c r="C25" s="94">
        <v>2.3917000000000001E-3</v>
      </c>
      <c r="D25" s="94">
        <v>2.3917000000000001E-3</v>
      </c>
      <c r="E25" s="94">
        <v>2.3917000000000001E-3</v>
      </c>
      <c r="F25" s="94">
        <v>2.3917000000000001E-3</v>
      </c>
      <c r="G25" s="94">
        <v>2.3917000000000001E-3</v>
      </c>
      <c r="H25" s="94">
        <v>2.3917000000000001E-3</v>
      </c>
      <c r="I25" s="94">
        <v>2.3917000000000001E-3</v>
      </c>
      <c r="J25" s="94">
        <v>2.3917000000000001E-3</v>
      </c>
      <c r="K25" s="94">
        <v>2.3917000000000001E-3</v>
      </c>
      <c r="L25" s="94">
        <v>2.3917000000000001E-3</v>
      </c>
      <c r="M25" s="94">
        <v>2.3917000000000001E-3</v>
      </c>
      <c r="N25" s="93"/>
      <c r="O25" s="95"/>
      <c r="P25" s="96"/>
    </row>
    <row r="26" spans="1:16" s="63" customFormat="1" ht="63.6" customHeight="1" x14ac:dyDescent="0.2">
      <c r="A26" s="97" t="s">
        <v>38</v>
      </c>
      <c r="B26" s="98"/>
      <c r="C26" s="98"/>
      <c r="D26" s="98"/>
      <c r="E26" s="98"/>
      <c r="F26" s="98"/>
      <c r="G26" s="98"/>
      <c r="H26" s="98"/>
      <c r="I26" s="98"/>
      <c r="J26" s="98"/>
      <c r="K26" s="98"/>
      <c r="L26" s="98"/>
      <c r="M26" s="98"/>
      <c r="N26" s="98"/>
      <c r="O26" s="98"/>
      <c r="P26" s="98"/>
    </row>
    <row r="27" spans="1:16" s="63" customFormat="1" ht="323.25" customHeight="1" x14ac:dyDescent="0.2">
      <c r="A27" s="99"/>
      <c r="B27" s="100"/>
      <c r="C27" s="100"/>
      <c r="D27" s="100"/>
      <c r="E27" s="100"/>
      <c r="F27" s="100"/>
      <c r="G27" s="100"/>
      <c r="H27" s="100"/>
      <c r="I27" s="100"/>
      <c r="J27" s="100"/>
      <c r="K27" s="100"/>
      <c r="L27" s="100"/>
      <c r="M27" s="100"/>
      <c r="N27" s="100"/>
      <c r="O27" s="100"/>
      <c r="P27" s="100"/>
    </row>
    <row r="28" spans="1:16" s="63" customFormat="1" ht="53.25" customHeight="1" x14ac:dyDescent="0.2">
      <c r="A28" s="99"/>
      <c r="B28" s="100"/>
      <c r="C28" s="100"/>
      <c r="D28" s="100"/>
      <c r="E28" s="100"/>
      <c r="F28" s="100"/>
      <c r="G28" s="100"/>
      <c r="H28" s="100"/>
      <c r="I28" s="100"/>
      <c r="J28" s="100"/>
      <c r="K28" s="100"/>
      <c r="L28" s="100"/>
      <c r="M28" s="100"/>
      <c r="N28" s="100"/>
      <c r="O28" s="100"/>
      <c r="P28" s="100"/>
    </row>
    <row r="29" spans="1:16" s="63" customFormat="1" ht="53.25" customHeight="1" x14ac:dyDescent="0.2">
      <c r="A29" s="99"/>
      <c r="B29" s="100"/>
      <c r="C29" s="100"/>
      <c r="D29" s="100"/>
      <c r="E29" s="100"/>
      <c r="F29" s="100"/>
      <c r="G29" s="100"/>
      <c r="H29" s="100"/>
      <c r="I29" s="100"/>
      <c r="J29" s="100"/>
      <c r="K29" s="100"/>
      <c r="L29" s="100"/>
      <c r="M29" s="100"/>
      <c r="N29" s="100"/>
      <c r="O29" s="100"/>
      <c r="P29" s="100"/>
    </row>
    <row r="30" spans="1:16" s="63" customFormat="1" ht="53.25" customHeight="1" x14ac:dyDescent="0.2">
      <c r="A30" s="99"/>
      <c r="B30" s="100"/>
      <c r="C30" s="100"/>
      <c r="D30" s="100"/>
      <c r="E30" s="100"/>
      <c r="F30" s="100"/>
      <c r="G30" s="100"/>
      <c r="H30" s="100"/>
      <c r="I30" s="100"/>
      <c r="J30" s="100"/>
      <c r="K30" s="100"/>
      <c r="L30" s="100"/>
      <c r="M30" s="100"/>
      <c r="N30" s="100"/>
      <c r="O30" s="100"/>
      <c r="P30" s="100"/>
    </row>
    <row r="31" spans="1:16" s="63" customFormat="1" ht="53.25" customHeight="1" x14ac:dyDescent="0.2">
      <c r="A31" s="99"/>
      <c r="B31" s="100"/>
      <c r="C31" s="100"/>
      <c r="D31" s="100"/>
      <c r="E31" s="100"/>
      <c r="F31" s="100"/>
      <c r="G31" s="100"/>
      <c r="H31" s="100"/>
      <c r="I31" s="100"/>
      <c r="J31" s="100"/>
      <c r="K31" s="100"/>
      <c r="L31" s="100"/>
      <c r="M31" s="100"/>
      <c r="N31" s="100"/>
      <c r="O31" s="100"/>
      <c r="P31" s="100"/>
    </row>
    <row r="32" spans="1:16" s="63" customFormat="1" ht="53.25" customHeight="1" x14ac:dyDescent="0.2">
      <c r="A32" s="99"/>
      <c r="B32" s="100"/>
      <c r="C32" s="100"/>
      <c r="D32" s="100"/>
      <c r="E32" s="100"/>
      <c r="F32" s="100"/>
      <c r="G32" s="100"/>
      <c r="H32" s="100"/>
      <c r="I32" s="100"/>
      <c r="J32" s="100"/>
      <c r="K32" s="100"/>
      <c r="L32" s="100"/>
      <c r="M32" s="100"/>
      <c r="N32" s="100"/>
      <c r="O32" s="100"/>
      <c r="P32" s="100"/>
    </row>
    <row r="33" spans="1:16" s="63" customFormat="1" ht="53.25" customHeight="1" x14ac:dyDescent="0.2">
      <c r="A33" s="99"/>
      <c r="B33" s="100"/>
      <c r="C33" s="100"/>
      <c r="D33" s="100"/>
      <c r="E33" s="100"/>
      <c r="F33" s="100"/>
      <c r="G33" s="100"/>
      <c r="H33" s="100"/>
      <c r="I33" s="100"/>
      <c r="J33" s="100"/>
      <c r="K33" s="100"/>
      <c r="L33" s="100"/>
      <c r="M33" s="100"/>
      <c r="N33" s="100"/>
      <c r="O33" s="100"/>
      <c r="P33" s="100"/>
    </row>
    <row r="34" spans="1:16" s="63" customFormat="1" ht="53.25" customHeight="1" x14ac:dyDescent="0.2">
      <c r="A34" s="99"/>
      <c r="B34" s="100"/>
      <c r="C34" s="100"/>
      <c r="D34" s="100"/>
      <c r="E34" s="100"/>
      <c r="F34" s="100"/>
      <c r="G34" s="100"/>
      <c r="H34" s="100"/>
      <c r="I34" s="100"/>
      <c r="J34" s="100"/>
      <c r="K34" s="100"/>
      <c r="L34" s="100"/>
      <c r="M34" s="100"/>
      <c r="N34" s="100"/>
      <c r="O34" s="100"/>
      <c r="P34" s="100"/>
    </row>
    <row r="35" spans="1:16" s="63" customFormat="1" ht="53.25" customHeight="1" x14ac:dyDescent="0.2">
      <c r="A35" s="99"/>
      <c r="B35" s="100"/>
      <c r="C35" s="100"/>
      <c r="D35" s="100"/>
      <c r="E35" s="100"/>
      <c r="F35" s="100"/>
      <c r="G35" s="100"/>
      <c r="H35" s="100"/>
      <c r="I35" s="100"/>
      <c r="J35" s="100"/>
      <c r="K35" s="100"/>
      <c r="L35" s="100"/>
      <c r="M35" s="100"/>
      <c r="N35" s="100"/>
      <c r="O35" s="100"/>
      <c r="P35" s="100"/>
    </row>
    <row r="36" spans="1:16" s="63" customFormat="1" ht="53.25" customHeight="1" x14ac:dyDescent="0.2">
      <c r="A36" s="99"/>
      <c r="B36" s="100"/>
      <c r="C36" s="100"/>
      <c r="D36" s="100"/>
      <c r="E36" s="100"/>
      <c r="F36" s="100"/>
      <c r="G36" s="100"/>
      <c r="H36" s="100"/>
      <c r="I36" s="100"/>
      <c r="J36" s="100"/>
      <c r="K36" s="100"/>
      <c r="L36" s="100"/>
      <c r="M36" s="100"/>
      <c r="N36" s="100"/>
      <c r="O36" s="100"/>
      <c r="P36" s="100"/>
    </row>
    <row r="37" spans="1:16" s="63" customFormat="1" ht="53.25" customHeight="1" x14ac:dyDescent="0.2">
      <c r="A37" s="99"/>
      <c r="B37" s="100"/>
      <c r="C37" s="100"/>
      <c r="D37" s="100"/>
      <c r="E37" s="100"/>
      <c r="F37" s="100"/>
      <c r="G37" s="100"/>
      <c r="H37" s="100"/>
      <c r="I37" s="100"/>
      <c r="J37" s="100"/>
      <c r="K37" s="100"/>
      <c r="L37" s="100"/>
      <c r="M37" s="100"/>
      <c r="N37" s="100"/>
      <c r="O37" s="100"/>
      <c r="P37" s="100"/>
    </row>
    <row r="38" spans="1:16" s="63" customFormat="1" ht="43.15" customHeight="1" x14ac:dyDescent="0.2">
      <c r="A38" s="99"/>
      <c r="B38" s="100"/>
      <c r="C38" s="100"/>
      <c r="D38" s="100"/>
      <c r="E38" s="100"/>
      <c r="F38" s="100"/>
      <c r="G38" s="100"/>
      <c r="H38" s="100"/>
      <c r="I38" s="100"/>
      <c r="J38" s="100"/>
      <c r="K38" s="100"/>
      <c r="L38" s="100"/>
      <c r="M38" s="100"/>
      <c r="N38" s="100"/>
      <c r="O38" s="100"/>
      <c r="P38" s="100"/>
    </row>
    <row r="39" spans="1:16" s="104" customFormat="1" ht="17.25" customHeight="1" x14ac:dyDescent="0.2">
      <c r="A39" s="101" t="s">
        <v>16</v>
      </c>
      <c r="B39" s="102" t="s">
        <v>44</v>
      </c>
      <c r="C39" s="102"/>
      <c r="D39" s="102"/>
      <c r="E39" s="102"/>
      <c r="F39" s="102"/>
      <c r="G39" s="102"/>
      <c r="H39" s="102"/>
      <c r="I39" s="102" t="s">
        <v>55</v>
      </c>
      <c r="J39" s="102"/>
      <c r="K39" s="102"/>
      <c r="L39" s="102"/>
      <c r="M39" s="102"/>
      <c r="N39" s="103"/>
      <c r="O39" s="103"/>
    </row>
    <row r="40" spans="1:16" s="63" customFormat="1" ht="81.599999999999994" customHeight="1" x14ac:dyDescent="0.2">
      <c r="A40" s="105" t="s">
        <v>0</v>
      </c>
      <c r="B40" s="106" t="s">
        <v>110</v>
      </c>
      <c r="C40" s="106"/>
      <c r="D40" s="106"/>
      <c r="E40" s="106"/>
      <c r="F40" s="106"/>
      <c r="G40" s="106"/>
      <c r="H40" s="106"/>
      <c r="I40" s="106" t="s">
        <v>111</v>
      </c>
      <c r="J40" s="106"/>
      <c r="K40" s="106"/>
      <c r="L40" s="106"/>
      <c r="M40" s="106"/>
      <c r="N40" s="107"/>
      <c r="O40" s="107"/>
    </row>
    <row r="41" spans="1:16" s="63" customFormat="1" ht="81.599999999999994" customHeight="1" x14ac:dyDescent="0.2">
      <c r="A41" s="105" t="s">
        <v>1</v>
      </c>
      <c r="B41" s="106" t="s">
        <v>112</v>
      </c>
      <c r="C41" s="106"/>
      <c r="D41" s="106"/>
      <c r="E41" s="106"/>
      <c r="F41" s="106"/>
      <c r="G41" s="106"/>
      <c r="H41" s="106"/>
      <c r="I41" s="106" t="s">
        <v>113</v>
      </c>
      <c r="J41" s="106"/>
      <c r="K41" s="106"/>
      <c r="L41" s="106"/>
      <c r="M41" s="106"/>
      <c r="N41" s="107"/>
      <c r="O41" s="107"/>
    </row>
    <row r="42" spans="1:16" s="63" customFormat="1" ht="81.599999999999994" customHeight="1" x14ac:dyDescent="0.2">
      <c r="A42" s="105" t="s">
        <v>2</v>
      </c>
      <c r="B42" s="106" t="s">
        <v>114</v>
      </c>
      <c r="C42" s="106"/>
      <c r="D42" s="106"/>
      <c r="E42" s="106"/>
      <c r="F42" s="106"/>
      <c r="G42" s="106"/>
      <c r="H42" s="106"/>
      <c r="I42" s="106" t="s">
        <v>113</v>
      </c>
      <c r="J42" s="106"/>
      <c r="K42" s="106"/>
      <c r="L42" s="106"/>
      <c r="M42" s="106"/>
      <c r="N42" s="107"/>
      <c r="O42" s="107"/>
    </row>
    <row r="43" spans="1:16" s="63" customFormat="1" ht="85.15" customHeight="1" x14ac:dyDescent="0.2">
      <c r="A43" s="105" t="s">
        <v>3</v>
      </c>
      <c r="B43" s="106" t="s">
        <v>115</v>
      </c>
      <c r="C43" s="106"/>
      <c r="D43" s="106"/>
      <c r="E43" s="106"/>
      <c r="F43" s="106"/>
      <c r="G43" s="106"/>
      <c r="H43" s="106"/>
      <c r="I43" s="106" t="s">
        <v>113</v>
      </c>
      <c r="J43" s="106"/>
      <c r="K43" s="106"/>
      <c r="L43" s="106"/>
      <c r="M43" s="106"/>
      <c r="N43" s="107"/>
      <c r="O43" s="107"/>
    </row>
    <row r="44" spans="1:16" s="63" customFormat="1" ht="85.15" customHeight="1" x14ac:dyDescent="0.2">
      <c r="A44" s="105" t="s">
        <v>4</v>
      </c>
      <c r="B44" s="106" t="s">
        <v>116</v>
      </c>
      <c r="C44" s="106"/>
      <c r="D44" s="106"/>
      <c r="E44" s="106"/>
      <c r="F44" s="106"/>
      <c r="G44" s="106"/>
      <c r="H44" s="106"/>
      <c r="I44" s="106" t="s">
        <v>113</v>
      </c>
      <c r="J44" s="106"/>
      <c r="K44" s="106"/>
      <c r="L44" s="106"/>
      <c r="M44" s="106"/>
      <c r="N44" s="107"/>
      <c r="O44" s="107"/>
    </row>
    <row r="45" spans="1:16" s="63" customFormat="1" ht="92.45" customHeight="1" x14ac:dyDescent="0.2">
      <c r="A45" s="105" t="s">
        <v>5</v>
      </c>
      <c r="B45" s="106" t="s">
        <v>117</v>
      </c>
      <c r="C45" s="106"/>
      <c r="D45" s="106"/>
      <c r="E45" s="106"/>
      <c r="F45" s="106"/>
      <c r="G45" s="106"/>
      <c r="H45" s="106"/>
      <c r="I45" s="106" t="s">
        <v>113</v>
      </c>
      <c r="J45" s="106"/>
      <c r="K45" s="106"/>
      <c r="L45" s="106"/>
      <c r="M45" s="106"/>
      <c r="N45" s="107"/>
      <c r="O45" s="107"/>
    </row>
    <row r="46" spans="1:16" s="63" customFormat="1" ht="88.9" customHeight="1" x14ac:dyDescent="0.2">
      <c r="A46" s="105" t="s">
        <v>6</v>
      </c>
      <c r="B46" s="106" t="s">
        <v>118</v>
      </c>
      <c r="C46" s="106"/>
      <c r="D46" s="106"/>
      <c r="E46" s="106"/>
      <c r="F46" s="106"/>
      <c r="G46" s="106"/>
      <c r="H46" s="106"/>
      <c r="I46" s="106" t="s">
        <v>113</v>
      </c>
      <c r="J46" s="106"/>
      <c r="K46" s="106"/>
      <c r="L46" s="106"/>
      <c r="M46" s="106"/>
      <c r="N46" s="107"/>
      <c r="O46" s="107"/>
    </row>
    <row r="47" spans="1:16" s="63" customFormat="1" ht="78.75" customHeight="1" x14ac:dyDescent="0.2">
      <c r="A47" s="105" t="s">
        <v>7</v>
      </c>
      <c r="B47" s="106" t="s">
        <v>119</v>
      </c>
      <c r="C47" s="106"/>
      <c r="D47" s="106"/>
      <c r="E47" s="106"/>
      <c r="F47" s="106"/>
      <c r="G47" s="106"/>
      <c r="H47" s="106"/>
      <c r="I47" s="106" t="s">
        <v>113</v>
      </c>
      <c r="J47" s="106"/>
      <c r="K47" s="106"/>
      <c r="L47" s="106"/>
      <c r="M47" s="106"/>
      <c r="N47" s="107"/>
      <c r="O47" s="107"/>
    </row>
    <row r="48" spans="1:16" s="63" customFormat="1" ht="79.5" customHeight="1" x14ac:dyDescent="0.2">
      <c r="A48" s="105" t="s">
        <v>8</v>
      </c>
      <c r="B48" s="106" t="s">
        <v>120</v>
      </c>
      <c r="C48" s="106"/>
      <c r="D48" s="106"/>
      <c r="E48" s="106"/>
      <c r="F48" s="106"/>
      <c r="G48" s="106"/>
      <c r="H48" s="106"/>
      <c r="I48" s="106" t="s">
        <v>113</v>
      </c>
      <c r="J48" s="106"/>
      <c r="K48" s="106"/>
      <c r="L48" s="106"/>
      <c r="M48" s="106"/>
      <c r="N48" s="107"/>
      <c r="O48" s="107"/>
    </row>
    <row r="49" spans="1:15" s="63" customFormat="1" ht="72" customHeight="1" x14ac:dyDescent="0.2">
      <c r="A49" s="105" t="s">
        <v>9</v>
      </c>
      <c r="B49" s="106" t="s">
        <v>121</v>
      </c>
      <c r="C49" s="106"/>
      <c r="D49" s="106"/>
      <c r="E49" s="106"/>
      <c r="F49" s="106"/>
      <c r="G49" s="106"/>
      <c r="H49" s="106"/>
      <c r="I49" s="106" t="s">
        <v>113</v>
      </c>
      <c r="J49" s="106"/>
      <c r="K49" s="106"/>
      <c r="L49" s="106"/>
      <c r="M49" s="106"/>
      <c r="N49" s="107"/>
      <c r="O49" s="107"/>
    </row>
    <row r="50" spans="1:15" s="63" customFormat="1" ht="97.5" customHeight="1" x14ac:dyDescent="0.2">
      <c r="A50" s="105" t="s">
        <v>10</v>
      </c>
      <c r="B50" s="106" t="s">
        <v>122</v>
      </c>
      <c r="C50" s="106"/>
      <c r="D50" s="106"/>
      <c r="E50" s="106"/>
      <c r="F50" s="106"/>
      <c r="G50" s="106"/>
      <c r="H50" s="106"/>
      <c r="I50" s="106" t="s">
        <v>113</v>
      </c>
      <c r="J50" s="106"/>
      <c r="K50" s="106"/>
      <c r="L50" s="106"/>
      <c r="M50" s="106"/>
      <c r="N50" s="107"/>
      <c r="O50" s="107"/>
    </row>
    <row r="51" spans="1:15" s="63" customFormat="1" ht="146.25" customHeight="1" x14ac:dyDescent="0.2">
      <c r="A51" s="105" t="s">
        <v>11</v>
      </c>
      <c r="B51" s="106" t="s">
        <v>123</v>
      </c>
      <c r="C51" s="106"/>
      <c r="D51" s="106"/>
      <c r="E51" s="106"/>
      <c r="F51" s="106"/>
      <c r="G51" s="106"/>
      <c r="H51" s="106"/>
      <c r="I51" s="106" t="s">
        <v>113</v>
      </c>
      <c r="J51" s="106"/>
      <c r="K51" s="106"/>
      <c r="L51" s="106"/>
      <c r="M51" s="106"/>
      <c r="N51" s="107"/>
      <c r="O51" s="107"/>
    </row>
  </sheetData>
  <mergeCells count="29">
    <mergeCell ref="B50:H50"/>
    <mergeCell ref="I50:M50"/>
    <mergeCell ref="B51:H51"/>
    <mergeCell ref="I51:M51"/>
    <mergeCell ref="B47:H47"/>
    <mergeCell ref="I47:M47"/>
    <mergeCell ref="B48:H48"/>
    <mergeCell ref="I48:M48"/>
    <mergeCell ref="B49:H49"/>
    <mergeCell ref="I49:M49"/>
    <mergeCell ref="B44:H44"/>
    <mergeCell ref="I44:M44"/>
    <mergeCell ref="B45:H45"/>
    <mergeCell ref="I45:M45"/>
    <mergeCell ref="B46:H46"/>
    <mergeCell ref="I46:M46"/>
    <mergeCell ref="B41:H41"/>
    <mergeCell ref="I41:M41"/>
    <mergeCell ref="B42:H42"/>
    <mergeCell ref="I42:M42"/>
    <mergeCell ref="B43:H43"/>
    <mergeCell ref="I43:M43"/>
    <mergeCell ref="A3:P3"/>
    <mergeCell ref="O5:O25"/>
    <mergeCell ref="P5:P25"/>
    <mergeCell ref="B39:H39"/>
    <mergeCell ref="I39:M39"/>
    <mergeCell ref="B40:H40"/>
    <mergeCell ref="I40:M40"/>
  </mergeCells>
  <conditionalFormatting sqref="B19:E19">
    <cfRule type="cellIs" dxfId="2" priority="1" operator="greaterThan">
      <formula>0.002</formula>
    </cfRule>
    <cfRule type="cellIs" dxfId="1" priority="2" operator="greaterThan">
      <formula>0.003</formula>
    </cfRule>
    <cfRule type="cellIs" dxfId="0" priority="3" operator="greaterThan">
      <formula>0.002</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4"/>
  <sheetViews>
    <sheetView workbookViewId="0">
      <selection activeCell="C10" sqref="C10"/>
    </sheetView>
  </sheetViews>
  <sheetFormatPr baseColWidth="10" defaultRowHeight="15" x14ac:dyDescent="0.25"/>
  <cols>
    <col min="1" max="1" width="39.5703125" customWidth="1"/>
    <col min="3" max="3" width="22.42578125" style="5" bestFit="1" customWidth="1"/>
    <col min="5" max="5" width="4.5703125" customWidth="1"/>
  </cols>
  <sheetData>
    <row r="1" spans="1:5" x14ac:dyDescent="0.25">
      <c r="A1" s="1" t="s">
        <v>19</v>
      </c>
      <c r="C1" s="5" t="s">
        <v>27</v>
      </c>
      <c r="E1">
        <v>1</v>
      </c>
    </row>
    <row r="2" spans="1:5" x14ac:dyDescent="0.25">
      <c r="A2" s="2" t="s">
        <v>20</v>
      </c>
      <c r="C2" s="5" t="s">
        <v>18</v>
      </c>
    </row>
    <row r="3" spans="1:5" x14ac:dyDescent="0.25">
      <c r="A3" s="2" t="s">
        <v>21</v>
      </c>
      <c r="C3" s="5" t="s">
        <v>39</v>
      </c>
    </row>
    <row r="4" spans="1:5" x14ac:dyDescent="0.25">
      <c r="A4" s="2" t="s">
        <v>22</v>
      </c>
      <c r="C4" s="5" t="s">
        <v>40</v>
      </c>
    </row>
    <row r="5" spans="1:5" ht="45" x14ac:dyDescent="0.25">
      <c r="A5" s="3" t="s">
        <v>30</v>
      </c>
      <c r="C5" s="5" t="s">
        <v>28</v>
      </c>
    </row>
    <row r="6" spans="1:5" x14ac:dyDescent="0.25">
      <c r="A6" s="2" t="s">
        <v>24</v>
      </c>
      <c r="C6" s="5" t="s">
        <v>29</v>
      </c>
    </row>
    <row r="7" spans="1:5" x14ac:dyDescent="0.25">
      <c r="A7" s="2" t="s">
        <v>25</v>
      </c>
      <c r="C7" s="5" t="s">
        <v>45</v>
      </c>
    </row>
    <row r="8" spans="1:5" x14ac:dyDescent="0.25">
      <c r="A8" s="2" t="s">
        <v>26</v>
      </c>
      <c r="C8" s="5" t="s">
        <v>46</v>
      </c>
    </row>
    <row r="9" spans="1:5" x14ac:dyDescent="0.25">
      <c r="A9" s="2" t="s">
        <v>42</v>
      </c>
      <c r="C9" s="5" t="s">
        <v>47</v>
      </c>
    </row>
    <row r="10" spans="1:5" x14ac:dyDescent="0.25">
      <c r="C10" s="5" t="s">
        <v>48</v>
      </c>
    </row>
    <row r="11" spans="1:5" x14ac:dyDescent="0.25">
      <c r="C11" s="5" t="s">
        <v>49</v>
      </c>
    </row>
    <row r="12" spans="1:5" x14ac:dyDescent="0.25">
      <c r="C12" s="5" t="s">
        <v>50</v>
      </c>
    </row>
    <row r="13" spans="1:5" x14ac:dyDescent="0.25">
      <c r="C13" s="5" t="s">
        <v>51</v>
      </c>
    </row>
    <row r="14" spans="1:5" x14ac:dyDescent="0.25">
      <c r="C14" s="5" t="s">
        <v>52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9"/>
  <sheetViews>
    <sheetView workbookViewId="0">
      <selection activeCell="A10" sqref="A10"/>
    </sheetView>
  </sheetViews>
  <sheetFormatPr baseColWidth="10" defaultRowHeight="15" x14ac:dyDescent="0.25"/>
  <cols>
    <col min="1" max="1" width="32.140625" bestFit="1" customWidth="1"/>
  </cols>
  <sheetData>
    <row r="2" spans="1:1" x14ac:dyDescent="0.25">
      <c r="A2" t="s">
        <v>19</v>
      </c>
    </row>
    <row r="3" spans="1:1" x14ac:dyDescent="0.25">
      <c r="A3" t="s">
        <v>20</v>
      </c>
    </row>
    <row r="4" spans="1:1" x14ac:dyDescent="0.25">
      <c r="A4" t="s">
        <v>21</v>
      </c>
    </row>
    <row r="5" spans="1:1" x14ac:dyDescent="0.25">
      <c r="A5" t="s">
        <v>22</v>
      </c>
    </row>
    <row r="6" spans="1:1" x14ac:dyDescent="0.25">
      <c r="A6" t="s">
        <v>23</v>
      </c>
    </row>
    <row r="7" spans="1:1" x14ac:dyDescent="0.25">
      <c r="A7" t="s">
        <v>24</v>
      </c>
    </row>
    <row r="8" spans="1:1" x14ac:dyDescent="0.25">
      <c r="A8" t="s">
        <v>25</v>
      </c>
    </row>
    <row r="9" spans="1:1" x14ac:dyDescent="0.25">
      <c r="A9"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FT-GEI-SO-017-2026</vt:lpstr>
      <vt:lpstr>bd_AT_SV_IT_2026</vt:lpstr>
      <vt:lpstr>FT-GEI-SO-017-2025</vt:lpstr>
      <vt:lpstr>FT-GEI-SO-017-2024</vt:lpstr>
      <vt:lpstr>FT-GEI-SO-017-2023</vt:lpstr>
      <vt:lpstr>INFORMACION GENERAL</vt:lpstr>
      <vt:lpstr>Lista</vt:lpstr>
      <vt:lpstr>'FT-GEI-SO-017-2026'!Área_de_impresión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SaludOcupacional</dc:creator>
  <cp:lastModifiedBy>Alejandra Betancur</cp:lastModifiedBy>
  <cp:lastPrinted>2025-11-04T19:07:07Z</cp:lastPrinted>
  <dcterms:created xsi:type="dcterms:W3CDTF">2015-02-26T15:00:45Z</dcterms:created>
  <dcterms:modified xsi:type="dcterms:W3CDTF">2026-06-30T02:41:48Z</dcterms:modified>
</cp:coreProperties>
</file>