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6be951e0c6b4219/Escritorio/CURSOS TECH/WEB/Emprestur/"/>
    </mc:Choice>
  </mc:AlternateContent>
  <xr:revisionPtr revIDLastSave="4" documentId="8_{EA0773A6-4123-49AA-BA8F-725B8A2AE024}" xr6:coauthVersionLast="47" xr6:coauthVersionMax="47" xr10:uidLastSave="{DB2D528A-BB45-418F-AD44-659E58099E17}"/>
  <bookViews>
    <workbookView xWindow="-108" yWindow="-108" windowWidth="23256" windowHeight="12456" activeTab="1" xr2:uid="{EE8E9CB8-4150-4141-BC0A-9CC1AE04B70C}"/>
  </bookViews>
  <sheets>
    <sheet name="2026" sheetId="2" r:id="rId1"/>
    <sheet name="agenda completa SST" sheetId="5" r:id="rId2"/>
    <sheet name="agenda completa gestores" sheetId="4" r:id="rId3"/>
    <sheet name="viaticos 2026" sheetId="3" r:id="rId4"/>
    <sheet name="2025" sheetId="1" r:id="rId5"/>
  </sheets>
  <definedNames>
    <definedName name="_xlnm._FilterDatabase" localSheetId="0" hidden="1">'2026'!$A$1:$I$22</definedName>
    <definedName name="_xlnm._FilterDatabase" localSheetId="2" hidden="1">'agenda completa gestores'!$A$1:$J$155</definedName>
    <definedName name="_xlnm._FilterDatabase" localSheetId="1" hidden="1">'agenda completa SST'!$A$1:$K$82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3" l="1"/>
  <c r="J2" i="3"/>
  <c r="I2" i="3"/>
  <c r="K3" i="3"/>
  <c r="J3" i="3"/>
  <c r="I3" i="3"/>
  <c r="N2" i="3" l="1"/>
  <c r="N3" i="3" l="1"/>
  <c r="L15" i="1"/>
  <c r="L2" i="1"/>
  <c r="L14" i="1"/>
  <c r="L12" i="1"/>
  <c r="L11" i="1"/>
  <c r="L10" i="1"/>
  <c r="L9" i="1"/>
  <c r="L8" i="1"/>
  <c r="L4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<sst xmlns="http://schemas.openxmlformats.org/spreadsheetml/2006/main" count="1661" uniqueCount="367">
  <si>
    <t>FECHAS ESTIMADAS DE VISITAS</t>
  </si>
  <si>
    <t>CENTRALES DE EPM DONDE SE ENCUENTRAN LOS CONDUCTORES</t>
  </si>
  <si>
    <t>MES ESTIMADA PARA LA VISITA</t>
  </si>
  <si>
    <t>AÑO ESTIMADA PARA LA VISITA</t>
  </si>
  <si>
    <t>ESTADO DE LA VISITA
Solicitado / Programado /Ejecutado/Cancelado</t>
  </si>
  <si>
    <t>Solicitado</t>
  </si>
  <si>
    <t>Fecha solicitud</t>
  </si>
  <si>
    <t>Fecha Programado</t>
  </si>
  <si>
    <t>Fecha Ejecutado</t>
  </si>
  <si>
    <t>Fecha Cancelado</t>
  </si>
  <si>
    <t>Febrero</t>
  </si>
  <si>
    <t>18 - 19 -20</t>
  </si>
  <si>
    <t>Hidro Ituango</t>
  </si>
  <si>
    <t>Porce III - Los Cedros - Guadalupe</t>
  </si>
  <si>
    <t>Playas - La Araña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</si>
  <si>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</si>
  <si>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</si>
  <si>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</si>
  <si>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</si>
  <si>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</si>
  <si>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</si>
  <si>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</si>
  <si>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</si>
  <si>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</si>
  <si>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</si>
  <si>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17 -18</t>
  </si>
  <si>
    <t>21 - 22 - 23</t>
  </si>
  <si>
    <t>20 - 21</t>
  </si>
  <si>
    <t>16 - 17 - 18</t>
  </si>
  <si>
    <t>14 - 15</t>
  </si>
  <si>
    <t>19 - 20 - 21</t>
  </si>
  <si>
    <t>15 - 16</t>
  </si>
  <si>
    <t>28 - 29 - 30</t>
  </si>
  <si>
    <t>18 - 19</t>
  </si>
  <si>
    <t>9 - 10 - 11</t>
  </si>
  <si>
    <t>Periodo</t>
  </si>
  <si>
    <t>FECHA</t>
  </si>
  <si>
    <t>TEMA</t>
  </si>
  <si>
    <t>ASISTENTES</t>
  </si>
  <si>
    <t>HORAS DE FORMACIÓN</t>
  </si>
  <si>
    <t>HHF</t>
  </si>
  <si>
    <t xml:space="preserve">Enero </t>
  </si>
  <si>
    <r>
      <t xml:space="preserve">VISITA TERRENO - CENTRAL HIDROITUANGO:
Sensibilización protocolos de seguridad:
</t>
    </r>
    <r>
      <rPr>
        <sz val="14"/>
        <rFont val="Arial"/>
        <family val="2"/>
      </rPr>
      <t xml:space="preserve">- Instructivo ascenso y descenso del vehículo.
- Instructivo aseguramiento de carga al volco.
- Prevención enfermedades virales (Dengue).
</t>
    </r>
    <r>
      <rPr>
        <b/>
        <sz val="14"/>
        <rFont val="Arial"/>
        <family val="2"/>
      </rPr>
      <t>Seguridad vial:</t>
    </r>
    <r>
      <rPr>
        <sz val="14"/>
        <rFont val="Arial"/>
        <family val="2"/>
      </rPr>
      <t xml:space="preserve">
- Programas PESV.
- Accidentalidad límites de velocidad.
- Movilización dentro de los túneles.
</t>
    </r>
    <r>
      <rPr>
        <b/>
        <sz val="14"/>
        <rFont val="Arial"/>
        <family val="2"/>
      </rPr>
      <t xml:space="preserve">Seguridad y salud en el trabajo: </t>
    </r>
    <r>
      <rPr>
        <sz val="14"/>
        <rFont val="Arial"/>
        <family val="2"/>
      </rPr>
      <t xml:space="preserve">
- Uso obligatorio de epp (Botas de seguridad).
- Reporte de accidentes.
- Participación de momentos de seguridad. 
- Tamizajes alcohol. </t>
    </r>
  </si>
  <si>
    <r>
      <t xml:space="preserve">VISITA TERRENO - EDIFICIO INTELIGENTE EPM:
</t>
    </r>
    <r>
      <rPr>
        <sz val="14"/>
        <rFont val="Arial"/>
        <family val="2"/>
      </rPr>
      <t>- Objetivos del sistema de gestión de seguridad y salud en el trabajo y ambiental.
- Uso de elementos de protección personal y dotación. 
- Reporte de actos y condiciones inseguras. 
- Tamizajes de alcohol.</t>
    </r>
  </si>
  <si>
    <r>
      <t xml:space="preserve">VISITA TERRENO - PROYECTO HIDROITUANGO EPM - CAMPAMENTO CUNÍ:
</t>
    </r>
    <r>
      <rPr>
        <sz val="14"/>
        <rFont val="Arial"/>
        <family val="2"/>
      </rPr>
      <t>- Identificación de peligros y riesgos en seguridad y salud en el trabajo y seguridad vial. 
- Cumplimiento programas del plan estratégico de seguridad vial. 
- Riesgo osteomuscular enfocado a: peligros biomecánicos, higiene postural, manipulación de carga, ergonomía para conductores y pausas activas. 
- Tamizajes de alcohol.</t>
    </r>
  </si>
  <si>
    <r>
      <t xml:space="preserve">VISITA TERRENO - PROYECTO HIDROITUANGO EPM - CASA DE MÁQUINAS:
</t>
    </r>
    <r>
      <rPr>
        <sz val="14"/>
        <rFont val="Arial"/>
        <family val="2"/>
      </rPr>
      <t>- Identificación de peligros y riesgos en seguridad y salud en el trabajo y seguridad vial. 
- Cumplimiento programas del plan estratégico de seguridad vial. 
- Riesgo osteomuscular enfocado a: peligros biomecánicos, higiene postural, manipulación de carga, ergonomía para conductores y pausas activas. 
- Tamizajes de alcohol.</t>
    </r>
  </si>
  <si>
    <r>
      <t xml:space="preserve">VISITA TERRENO - PROYECTO HIDROITUANGO EPM - OFICINAS PRINCIPALES:
</t>
    </r>
    <r>
      <rPr>
        <sz val="14"/>
        <rFont val="Arial"/>
        <family val="2"/>
      </rPr>
      <t>- Identificación de peligros y riesgos en seguridad y salud en el trabajo y seguridad vial. 
- Cumplimiento programas del plan estratégico de seguridad vial. 
- Riesgo osteomuscular enfocado a: peligros biomecánicos, higiene postural, manipulación de carga, ergonomía para conductores y pausas activas. 
- Tamizajes de alcohol.</t>
    </r>
  </si>
  <si>
    <r>
      <t xml:space="preserve">VISITA TERRENO - EDIFICIO INTELIGENTE EPM: 
</t>
    </r>
    <r>
      <rPr>
        <sz val="14"/>
        <rFont val="Arial"/>
        <family val="2"/>
      </rPr>
      <t>- Socialización importancia de exámenes médicos ocupacionales, cada cuanto realizarlo y motivo.
- Información cumplimiento plan estratégico de seguridad vial - PESV.</t>
    </r>
  </si>
  <si>
    <r>
      <t xml:space="preserve">VISITA TERRENO - CENTRO TÉCNICO EPM:
PROCESOS TALENTO HUMANO:
</t>
    </r>
    <r>
      <rPr>
        <sz val="14"/>
        <rFont val="Arial"/>
        <family val="2"/>
      </rPr>
      <t>- Uso de dotación corporativa.
- Manejo de la prudencia y coordialdad. 
- Programa (Más Kilometros).
- Participación oídos al volante.</t>
    </r>
  </si>
  <si>
    <r>
      <t xml:space="preserve">VISITA TERRENO - CENTRO TÉCNICO EPM:
PROCESOS SEGURIDAD Y SALUD EN EL TRABAJO:
</t>
    </r>
    <r>
      <rPr>
        <sz val="14"/>
        <rFont val="Arial"/>
        <family val="2"/>
      </rPr>
      <t>- Reporte de accidentes de trabajo.
- Participación de los momentos de seguridad. 
- Peligros y riesgos bajo los efectos del alcohol.
- Realización tamizajes de alcohol.</t>
    </r>
  </si>
  <si>
    <r>
      <t xml:space="preserve">VISITA TERRENO - EDIFICIO INTELIGENTE:
SOCIALIZACIONES EN RIESGO PSICOSOCIAL Y EXÁMENES MÉDICOS OCUPACIONALES: 
</t>
    </r>
    <r>
      <rPr>
        <sz val="14"/>
        <rFont val="Arial"/>
        <family val="2"/>
      </rPr>
      <t>- Prevención del riesgo psicosocial.
- Acoso laboral. 
- Salud mental.
- Momentos de seguridad.
- Tamizajes de alcohol.</t>
    </r>
  </si>
  <si>
    <r>
      <t xml:space="preserve">VISITA TERRENO - CENTRALES EPM:
(GUADALUPE Y LOS CEDROS):
</t>
    </r>
    <r>
      <rPr>
        <sz val="14"/>
        <rFont val="Arial"/>
        <family val="2"/>
      </rPr>
      <t>- Identificación de peligros y riesgos en seguridad y salud en el trabajo y seguridad vial. 
- Cumplimiento programas del plan estratégico de seguridad vial. 
- Riesgo osteomuscular enfocado a: peligros biomecánicos, higiene postural, manipulación de carga, ergonomía para conductores y pausas activas. 
- Tamizajes de alcohol.</t>
    </r>
  </si>
  <si>
    <r>
      <t xml:space="preserve">VISITA TERRENO - CENTRALES EPM:
(PORCE III):
</t>
    </r>
    <r>
      <rPr>
        <sz val="14"/>
        <rFont val="Arial"/>
        <family val="2"/>
      </rPr>
      <t>- Identificación de peligros y riesgos en seguridad y salud en el trabajo y seguridad vial. 
- Cumplimiento programas del plan estratégico de seguridad vial. 
- Riesgo osteomuscular enfocado a: peligros biomecánicos, higiene postural, manipulación de carga, ergonomía para conductores y pausas activas. 
- Tamizajes de alcohol.</t>
    </r>
  </si>
  <si>
    <r>
      <t xml:space="preserve">VISITA TERRENO - EDIFICIO INTELIGENTE EPM: 
ACTIVIDADES SEGURIDAD Y SALUD EN EL TRABAJO: 
</t>
    </r>
    <r>
      <rPr>
        <sz val="14"/>
        <rFont val="Arial"/>
        <family val="2"/>
      </rPr>
      <t>- Acoso sexual. 
- Pausas activas.</t>
    </r>
  </si>
  <si>
    <t>SEDE EPM</t>
  </si>
  <si>
    <t>EDIFICIO INTELIGENTE</t>
  </si>
  <si>
    <t>CENTRO TECNICO</t>
  </si>
  <si>
    <t>CENTRAL HIDROELECTRICA PORCE III</t>
  </si>
  <si>
    <t>CENTRAL HIDROELECTRICA  GUADALUPE Y LOS CEDROS</t>
  </si>
  <si>
    <t>CENTRAL HIDROELECTRICA ITUANGO</t>
  </si>
  <si>
    <t>Enero</t>
  </si>
  <si>
    <t>27 -28 -29 -30</t>
  </si>
  <si>
    <t>Ejecutada</t>
  </si>
  <si>
    <t>xx</t>
  </si>
  <si>
    <t>Costo desplazamiento</t>
  </si>
  <si>
    <t>Costo de alimentación</t>
  </si>
  <si>
    <t>Costo de refrigerios</t>
  </si>
  <si>
    <t>Casto de Snack</t>
  </si>
  <si>
    <t>20/01/2025
21/01/2025</t>
  </si>
  <si>
    <t>Total</t>
  </si>
  <si>
    <t>vale de taxi</t>
  </si>
  <si>
    <t>TOTAL INVESIÓN A LAS VISITAS AL PERSONAL CLIENTE EPM</t>
  </si>
  <si>
    <t>ACTIVIDAD</t>
  </si>
  <si>
    <t>COBERTURA</t>
  </si>
  <si>
    <t>HORAS</t>
  </si>
  <si>
    <t>Capacitación Manejo Aplicativo ENRUTA
Tamizajes de Embriaguez</t>
  </si>
  <si>
    <t>40 
15</t>
  </si>
  <si>
    <t>4
1</t>
  </si>
  <si>
    <t>SITIO DESPLAZAMIENTO</t>
  </si>
  <si>
    <t>PERSONA A DESPLAZARSE</t>
  </si>
  <si>
    <t>TOTAL DE DIAS</t>
  </si>
  <si>
    <t>FECHA INICIO</t>
  </si>
  <si>
    <t>FECHA SOLICITUD</t>
  </si>
  <si>
    <t>FECHA FIN</t>
  </si>
  <si>
    <t>DESAYUNO</t>
  </si>
  <si>
    <t>ALMUERZO</t>
  </si>
  <si>
    <t>CENA</t>
  </si>
  <si>
    <t>TOTAL VIATICOS</t>
  </si>
  <si>
    <t>EPM HIDROITUANGO</t>
  </si>
  <si>
    <t>DAYANA RESTREPO</t>
  </si>
  <si>
    <t>2 VALE TAXI 
IDA (SITIO DE RECOGIDA PARA INICIAR RECORRIDO) 
 REGRESO (PUNTO DE LLEGADA DESPUES DEL REGRESO DEL RECORRIDO)</t>
  </si>
  <si>
    <t>REFRIGERIOS PARA PERSONAL A VISITAR</t>
  </si>
  <si>
    <t>SNACKS (Responsabilidad de compras)</t>
  </si>
  <si>
    <t>TRANSPORTE INTERMUNICIPAL COONORTE
Llegada: Medellin - Valle de Toledo - taxi hasta campamento Tacui Cuni / Salida: Taxi Campamento Tacui Cuni - Valle de Toledo - Medellín</t>
  </si>
  <si>
    <t>TRANSPORTE URBANO 
(VALE DE TAXI GENERADO DESDE COMPRAS)</t>
  </si>
  <si>
    <t>no se realizo</t>
  </si>
  <si>
    <t>x</t>
  </si>
  <si>
    <t>CHEC Manizales</t>
  </si>
  <si>
    <t>ISAGEN SAN CARLOS JAGUAS Y CALDERAS</t>
  </si>
  <si>
    <t>ANGI Y PAOLA</t>
  </si>
  <si>
    <t>ISAGEN SOGAMOSO</t>
  </si>
  <si>
    <t>daNIELA Y ANDREA BURITICA</t>
  </si>
  <si>
    <t>1 AL 3</t>
  </si>
  <si>
    <t>Playas - La Araña EPM</t>
  </si>
  <si>
    <t>CHEC MANIZALES</t>
  </si>
  <si>
    <t>OPERACIONES</t>
  </si>
  <si>
    <t>22 AL 24</t>
  </si>
  <si>
    <t>GESTOR LOGISTICO</t>
  </si>
  <si>
    <t>CLIENTE - LUGAR VISITA</t>
  </si>
  <si>
    <t>EJECUTADA</t>
  </si>
  <si>
    <t>ACTIVIDAD A REALIZAR</t>
  </si>
  <si>
    <t>SE GENERA ACOMPAÑAMIENTO</t>
  </si>
  <si>
    <t>AREA</t>
  </si>
  <si>
    <t>ESTADO DE VISITA</t>
  </si>
  <si>
    <t>CANT. PERSONAL IMPACTADO</t>
  </si>
  <si>
    <t>OBSERVACION NOVEDADES</t>
  </si>
  <si>
    <t>Yesid Carvajal</t>
  </si>
  <si>
    <t>martes, 6 de enero de 2026</t>
  </si>
  <si>
    <t>SI</t>
  </si>
  <si>
    <t>Dayhana Sossa</t>
  </si>
  <si>
    <t>miércoles, 14 de enero de 2026</t>
  </si>
  <si>
    <t>Julieth Higuita</t>
  </si>
  <si>
    <t xml:space="preserve">Telemedellin </t>
  </si>
  <si>
    <t>Dayana Restrepo</t>
  </si>
  <si>
    <t>SST</t>
  </si>
  <si>
    <t>Sin novevdad</t>
  </si>
  <si>
    <t>Edwin Aguirre</t>
  </si>
  <si>
    <t>jueves, 15 de enero de 2026</t>
  </si>
  <si>
    <t>Chemilab</t>
  </si>
  <si>
    <t>Farley Velandia</t>
  </si>
  <si>
    <t>Se realiza visita a terreno con acompañamiento del gestor logístico, efectuando tamizaje de alcohol.</t>
  </si>
  <si>
    <t>Sara Pasos</t>
  </si>
  <si>
    <t>viernes, 16 de enero de 2026</t>
  </si>
  <si>
    <t>Medicarte</t>
  </si>
  <si>
    <t>Se realiza visita a terreno con acompañamiento del gestor logístico, efectuando tamizaje de alcohol y verificación de condiciones de los vehículos.</t>
  </si>
  <si>
    <t>Carlos Franco</t>
  </si>
  <si>
    <t>martes, 20 de enero de 2026</t>
  </si>
  <si>
    <t>Sin acompañamiento del gestor</t>
  </si>
  <si>
    <t>CAH - 123 Social</t>
  </si>
  <si>
    <t>miércoles, 21 de enero de 2026</t>
  </si>
  <si>
    <t>jueves, 22 de enero de 2026</t>
  </si>
  <si>
    <t>lunes, 26 de enero de 2026</t>
  </si>
  <si>
    <t>Dalila Anaya</t>
  </si>
  <si>
    <t>Sin Ejecutar</t>
  </si>
  <si>
    <t>martes, 27 de enero de 2026</t>
  </si>
  <si>
    <t>miércoles, 28 de enero de 2026</t>
  </si>
  <si>
    <t>sábado, 31 de enero de 2026</t>
  </si>
  <si>
    <t>lunes, 2 de febrero de 2026</t>
  </si>
  <si>
    <t>martes, 3 de febrero de 2026</t>
  </si>
  <si>
    <t xml:space="preserve">Sin acompañamiento del gestor </t>
  </si>
  <si>
    <t>Manuela Jaramillo</t>
  </si>
  <si>
    <t xml:space="preserve">TH </t>
  </si>
  <si>
    <t xml:space="preserve">Equipo salud </t>
  </si>
  <si>
    <t>Sura Industruales</t>
  </si>
  <si>
    <t>viernes, 6 de febrero de 2026</t>
  </si>
  <si>
    <t>lunes, 9 de febrero de 2026</t>
  </si>
  <si>
    <t xml:space="preserve">Dayana Restrepo </t>
  </si>
  <si>
    <t>NO</t>
  </si>
  <si>
    <t>no se puede hacer acompañamiento SST en esta fecha a CAH</t>
  </si>
  <si>
    <t>martes, 10 de febrero de 2026</t>
  </si>
  <si>
    <t>miércoles, 11 de febrero de 2026</t>
  </si>
  <si>
    <t>Sin novedad</t>
  </si>
  <si>
    <t>lunes, 16 de febrero de 2026</t>
  </si>
  <si>
    <t>Dayana restrepo</t>
  </si>
  <si>
    <t>martes, 17 de febrero de 2026</t>
  </si>
  <si>
    <t>Ximena Barrientos</t>
  </si>
  <si>
    <t>Nomina</t>
  </si>
  <si>
    <t>Sebastian Tejada, Zabdiel</t>
  </si>
  <si>
    <t>Reunion inicial de contrato</t>
  </si>
  <si>
    <t>jueves, 19 de febrero de 2026</t>
  </si>
  <si>
    <t>lunes, 23 de febrero de 2026</t>
  </si>
  <si>
    <t>Francy Aricapa</t>
  </si>
  <si>
    <t>Reunión general_ inicio de contrato</t>
  </si>
  <si>
    <t>martes, 24 de febrero de 2026</t>
  </si>
  <si>
    <t>Mary Mejia</t>
  </si>
  <si>
    <t>miércoles, 25 de febrero de 2026</t>
  </si>
  <si>
    <t>viernes, 27 de febrero de 2026</t>
  </si>
  <si>
    <t>lunes, 2 de marzo de 2026</t>
  </si>
  <si>
    <t xml:space="preserve">No se coordina con gestor </t>
  </si>
  <si>
    <t>martes, 3 de marzo de 2026</t>
  </si>
  <si>
    <t>Se cordina con la gestora logistica, realizar visita a fin de mes.</t>
  </si>
  <si>
    <t>lunes, 9 de marzo de 2026</t>
  </si>
  <si>
    <t xml:space="preserve">Con acompañamiento por el gestor, se realiza tamizajes de alcohol </t>
  </si>
  <si>
    <t>Sin novedad se realizo acompañamiento con la gestora Dayhana Sossa</t>
  </si>
  <si>
    <t>martes, 10 de marzo de 2026</t>
  </si>
  <si>
    <t>Zabdiel</t>
  </si>
  <si>
    <t>Reunion y capacitación GPS</t>
  </si>
  <si>
    <t>miércoles, 11 de marzo de 2026</t>
  </si>
  <si>
    <t>Sin novedad se realizo acompañamiento con el gestor Yesid Carvajal</t>
  </si>
  <si>
    <t>jueves, 12 de marzo de 2026</t>
  </si>
  <si>
    <t>viernes, 13 de marzo de 2026</t>
  </si>
  <si>
    <t xml:space="preserve">Se realiza vista en compañia de los gestores logisticos sin novedad </t>
  </si>
  <si>
    <t>lunes, 16 de marzo de 2026</t>
  </si>
  <si>
    <t xml:space="preserve">Sin acompañamiento por el gestor, se realiza tamizajes de alcohol </t>
  </si>
  <si>
    <t>martes, 17 de marzo de 2026</t>
  </si>
  <si>
    <t xml:space="preserve">Dalila Anaya </t>
  </si>
  <si>
    <t>viernes, 20 de marzo de 2026</t>
  </si>
  <si>
    <t>Se realiza vista en compañia de los gestores logisticos sin novedad</t>
  </si>
  <si>
    <t>martes, 24 de marzo de 2026</t>
  </si>
  <si>
    <t>Se realiza visita sin compañia del gestor logistico, Se realiza visita a terreno con acompañamiento del gestor logístico, efectuando tamizaje de alcohol.</t>
  </si>
  <si>
    <t>No se realiza ya que en las horas de la tarde Dayhana Sossa tendra una reunion con linea mujer.</t>
  </si>
  <si>
    <t>miércoles, 25 de marzo de 2026</t>
  </si>
  <si>
    <t xml:space="preserve">Sin novedad se realizo acompañamiento con el gestor Yesid Carvajal </t>
  </si>
  <si>
    <t>lunes, 30 de marzo de 2026</t>
  </si>
  <si>
    <t>martes, 31 de marzo de 2026</t>
  </si>
  <si>
    <t xml:space="preserve">Se realiza actividad en compañía del gestor Edwin Aguirre </t>
  </si>
  <si>
    <t>miércoles, 8 de abril de 2026</t>
  </si>
  <si>
    <t xml:space="preserve">Ejecutada </t>
  </si>
  <si>
    <t>jueves, 9 de abril de 2026</t>
  </si>
  <si>
    <t>viernes, 10 de abril de 2026</t>
  </si>
  <si>
    <t>lunes, 13 de abril de 2026</t>
  </si>
  <si>
    <t>martes, 14 de abril de 2026</t>
  </si>
  <si>
    <t>Se solicita que otra area visite campo sola, eso con cordinación de la gestora</t>
  </si>
  <si>
    <t>miércoles, 15 de abril de 2026</t>
  </si>
  <si>
    <t>SIN EJECUTAR</t>
  </si>
  <si>
    <t>jueves, 16 de abril de 2026</t>
  </si>
  <si>
    <t>lunes, 20 de abril de 2026</t>
  </si>
  <si>
    <t>miércoles, 22 de abril de 2026</t>
  </si>
  <si>
    <t>jueves, 23 de abril de 2026</t>
  </si>
  <si>
    <t>EDWIN AGUIRRE</t>
  </si>
  <si>
    <t>viernes, 24 de abril de 2026</t>
  </si>
  <si>
    <t>lunes, 27 de abril de 2026</t>
  </si>
  <si>
    <t>martes, 28 de abril de 2026</t>
  </si>
  <si>
    <t>Sin Novedad se realizo acompañamiento con Viviana Preciado y Sebastian Tejada</t>
  </si>
  <si>
    <t>miércoles, 29 de abril de 2026</t>
  </si>
  <si>
    <t xml:space="preserve">Sin novedad se realizo acompañamiento con el gestor Yesid Carvajal, Libia Hernández, Walter Garzón </t>
  </si>
  <si>
    <t>jueves, 30 de abril de 2026</t>
  </si>
  <si>
    <t>lunes, 4 de mayo de 2026</t>
  </si>
  <si>
    <t>miércoles, 6 de mayo de 2026</t>
  </si>
  <si>
    <t xml:space="preserve">BATERÍA HUMANA </t>
  </si>
  <si>
    <t>ANDREA BURITICÁ - DALILA ANAYA - PAOLA GALVIS</t>
  </si>
  <si>
    <t xml:space="preserve">EJECUTADO </t>
  </si>
  <si>
    <t>viernes, 15 de mayo de 2026</t>
  </si>
  <si>
    <t>sábado, 9 de mayo de 2026</t>
  </si>
  <si>
    <t>Eventos</t>
  </si>
  <si>
    <t>Se citan los conductores en la terminal del sur</t>
  </si>
  <si>
    <t>lunes, 11 de mayo de 2026</t>
  </si>
  <si>
    <t>miércoles, 13 de mayo de 2026</t>
  </si>
  <si>
    <t>sábado, 16 de mayo de 2026</t>
  </si>
  <si>
    <t>lunes, 18 de mayo de 2026</t>
  </si>
  <si>
    <t>martes, 19 de mayo de 2026</t>
  </si>
  <si>
    <t>miércoles, 20 de mayo de 2026</t>
  </si>
  <si>
    <t>Se reprograma para el día 28/05/2026</t>
  </si>
  <si>
    <t>jueves, 21 de mayo de 2026</t>
  </si>
  <si>
    <t>viernes, 22 de mayo de 2026</t>
  </si>
  <si>
    <t>lunes, 25 de mayo de 2026</t>
  </si>
  <si>
    <t>martes, 26 de mayo de 2026</t>
  </si>
  <si>
    <t>miércoles, 27 de mayo de 2026</t>
  </si>
  <si>
    <t>jueves, 28 de mayo de 2026</t>
  </si>
  <si>
    <t xml:space="preserve">Edwin Aguirre - Dalila Anaya </t>
  </si>
  <si>
    <t xml:space="preserve">Ejecutado, solo se realiza visita a Chemila y se abarca a dos conductores </t>
  </si>
  <si>
    <t>lunes, 1 de junio de 2026</t>
  </si>
  <si>
    <t>miércoles, 3 de junio de 2026</t>
  </si>
  <si>
    <t>viernes, 5 de junio de 2026</t>
  </si>
  <si>
    <t>martes, 9 de junio de 2026</t>
  </si>
  <si>
    <t>miércoles, 10 de junio de 2026</t>
  </si>
  <si>
    <t>lunes, 15 de junio de 2026</t>
  </si>
  <si>
    <t>miércoles, 17 de junio de 2026</t>
  </si>
  <si>
    <t xml:space="preserve">Ejecutado </t>
  </si>
  <si>
    <t xml:space="preserve">Se realiza tamizaje de alcohol y actividad prevención del Riesgo Psicosocial </t>
  </si>
  <si>
    <t>jueves, 18 de junio de 2026</t>
  </si>
  <si>
    <t xml:space="preserve">Dalila Anaya - Andrea Buriticá </t>
  </si>
  <si>
    <t>viernes, 19 de junio de 2026</t>
  </si>
  <si>
    <t>sábado, 20 de junio de 2026</t>
  </si>
  <si>
    <t>lunes, 22 de junio de 2026</t>
  </si>
  <si>
    <t>miércoles, 24 de junio de 2026</t>
  </si>
  <si>
    <t xml:space="preserve">Dalila Anaya  </t>
  </si>
  <si>
    <t>Se realiza tamizaje de alcohol y sensibilización programa cero tolerancia embriaguez</t>
  </si>
  <si>
    <t>Daniela Vergara</t>
  </si>
  <si>
    <t>Se solicita que otra area visite campo sola, eso con cordinación de la gestora / Se realiza tamizaje de alcohol y sensibilización programa cero tolerancia embriaguez</t>
  </si>
  <si>
    <t xml:space="preserve">Santiago Amaya </t>
  </si>
  <si>
    <t>Angy Arzuza</t>
  </si>
  <si>
    <t>sábado, 27 de junio de 2026</t>
  </si>
  <si>
    <t>martes, 30 de junio de 2026</t>
  </si>
  <si>
    <t>Jardin Botánico</t>
  </si>
  <si>
    <t>EPM - Centro Tecnico</t>
  </si>
  <si>
    <t>EPM - Edificio inteligente</t>
  </si>
  <si>
    <t xml:space="preserve">Chemilab </t>
  </si>
  <si>
    <t>CAH - Niñez (Universidad)</t>
  </si>
  <si>
    <t>CAH - Niñez (San Javier)</t>
  </si>
  <si>
    <t xml:space="preserve">CAH - Agencia Mujer </t>
  </si>
  <si>
    <t>EPM - Hidroituango</t>
  </si>
  <si>
    <t>Comité Pan</t>
  </si>
  <si>
    <t>EPM - Central Playas</t>
  </si>
  <si>
    <t>Juan David Blandon</t>
  </si>
  <si>
    <t>Flota propia</t>
  </si>
  <si>
    <t>Hawer Murcia</t>
  </si>
  <si>
    <t>Jonathan Giraldo</t>
  </si>
  <si>
    <t>Se realiza tamizaje de alcohol</t>
  </si>
  <si>
    <t>Se realiza tamizaje de alcohol y actividad prevención del Riesgo Psicosocial  Andrea Buritica</t>
  </si>
  <si>
    <t>Capacitación Tremo</t>
  </si>
  <si>
    <t>Tamizajes Embriaguez</t>
  </si>
  <si>
    <t>ACTIVIDAD A REALIZAR POR EL GESTOR</t>
  </si>
  <si>
    <t>CIUDAD</t>
  </si>
  <si>
    <t>Medellín</t>
  </si>
  <si>
    <t>Ituango</t>
  </si>
  <si>
    <t>ISAGEN - San Carlos</t>
  </si>
  <si>
    <t>San Carlos</t>
  </si>
  <si>
    <t>Diana Alvarez</t>
  </si>
  <si>
    <t>27 - 29</t>
  </si>
  <si>
    <t>ISAGEN SAN CARLOS, JAGUAS Y CALDERAS</t>
  </si>
  <si>
    <t>14 - 16</t>
  </si>
  <si>
    <t>daniela y vivianath</t>
  </si>
  <si>
    <t>Alejandra y Libia th</t>
  </si>
  <si>
    <t>Libia TH - DANIELA PAOLA</t>
  </si>
  <si>
    <t>17 - 21</t>
  </si>
  <si>
    <t>Alejandra</t>
  </si>
  <si>
    <t>DANIELA -ANDREA BURITICA - VIVIANA TH</t>
  </si>
  <si>
    <t xml:space="preserve">DAYANA O DANIELA sst </t>
  </si>
  <si>
    <t>ISAGEN LA MIEL</t>
  </si>
  <si>
    <t>5 AL 7</t>
  </si>
  <si>
    <t>sgi otros y  th</t>
  </si>
  <si>
    <t>ANGI - brigada</t>
  </si>
  <si>
    <t>daniela</t>
  </si>
  <si>
    <t>10 al 12</t>
  </si>
  <si>
    <t>th operaciones</t>
  </si>
  <si>
    <t>EPM - Porce III - Los Cedros - Guadalupe</t>
  </si>
  <si>
    <t>Guadalupe</t>
  </si>
  <si>
    <t>Inspección de vehículos, socialización de examenes, tamizajes de embriaguez</t>
  </si>
  <si>
    <t>Socializción Peligros y Riesgos, inspecciones  de parque automotor, tamizaje de alcohol.</t>
  </si>
  <si>
    <t>Tamizaje de alcohol y verificación de condiciones de los vehículos inspecciones</t>
  </si>
  <si>
    <t>Prevención del consumo de alcohol y drogras y Tamizajes</t>
  </si>
  <si>
    <t>Inspección Botiquin, kit derrames, documentos, vehiculo, tamizajes, sensibilización peligros y riesgos</t>
  </si>
  <si>
    <t>Momentos de seguridad, manejo integreal de residuos, emisiones CO2, Inspecciones, tamizajes</t>
  </si>
  <si>
    <t>Sensibilización sobre peligros y riesgos, tamizajes de embriaguez</t>
  </si>
  <si>
    <t>Momentos de seguridad, manejo defensivo, reporte de novedades, lecciones aprendidas, identificación de peligros y riesgos</t>
  </si>
  <si>
    <t xml:space="preserve">Protocolo conductores de carga, Pausas activas, Programación horarios, rotacaion conductores, Indentificacion condiciones viales </t>
  </si>
  <si>
    <t>Acompañamiento pausa activa integral psicosocial Andrea Buritica, Estimulacion mental y cuidado de la salud mental</t>
  </si>
  <si>
    <t>Reporte de accidentes, inspecciones de vehículos, programas PESV, tamizajes</t>
  </si>
  <si>
    <t>prevención del consumo de sustancias psicoactivas, tamizajes, pausas activas, ergonomioa en conductores acompañamiento Paola Galvis</t>
  </si>
  <si>
    <t>ISAGEN - Jaguas / Calderas</t>
  </si>
  <si>
    <t>Inspección vehiculos, Tamizajes embriaguez, elementos de protección</t>
  </si>
  <si>
    <t>Prevención consumo alochol y sustancias - Tamizajes Embriaguez</t>
  </si>
  <si>
    <t>Prevención consumo alochol y sustancias - Tamizajes Embriaguez - Reporte de condiciones inseguras - Reporte de AT</t>
  </si>
  <si>
    <t>Identificación peligros y riesgos, Conducción a la defensiva, fortalecimiento seguridad vial, normas y señales de transito</t>
  </si>
  <si>
    <t>Socialización Riesgo público</t>
  </si>
  <si>
    <t>ISAGEN - PCH</t>
  </si>
  <si>
    <t>Cocorna</t>
  </si>
  <si>
    <t>San Rafael</t>
  </si>
  <si>
    <t>Lizzeth Arbelaez</t>
  </si>
  <si>
    <t>Programa de seguridad vial, Identificación peligros y riesgos, Manejo defensivo, Inspecciones, tamizajes</t>
  </si>
  <si>
    <t>CAH -Niñez</t>
  </si>
  <si>
    <t xml:space="preserve">Lineas de emergencia, prevención de los riesgos en los servicios </t>
  </si>
  <si>
    <t>Prevención consumo alochol y sustancias - Tamizajes Embriaguez - Momentos de seguridad - PESV</t>
  </si>
  <si>
    <t>Reporte de accidentes, inspecciones de vehículos, programas PESV, tamizajes - Documentación obligatoria</t>
  </si>
  <si>
    <t>Se cuenta con acompañamiento del gestor</t>
  </si>
  <si>
    <t>Tamizajes Embriaguez - seguridad vial - reporte de accidentes</t>
  </si>
  <si>
    <t>Tamizajes, prevención osteomuscular- Pausas activas</t>
  </si>
  <si>
    <t>Prevención consumo alochol y sustancias - Tamizajes Embriaguez - Momentos de seguridad - PESV - lecciones aprendidas - Reportes accidentes - Identificación peligros y riesgos</t>
  </si>
  <si>
    <t>Prevención consumo alochol y sustancias - Tamizajes Embriaguez - Momentos de seguridad - PESV - lecciones aprendidas - Reportes accidentes - Identificación peligros y riesgos / Acompañamiento psicosocial Andrea buritica y Osteomuscular Paola Galvis</t>
  </si>
  <si>
    <t>Prevención consumo alochol y sustancias - Tamizajes Embriaguez - Momentos de seguridad - PESV - lecciones aprendidas - Reportes accidentes - Identificación peligros y riesgos / Acompañamiento psicosocial Andrea buritica</t>
  </si>
  <si>
    <t>Capacitación manejo camión grua - Acopañamiento proveedor de la ARL</t>
  </si>
  <si>
    <t>Capacitación ergonomia en la conducci+on - Pausa Activa, Socialización examenes - Tamizajes - Acompañamiento Osteomuscular Paola Galvis</t>
  </si>
  <si>
    <t>Tamizajes de embriaguz</t>
  </si>
  <si>
    <t>Divulgación estrategia de toma de conciencia  - Conducción preventiva - Tamizajes</t>
  </si>
  <si>
    <t>Cultura de la seguridad vial -prevención de la fatiga - comportamiento seguro - Pausas activas - Inspecciones de vehículos - Prevención de embriaguez - tamizajes</t>
  </si>
  <si>
    <t>Socialización de examenes medicos - Pausas activas - Tamizajes de embriaguez - Momentos de seguridad</t>
  </si>
  <si>
    <t>Reportes AT -Prevención de la embriaguez, pausas activas - condiciones inseguras - reporte de accidentes de trabajo y siniestros viales</t>
  </si>
  <si>
    <t>Reportes AT -Prevención de la embriaguez, pausas activas - condiciones inseguras - reporte de accidentes de trabajo y siniestros viales - socialización de examenes - tamizajes</t>
  </si>
  <si>
    <t>Taller bateria humanoa - Acompañamiento pausa activa integral psicosocial Andrea Buritica y osteomuscular Paola Galvis</t>
  </si>
  <si>
    <t>Tamizajes embriaguez</t>
  </si>
  <si>
    <t>Cuidado de la salud mental  acompañamiento psicosocial Andrea Buritica</t>
  </si>
  <si>
    <t>Cuidado de la salud mental  acompañamiento psicosocial Andrea Buritica - Tamizajes prevención del consumo de alcohol y susntancias</t>
  </si>
  <si>
    <t>Edinson Saldarriaga</t>
  </si>
  <si>
    <t>Edwin Jimenez</t>
  </si>
  <si>
    <t>SE GENERA ACOMPAÑAMIENTO ÁREA SGI</t>
  </si>
  <si>
    <t>TEMAS ABORDADOS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</si>
</sst>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96B24"/>
        <bgColor rgb="FF196B24"/>
      </patternFill>
    </fill>
    <fill>
      <patternFill patternType="solid">
        <fgColor rgb="FFC1F0C8"/>
        <bgColor rgb="FFC1F0C8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/>
    <xf numFmtId="44" fontId="8" fillId="0" borderId="1" xfId="1" applyFont="1" applyBorder="1" applyAlignment="1">
      <alignment vertical="center"/>
    </xf>
    <xf numFmtId="44" fontId="8" fillId="0" borderId="3" xfId="1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44" fontId="7" fillId="0" borderId="1" xfId="0" applyNumberFormat="1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44" fontId="0" fillId="0" borderId="0" xfId="1" applyFont="1" applyAlignment="1">
      <alignment vertical="center"/>
    </xf>
    <xf numFmtId="14" fontId="0" fillId="0" borderId="0" xfId="0" applyNumberFormat="1" applyAlignment="1">
      <alignment horizontal="center" vertical="center" wrapText="1"/>
    </xf>
    <xf numFmtId="44" fontId="1" fillId="0" borderId="0" xfId="1" applyFont="1" applyAlignment="1">
      <alignment vertical="center"/>
    </xf>
    <xf numFmtId="44" fontId="0" fillId="4" borderId="0" xfId="1" applyFont="1" applyFill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14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16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10" fillId="6" borderId="0" xfId="0" applyFont="1" applyFill="1" applyAlignment="1">
      <alignment horizontal="center" vertical="center" wrapText="1"/>
    </xf>
    <xf numFmtId="0" fontId="11" fillId="7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9" fillId="7" borderId="0" xfId="0" applyFont="1" applyFill="1" applyAlignment="1">
      <alignment horizontal="center" vertical="center" wrapText="1"/>
    </xf>
    <xf numFmtId="0" fontId="12" fillId="7" borderId="0" xfId="0" applyFont="1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 applyAlignment="1">
      <alignment horizontal="center" vertical="center"/>
    </xf>
    <xf numFmtId="1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wrapText="1"/>
    </xf>
    <xf numFmtId="49" fontId="0" fillId="9" borderId="1" xfId="0" applyNumberForma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 wrapText="1"/>
    </xf>
    <xf numFmtId="14" fontId="11" fillId="10" borderId="0" xfId="0" applyNumberFormat="1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14" fontId="13" fillId="10" borderId="0" xfId="0" applyNumberFormat="1" applyFont="1" applyFill="1" applyAlignment="1">
      <alignment horizontal="center" vertical="center" wrapText="1"/>
    </xf>
    <xf numFmtId="0" fontId="9" fillId="0" borderId="0" xfId="0" applyFont="1"/>
    <xf numFmtId="44" fontId="8" fillId="0" borderId="1" xfId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6470E-1FE5-4FCB-9B7B-BF4CAFF7FB9B}">
  <dimension ref="A1:M22"/>
  <sheetViews>
    <sheetView workbookViewId="0">
      <selection activeCell="D25" sqref="D25"/>
    </sheetView>
  </sheetViews>
  <sheetFormatPr baseColWidth="10" defaultRowHeight="14.4" x14ac:dyDescent="0.3"/>
  <cols>
    <col min="1" max="1" width="13.44140625" customWidth="1"/>
    <col min="2" max="2" width="16.109375" customWidth="1"/>
    <col min="3" max="3" width="19.88671875" customWidth="1"/>
    <col min="4" max="4" width="52.109375" style="1" customWidth="1"/>
    <col min="5" max="5" width="25.33203125" style="1" customWidth="1"/>
    <col min="6" max="6" width="12.5546875" style="3" customWidth="1"/>
    <col min="7" max="7" width="27.33203125" style="3" customWidth="1"/>
    <col min="8" max="9" width="11.44140625" style="3"/>
    <col min="10" max="10" width="30.5546875" style="3" customWidth="1"/>
    <col min="11" max="11" width="15.109375" style="3" customWidth="1"/>
    <col min="12" max="12" width="11.44140625" style="3"/>
    <col min="13" max="13" width="15.6640625" customWidth="1"/>
  </cols>
  <sheetData>
    <row r="1" spans="1:13" ht="43.2" x14ac:dyDescent="0.3">
      <c r="A1" s="4" t="s">
        <v>3</v>
      </c>
      <c r="B1" s="4" t="s">
        <v>2</v>
      </c>
      <c r="C1" s="4" t="s">
        <v>0</v>
      </c>
      <c r="D1" s="4" t="s">
        <v>1</v>
      </c>
      <c r="E1" s="4" t="s">
        <v>4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72</v>
      </c>
      <c r="K1" s="4" t="s">
        <v>73</v>
      </c>
      <c r="L1" s="4" t="s">
        <v>74</v>
      </c>
      <c r="M1" s="4" t="s">
        <v>9</v>
      </c>
    </row>
    <row r="2" spans="1:13" ht="43.2" x14ac:dyDescent="0.3">
      <c r="A2" s="6">
        <v>2026</v>
      </c>
      <c r="B2" s="5" t="s">
        <v>60</v>
      </c>
      <c r="C2" s="6" t="s">
        <v>61</v>
      </c>
      <c r="D2" s="2" t="s">
        <v>12</v>
      </c>
      <c r="E2" s="2" t="s">
        <v>62</v>
      </c>
      <c r="F2" s="7">
        <v>46042</v>
      </c>
      <c r="G2" s="15">
        <v>46044</v>
      </c>
      <c r="H2" s="15">
        <v>46049</v>
      </c>
      <c r="I2" s="2" t="s">
        <v>63</v>
      </c>
      <c r="J2" s="2" t="s">
        <v>75</v>
      </c>
      <c r="K2" s="2" t="s">
        <v>76</v>
      </c>
      <c r="L2" s="2" t="s">
        <v>77</v>
      </c>
      <c r="M2" s="2"/>
    </row>
    <row r="3" spans="1:13" s="42" customFormat="1" x14ac:dyDescent="0.3">
      <c r="A3" s="37">
        <v>2026</v>
      </c>
      <c r="B3" s="38" t="s">
        <v>10</v>
      </c>
      <c r="C3" s="37" t="s">
        <v>11</v>
      </c>
      <c r="D3" s="39" t="s">
        <v>12</v>
      </c>
      <c r="E3" s="39" t="s">
        <v>5</v>
      </c>
      <c r="F3" s="40">
        <v>46037</v>
      </c>
      <c r="G3" s="41" t="s">
        <v>95</v>
      </c>
      <c r="H3" s="41" t="s">
        <v>96</v>
      </c>
      <c r="I3" s="44" t="s">
        <v>63</v>
      </c>
      <c r="J3" s="41"/>
      <c r="K3" s="41"/>
      <c r="L3" s="41"/>
      <c r="M3" s="41"/>
    </row>
    <row r="4" spans="1:13" s="42" customFormat="1" x14ac:dyDescent="0.3">
      <c r="A4" s="37">
        <v>2026</v>
      </c>
      <c r="B4" s="38" t="s">
        <v>10</v>
      </c>
      <c r="C4" s="43">
        <v>46083</v>
      </c>
      <c r="D4" s="39" t="s">
        <v>98</v>
      </c>
      <c r="E4" s="39" t="s">
        <v>5</v>
      </c>
      <c r="F4" s="40"/>
      <c r="G4" s="41" t="s">
        <v>101</v>
      </c>
      <c r="H4" s="41"/>
      <c r="I4" s="41"/>
      <c r="J4" s="41"/>
      <c r="K4" s="41"/>
      <c r="L4" s="41"/>
      <c r="M4" s="41"/>
    </row>
    <row r="5" spans="1:13" x14ac:dyDescent="0.3">
      <c r="A5" s="6">
        <v>2026</v>
      </c>
      <c r="B5" s="5" t="s">
        <v>15</v>
      </c>
      <c r="C5" s="6" t="s">
        <v>25</v>
      </c>
      <c r="D5" s="2" t="s">
        <v>13</v>
      </c>
      <c r="E5" s="2" t="s">
        <v>5</v>
      </c>
      <c r="F5" s="7">
        <v>46037</v>
      </c>
      <c r="G5" s="8" t="s">
        <v>95</v>
      </c>
      <c r="H5" s="8" t="s">
        <v>96</v>
      </c>
      <c r="I5" s="8" t="s">
        <v>63</v>
      </c>
      <c r="J5" s="8"/>
      <c r="K5" s="8"/>
      <c r="L5" s="8"/>
      <c r="M5" s="8"/>
    </row>
    <row r="6" spans="1:13" s="42" customFormat="1" x14ac:dyDescent="0.3">
      <c r="A6" s="37">
        <v>2026</v>
      </c>
      <c r="B6" s="38" t="s">
        <v>16</v>
      </c>
      <c r="C6" s="37" t="s">
        <v>26</v>
      </c>
      <c r="D6" s="39" t="s">
        <v>12</v>
      </c>
      <c r="E6" s="39" t="s">
        <v>5</v>
      </c>
      <c r="F6" s="40">
        <v>46037</v>
      </c>
      <c r="G6" s="40">
        <v>46139</v>
      </c>
      <c r="H6" s="40">
        <v>46141</v>
      </c>
      <c r="I6" s="41" t="s">
        <v>63</v>
      </c>
      <c r="J6" s="41"/>
      <c r="K6" s="41"/>
      <c r="L6" s="41"/>
      <c r="M6" s="41"/>
    </row>
    <row r="7" spans="1:13" s="42" customFormat="1" x14ac:dyDescent="0.3">
      <c r="A7" s="37">
        <v>2026</v>
      </c>
      <c r="B7" s="38" t="s">
        <v>17</v>
      </c>
      <c r="C7" s="37" t="s">
        <v>27</v>
      </c>
      <c r="D7" s="39" t="s">
        <v>14</v>
      </c>
      <c r="E7" s="39" t="s">
        <v>5</v>
      </c>
      <c r="F7" s="40">
        <v>46037</v>
      </c>
      <c r="G7" s="41"/>
      <c r="H7" s="41"/>
      <c r="I7" s="41"/>
      <c r="J7" s="41"/>
      <c r="K7" s="41"/>
      <c r="L7" s="41"/>
      <c r="M7" s="41"/>
    </row>
    <row r="8" spans="1:13" ht="17.25" customHeight="1" x14ac:dyDescent="0.3">
      <c r="A8" s="6">
        <v>2026</v>
      </c>
      <c r="B8" s="5" t="s">
        <v>18</v>
      </c>
      <c r="C8" s="6" t="s">
        <v>28</v>
      </c>
      <c r="D8" s="2" t="s">
        <v>12</v>
      </c>
      <c r="E8" s="2" t="s">
        <v>5</v>
      </c>
      <c r="F8" s="7">
        <v>46037</v>
      </c>
      <c r="G8" s="8"/>
      <c r="H8" s="8"/>
      <c r="I8" s="8"/>
      <c r="J8" s="8"/>
      <c r="K8" s="8"/>
      <c r="L8" s="8"/>
      <c r="M8" s="8"/>
    </row>
    <row r="9" spans="1:13" x14ac:dyDescent="0.3">
      <c r="A9" s="6">
        <v>2026</v>
      </c>
      <c r="B9" s="5" t="s">
        <v>19</v>
      </c>
      <c r="C9" s="55" t="s">
        <v>29</v>
      </c>
      <c r="D9" s="52" t="s">
        <v>13</v>
      </c>
      <c r="E9" s="52" t="s">
        <v>5</v>
      </c>
      <c r="F9" s="53">
        <v>46037</v>
      </c>
      <c r="G9" s="54" t="s">
        <v>302</v>
      </c>
      <c r="H9" s="8"/>
      <c r="I9" s="8"/>
      <c r="J9" s="8"/>
      <c r="K9" s="8"/>
      <c r="L9" s="8"/>
      <c r="M9" s="8"/>
    </row>
    <row r="10" spans="1:13" x14ac:dyDescent="0.3">
      <c r="A10" s="6">
        <v>2026</v>
      </c>
      <c r="B10" s="5" t="s">
        <v>19</v>
      </c>
      <c r="C10" s="55" t="s">
        <v>301</v>
      </c>
      <c r="D10" s="52" t="s">
        <v>97</v>
      </c>
      <c r="E10" s="52" t="s">
        <v>5</v>
      </c>
      <c r="F10" s="53"/>
      <c r="G10" s="54" t="s">
        <v>303</v>
      </c>
      <c r="H10" s="8"/>
      <c r="I10" s="8"/>
      <c r="J10" s="8"/>
      <c r="K10" s="8"/>
      <c r="L10" s="8"/>
      <c r="M10" s="8"/>
    </row>
    <row r="11" spans="1:13" x14ac:dyDescent="0.3">
      <c r="A11" s="6">
        <v>2026</v>
      </c>
      <c r="B11" s="5" t="s">
        <v>19</v>
      </c>
      <c r="C11" s="55" t="s">
        <v>299</v>
      </c>
      <c r="D11" s="52" t="s">
        <v>300</v>
      </c>
      <c r="E11" s="52" t="s">
        <v>5</v>
      </c>
      <c r="F11" s="53"/>
      <c r="G11" s="54" t="s">
        <v>99</v>
      </c>
      <c r="H11" s="8"/>
      <c r="I11" s="8"/>
      <c r="J11" s="8"/>
      <c r="K11" s="8"/>
      <c r="L11" s="8"/>
      <c r="M11" s="8"/>
    </row>
    <row r="12" spans="1:13" x14ac:dyDescent="0.3">
      <c r="A12" s="6">
        <v>2026</v>
      </c>
      <c r="B12" s="5" t="s">
        <v>20</v>
      </c>
      <c r="C12" s="55" t="s">
        <v>30</v>
      </c>
      <c r="D12" s="52" t="s">
        <v>12</v>
      </c>
      <c r="E12" s="52" t="s">
        <v>5</v>
      </c>
      <c r="F12" s="53">
        <v>46037</v>
      </c>
      <c r="G12" s="54" t="s">
        <v>304</v>
      </c>
      <c r="H12" s="8"/>
      <c r="I12" s="8"/>
      <c r="J12" s="8"/>
      <c r="K12" s="8"/>
      <c r="L12" s="8"/>
      <c r="M12" s="8"/>
    </row>
    <row r="13" spans="1:13" x14ac:dyDescent="0.3">
      <c r="A13" s="6">
        <v>2026</v>
      </c>
      <c r="B13" s="5" t="s">
        <v>20</v>
      </c>
      <c r="C13" s="55" t="s">
        <v>305</v>
      </c>
      <c r="D13" s="52" t="s">
        <v>97</v>
      </c>
      <c r="E13" s="52" t="s">
        <v>5</v>
      </c>
      <c r="F13" s="53"/>
      <c r="G13" s="54" t="s">
        <v>306</v>
      </c>
      <c r="H13" s="8"/>
      <c r="I13" s="8"/>
      <c r="J13" s="8"/>
      <c r="K13" s="8"/>
      <c r="L13" s="8"/>
      <c r="M13" s="8"/>
    </row>
    <row r="14" spans="1:13" ht="23.25" customHeight="1" x14ac:dyDescent="0.3">
      <c r="A14" s="6">
        <v>2026</v>
      </c>
      <c r="B14" s="5" t="s">
        <v>21</v>
      </c>
      <c r="C14" s="56" t="s">
        <v>102</v>
      </c>
      <c r="D14" s="52" t="s">
        <v>100</v>
      </c>
      <c r="E14" s="52" t="s">
        <v>5</v>
      </c>
      <c r="F14" s="53">
        <v>46037</v>
      </c>
      <c r="G14" s="54" t="s">
        <v>99</v>
      </c>
      <c r="H14" s="8"/>
      <c r="I14" s="8"/>
      <c r="J14" s="8"/>
      <c r="K14" s="8"/>
      <c r="L14" s="8"/>
      <c r="M14" s="8"/>
    </row>
    <row r="15" spans="1:13" ht="28.8" x14ac:dyDescent="0.3">
      <c r="A15" s="6">
        <v>2026</v>
      </c>
      <c r="B15" s="5" t="s">
        <v>21</v>
      </c>
      <c r="C15" s="55" t="s">
        <v>31</v>
      </c>
      <c r="D15" s="52" t="s">
        <v>103</v>
      </c>
      <c r="E15" s="52" t="s">
        <v>5</v>
      </c>
      <c r="F15" s="53">
        <v>46037</v>
      </c>
      <c r="G15" s="57" t="s">
        <v>307</v>
      </c>
      <c r="H15" s="8"/>
      <c r="I15" s="8"/>
      <c r="J15" s="8"/>
      <c r="K15" s="8"/>
      <c r="L15" s="8"/>
      <c r="M15" s="8"/>
    </row>
    <row r="16" spans="1:13" x14ac:dyDescent="0.3">
      <c r="A16" s="6">
        <v>2026</v>
      </c>
      <c r="B16" s="5" t="s">
        <v>21</v>
      </c>
      <c r="C16" s="55" t="s">
        <v>106</v>
      </c>
      <c r="D16" s="52" t="s">
        <v>104</v>
      </c>
      <c r="E16" s="52" t="s">
        <v>5</v>
      </c>
      <c r="F16" s="53">
        <v>46037</v>
      </c>
      <c r="G16" s="57" t="s">
        <v>105</v>
      </c>
      <c r="H16" s="8"/>
      <c r="I16" s="8"/>
      <c r="J16" s="8"/>
      <c r="K16" s="8"/>
      <c r="L16" s="8"/>
      <c r="M16" s="8"/>
    </row>
    <row r="17" spans="1:13" x14ac:dyDescent="0.3">
      <c r="A17" s="6">
        <v>2026</v>
      </c>
      <c r="B17" s="5" t="s">
        <v>22</v>
      </c>
      <c r="C17" s="55" t="s">
        <v>32</v>
      </c>
      <c r="D17" s="52" t="s">
        <v>12</v>
      </c>
      <c r="E17" s="52" t="s">
        <v>5</v>
      </c>
      <c r="F17" s="53">
        <v>46037</v>
      </c>
      <c r="G17" s="54" t="s">
        <v>308</v>
      </c>
      <c r="H17" s="8"/>
      <c r="I17" s="8"/>
      <c r="J17" s="8"/>
      <c r="K17" s="8"/>
      <c r="L17" s="8"/>
      <c r="M17" s="8"/>
    </row>
    <row r="18" spans="1:13" x14ac:dyDescent="0.3">
      <c r="A18" s="6">
        <v>2026</v>
      </c>
      <c r="B18" s="5" t="s">
        <v>22</v>
      </c>
      <c r="C18" s="56" t="s">
        <v>310</v>
      </c>
      <c r="D18" s="52" t="s">
        <v>309</v>
      </c>
      <c r="E18" s="52" t="s">
        <v>5</v>
      </c>
      <c r="F18" s="53">
        <v>46037</v>
      </c>
      <c r="G18" s="54" t="s">
        <v>312</v>
      </c>
      <c r="H18" s="8"/>
      <c r="I18" s="8"/>
      <c r="J18" s="8"/>
      <c r="K18" s="8"/>
      <c r="L18" s="8"/>
      <c r="M18" s="8"/>
    </row>
    <row r="19" spans="1:13" x14ac:dyDescent="0.3">
      <c r="A19" s="6">
        <v>2026</v>
      </c>
      <c r="B19" s="5" t="s">
        <v>22</v>
      </c>
      <c r="C19" s="55" t="s">
        <v>106</v>
      </c>
      <c r="D19" s="52" t="s">
        <v>104</v>
      </c>
      <c r="E19" s="52" t="s">
        <v>5</v>
      </c>
      <c r="F19" s="53">
        <v>46037</v>
      </c>
      <c r="G19" s="57" t="s">
        <v>311</v>
      </c>
      <c r="H19" s="8"/>
      <c r="I19" s="8"/>
      <c r="J19" s="8"/>
      <c r="K19" s="8"/>
      <c r="L19" s="8"/>
      <c r="M19" s="8"/>
    </row>
    <row r="20" spans="1:13" x14ac:dyDescent="0.3">
      <c r="A20" s="6">
        <v>2026</v>
      </c>
      <c r="B20" s="5" t="s">
        <v>23</v>
      </c>
      <c r="C20" s="55" t="s">
        <v>33</v>
      </c>
      <c r="D20" s="52" t="s">
        <v>13</v>
      </c>
      <c r="E20" s="52" t="s">
        <v>5</v>
      </c>
      <c r="F20" s="53">
        <v>46037</v>
      </c>
      <c r="G20" s="54" t="s">
        <v>313</v>
      </c>
      <c r="H20" s="8"/>
      <c r="I20" s="8"/>
      <c r="J20" s="8"/>
      <c r="K20" s="8"/>
      <c r="L20" s="8"/>
      <c r="M20" s="8"/>
    </row>
    <row r="21" spans="1:13" x14ac:dyDescent="0.3">
      <c r="A21" s="6">
        <v>2026</v>
      </c>
      <c r="B21" s="5" t="s">
        <v>23</v>
      </c>
      <c r="C21" s="55" t="s">
        <v>314</v>
      </c>
      <c r="D21" s="52" t="s">
        <v>104</v>
      </c>
      <c r="E21" s="52" t="s">
        <v>5</v>
      </c>
      <c r="F21" s="53">
        <v>46037</v>
      </c>
      <c r="G21" s="54" t="s">
        <v>315</v>
      </c>
      <c r="H21" s="8"/>
      <c r="I21" s="8"/>
      <c r="J21" s="8"/>
      <c r="K21" s="8"/>
      <c r="L21" s="8"/>
      <c r="M21" s="8"/>
    </row>
    <row r="22" spans="1:13" x14ac:dyDescent="0.3">
      <c r="A22" s="6">
        <v>2026</v>
      </c>
      <c r="B22" s="5" t="s">
        <v>24</v>
      </c>
      <c r="C22" s="58" t="s">
        <v>34</v>
      </c>
      <c r="D22" s="52" t="s">
        <v>12</v>
      </c>
      <c r="E22" s="52" t="s">
        <v>5</v>
      </c>
      <c r="F22" s="53">
        <v>46037</v>
      </c>
      <c r="G22" s="54" t="s">
        <v>311</v>
      </c>
      <c r="H22" s="8"/>
      <c r="I22" s="8"/>
      <c r="J22" s="8"/>
      <c r="K22" s="8"/>
      <c r="L22" s="8"/>
      <c r="M22" s="8"/>
    </row>
  </sheetData>
  <autoFilter ref="A1:I22" xr:uid="{BA86470E-1FE5-4FCB-9B7B-BF4CAFF7FB9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89F2-4520-48A8-B6EF-8F69C1023FC4}">
  <dimension ref="A1:K82"/>
  <sheetViews>
    <sheetView tabSelected="1" topLeftCell="E1" workbookViewId="0">
      <pane ySplit="1" topLeftCell="A2" activePane="bottomLeft" state="frozen"/>
      <selection pane="bottomLeft" activeCell="K2" sqref="K2"/>
    </sheetView>
  </sheetViews>
  <sheetFormatPr baseColWidth="10" defaultRowHeight="14.4" x14ac:dyDescent="0.3"/>
  <cols>
    <col min="1" max="2" width="29.33203125" style="1" customWidth="1"/>
    <col min="3" max="3" width="23.109375" style="1" customWidth="1"/>
    <col min="4" max="4" width="32.44140625" style="1" customWidth="1"/>
    <col min="5" max="5" width="13.6640625" style="1" customWidth="1"/>
    <col min="6" max="6" width="24.33203125" style="1" customWidth="1"/>
    <col min="7" max="7" width="33.109375" style="1" customWidth="1"/>
    <col min="8" max="8" width="11.44140625" style="1"/>
    <col min="9" max="9" width="42.88671875" style="1" customWidth="1"/>
    <col min="10" max="10" width="18.109375" style="1" customWidth="1"/>
    <col min="11" max="11" width="46.33203125" style="1" customWidth="1"/>
  </cols>
  <sheetData>
    <row r="1" spans="1:11" ht="28.8" x14ac:dyDescent="0.3">
      <c r="A1" s="45" t="s">
        <v>108</v>
      </c>
      <c r="B1" s="45" t="s">
        <v>293</v>
      </c>
      <c r="C1" s="45" t="s">
        <v>36</v>
      </c>
      <c r="D1" s="45" t="s">
        <v>107</v>
      </c>
      <c r="E1" s="45" t="s">
        <v>109</v>
      </c>
      <c r="F1" s="45" t="s">
        <v>292</v>
      </c>
      <c r="G1" s="45" t="s">
        <v>365</v>
      </c>
      <c r="H1" s="45" t="s">
        <v>112</v>
      </c>
      <c r="I1" s="45" t="s">
        <v>113</v>
      </c>
      <c r="J1" s="45" t="s">
        <v>114</v>
      </c>
      <c r="K1" s="45" t="s">
        <v>366</v>
      </c>
    </row>
    <row r="2" spans="1:11" ht="42" customHeight="1" x14ac:dyDescent="0.3">
      <c r="A2" s="59" t="s">
        <v>122</v>
      </c>
      <c r="B2" s="59" t="s">
        <v>294</v>
      </c>
      <c r="C2" s="60">
        <v>46036</v>
      </c>
      <c r="D2" s="59" t="s">
        <v>121</v>
      </c>
      <c r="E2" s="59" t="s">
        <v>118</v>
      </c>
      <c r="F2" s="59" t="s">
        <v>345</v>
      </c>
      <c r="G2" s="59" t="s">
        <v>123</v>
      </c>
      <c r="H2" s="59" t="s">
        <v>124</v>
      </c>
      <c r="I2" s="59" t="s">
        <v>62</v>
      </c>
      <c r="J2" s="59">
        <v>6</v>
      </c>
      <c r="K2" s="59" t="s">
        <v>318</v>
      </c>
    </row>
    <row r="3" spans="1:11" ht="42" customHeight="1" x14ac:dyDescent="0.3">
      <c r="A3" s="59" t="s">
        <v>128</v>
      </c>
      <c r="B3" s="59" t="s">
        <v>294</v>
      </c>
      <c r="C3" s="60">
        <v>46037</v>
      </c>
      <c r="D3" s="59" t="s">
        <v>126</v>
      </c>
      <c r="E3" s="59" t="s">
        <v>118</v>
      </c>
      <c r="F3" s="59" t="s">
        <v>345</v>
      </c>
      <c r="G3" s="59" t="s">
        <v>129</v>
      </c>
      <c r="H3" s="59" t="s">
        <v>124</v>
      </c>
      <c r="I3" s="59" t="s">
        <v>62</v>
      </c>
      <c r="J3" s="59">
        <v>5</v>
      </c>
      <c r="K3" s="59" t="s">
        <v>319</v>
      </c>
    </row>
    <row r="4" spans="1:11" ht="42" customHeight="1" x14ac:dyDescent="0.3">
      <c r="A4" s="59" t="s">
        <v>133</v>
      </c>
      <c r="B4" s="59" t="s">
        <v>294</v>
      </c>
      <c r="C4" s="60">
        <v>46038</v>
      </c>
      <c r="D4" s="59" t="s">
        <v>131</v>
      </c>
      <c r="E4" s="59" t="s">
        <v>118</v>
      </c>
      <c r="F4" s="59" t="s">
        <v>345</v>
      </c>
      <c r="G4" s="59" t="s">
        <v>129</v>
      </c>
      <c r="H4" s="59" t="s">
        <v>124</v>
      </c>
      <c r="I4" s="59" t="s">
        <v>62</v>
      </c>
      <c r="J4" s="59">
        <v>10</v>
      </c>
      <c r="K4" s="59" t="s">
        <v>320</v>
      </c>
    </row>
    <row r="5" spans="1:11" ht="42" customHeight="1" x14ac:dyDescent="0.3">
      <c r="A5" s="59" t="s">
        <v>274</v>
      </c>
      <c r="B5" s="59" t="s">
        <v>294</v>
      </c>
      <c r="C5" s="60">
        <v>46038</v>
      </c>
      <c r="D5" s="59" t="s">
        <v>116</v>
      </c>
      <c r="E5" s="59" t="s">
        <v>118</v>
      </c>
      <c r="F5" s="59" t="s">
        <v>345</v>
      </c>
      <c r="G5" s="59" t="s">
        <v>123</v>
      </c>
      <c r="H5" s="59" t="s">
        <v>124</v>
      </c>
      <c r="I5" s="59" t="s">
        <v>62</v>
      </c>
      <c r="J5" s="59">
        <v>6</v>
      </c>
      <c r="K5" s="59" t="s">
        <v>321</v>
      </c>
    </row>
    <row r="6" spans="1:11" ht="42" customHeight="1" x14ac:dyDescent="0.3">
      <c r="A6" s="59" t="s">
        <v>276</v>
      </c>
      <c r="B6" s="59" t="s">
        <v>294</v>
      </c>
      <c r="C6" s="60">
        <v>46042</v>
      </c>
      <c r="D6" s="59" t="s">
        <v>135</v>
      </c>
      <c r="E6" s="59" t="s">
        <v>118</v>
      </c>
      <c r="F6" s="59" t="s">
        <v>137</v>
      </c>
      <c r="G6" s="59" t="s">
        <v>123</v>
      </c>
      <c r="H6" s="59" t="s">
        <v>124</v>
      </c>
      <c r="I6" s="59" t="s">
        <v>62</v>
      </c>
      <c r="J6" s="59">
        <v>3</v>
      </c>
      <c r="K6" s="59" t="s">
        <v>321</v>
      </c>
    </row>
    <row r="7" spans="1:11" ht="42" customHeight="1" x14ac:dyDescent="0.3">
      <c r="A7" s="59" t="s">
        <v>138</v>
      </c>
      <c r="B7" s="59" t="s">
        <v>294</v>
      </c>
      <c r="C7" s="60">
        <v>46042</v>
      </c>
      <c r="D7" s="59" t="s">
        <v>119</v>
      </c>
      <c r="E7" s="59" t="s">
        <v>118</v>
      </c>
      <c r="F7" s="59" t="s">
        <v>345</v>
      </c>
      <c r="G7" s="59" t="s">
        <v>129</v>
      </c>
      <c r="H7" s="59" t="s">
        <v>124</v>
      </c>
      <c r="I7" s="59" t="s">
        <v>62</v>
      </c>
      <c r="J7" s="59">
        <v>6</v>
      </c>
      <c r="K7" s="59" t="s">
        <v>322</v>
      </c>
    </row>
    <row r="8" spans="1:11" ht="42" customHeight="1" x14ac:dyDescent="0.3">
      <c r="A8" s="59" t="s">
        <v>128</v>
      </c>
      <c r="B8" s="59" t="s">
        <v>294</v>
      </c>
      <c r="C8" s="60">
        <v>46043</v>
      </c>
      <c r="D8" s="59" t="s">
        <v>131</v>
      </c>
      <c r="E8" s="59" t="s">
        <v>118</v>
      </c>
      <c r="F8" s="59" t="s">
        <v>345</v>
      </c>
      <c r="G8" s="59" t="s">
        <v>268</v>
      </c>
      <c r="H8" s="59" t="s">
        <v>124</v>
      </c>
      <c r="I8" s="59" t="s">
        <v>62</v>
      </c>
      <c r="J8" s="59">
        <v>5</v>
      </c>
      <c r="K8" s="59" t="s">
        <v>323</v>
      </c>
    </row>
    <row r="9" spans="1:11" ht="42" customHeight="1" x14ac:dyDescent="0.3">
      <c r="A9" s="59" t="s">
        <v>275</v>
      </c>
      <c r="B9" s="59" t="s">
        <v>294</v>
      </c>
      <c r="C9" s="60">
        <v>46048</v>
      </c>
      <c r="D9" s="59" t="s">
        <v>135</v>
      </c>
      <c r="E9" s="59" t="s">
        <v>118</v>
      </c>
      <c r="F9" s="59" t="s">
        <v>137</v>
      </c>
      <c r="G9" s="59" t="s">
        <v>129</v>
      </c>
      <c r="H9" s="59" t="s">
        <v>124</v>
      </c>
      <c r="I9" s="59" t="s">
        <v>62</v>
      </c>
      <c r="J9" s="59">
        <v>10</v>
      </c>
      <c r="K9" s="59" t="s">
        <v>324</v>
      </c>
    </row>
    <row r="10" spans="1:11" ht="42" customHeight="1" x14ac:dyDescent="0.3">
      <c r="A10" s="59" t="s">
        <v>281</v>
      </c>
      <c r="B10" s="59" t="s">
        <v>295</v>
      </c>
      <c r="C10" s="60">
        <v>46049</v>
      </c>
      <c r="D10" s="59" t="s">
        <v>135</v>
      </c>
      <c r="E10" s="59" t="s">
        <v>118</v>
      </c>
      <c r="F10" s="59" t="s">
        <v>137</v>
      </c>
      <c r="G10" s="59" t="s">
        <v>123</v>
      </c>
      <c r="H10" s="59" t="s">
        <v>124</v>
      </c>
      <c r="I10" s="59" t="s">
        <v>62</v>
      </c>
      <c r="J10" s="59">
        <v>17</v>
      </c>
      <c r="K10" s="59" t="s">
        <v>290</v>
      </c>
    </row>
    <row r="11" spans="1:11" ht="42" customHeight="1" x14ac:dyDescent="0.3">
      <c r="A11" s="59" t="s">
        <v>281</v>
      </c>
      <c r="B11" s="59" t="s">
        <v>295</v>
      </c>
      <c r="C11" s="60">
        <v>46050</v>
      </c>
      <c r="D11" s="59" t="s">
        <v>135</v>
      </c>
      <c r="E11" s="59" t="s">
        <v>118</v>
      </c>
      <c r="F11" s="59" t="s">
        <v>137</v>
      </c>
      <c r="G11" s="59" t="s">
        <v>123</v>
      </c>
      <c r="H11" s="59" t="s">
        <v>124</v>
      </c>
      <c r="I11" s="59" t="s">
        <v>62</v>
      </c>
      <c r="J11" s="59">
        <v>21</v>
      </c>
      <c r="K11" s="59" t="s">
        <v>290</v>
      </c>
    </row>
    <row r="12" spans="1:11" ht="42" customHeight="1" x14ac:dyDescent="0.3">
      <c r="A12" s="59" t="s">
        <v>281</v>
      </c>
      <c r="B12" s="59" t="s">
        <v>295</v>
      </c>
      <c r="C12" s="60">
        <v>46051</v>
      </c>
      <c r="D12" s="59" t="s">
        <v>135</v>
      </c>
      <c r="E12" s="59" t="s">
        <v>118</v>
      </c>
      <c r="F12" s="59" t="s">
        <v>137</v>
      </c>
      <c r="G12" s="59" t="s">
        <v>123</v>
      </c>
      <c r="H12" s="59" t="s">
        <v>124</v>
      </c>
      <c r="I12" s="59" t="s">
        <v>62</v>
      </c>
      <c r="J12" s="59">
        <v>15</v>
      </c>
      <c r="K12" s="59" t="s">
        <v>290</v>
      </c>
    </row>
    <row r="13" spans="1:11" ht="42" customHeight="1" x14ac:dyDescent="0.3">
      <c r="A13" s="59" t="s">
        <v>281</v>
      </c>
      <c r="B13" s="59" t="s">
        <v>295</v>
      </c>
      <c r="C13" s="60">
        <v>46052</v>
      </c>
      <c r="D13" s="59" t="s">
        <v>135</v>
      </c>
      <c r="E13" s="59" t="s">
        <v>118</v>
      </c>
      <c r="F13" s="59" t="s">
        <v>137</v>
      </c>
      <c r="G13" s="59" t="s">
        <v>123</v>
      </c>
      <c r="H13" s="59" t="s">
        <v>124</v>
      </c>
      <c r="I13" s="59" t="s">
        <v>62</v>
      </c>
      <c r="J13" s="59">
        <v>19</v>
      </c>
      <c r="K13" s="59" t="s">
        <v>291</v>
      </c>
    </row>
    <row r="14" spans="1:11" ht="50.25" customHeight="1" x14ac:dyDescent="0.3">
      <c r="A14" s="59" t="s">
        <v>128</v>
      </c>
      <c r="B14" s="59" t="s">
        <v>294</v>
      </c>
      <c r="C14" s="60">
        <v>46053</v>
      </c>
      <c r="D14" s="59" t="s">
        <v>131</v>
      </c>
      <c r="E14" s="59" t="s">
        <v>118</v>
      </c>
      <c r="F14" s="59" t="s">
        <v>345</v>
      </c>
      <c r="G14" s="59" t="s">
        <v>268</v>
      </c>
      <c r="H14" s="59" t="s">
        <v>124</v>
      </c>
      <c r="I14" s="61" t="s">
        <v>62</v>
      </c>
      <c r="J14" s="59">
        <v>4</v>
      </c>
      <c r="K14" s="59" t="s">
        <v>325</v>
      </c>
    </row>
    <row r="15" spans="1:11" ht="42" customHeight="1" x14ac:dyDescent="0.3">
      <c r="A15" s="62" t="s">
        <v>296</v>
      </c>
      <c r="B15" s="62" t="s">
        <v>297</v>
      </c>
      <c r="C15" s="63">
        <v>46055</v>
      </c>
      <c r="D15" s="62" t="s">
        <v>298</v>
      </c>
      <c r="E15" s="62" t="s">
        <v>118</v>
      </c>
      <c r="F15" s="62" t="s">
        <v>345</v>
      </c>
      <c r="G15" s="62" t="s">
        <v>268</v>
      </c>
      <c r="H15" s="62" t="s">
        <v>124</v>
      </c>
      <c r="I15" s="62" t="s">
        <v>62</v>
      </c>
      <c r="J15" s="62">
        <v>4</v>
      </c>
      <c r="K15" s="62" t="s">
        <v>326</v>
      </c>
    </row>
    <row r="16" spans="1:11" ht="42" customHeight="1" x14ac:dyDescent="0.3">
      <c r="A16" s="62" t="s">
        <v>296</v>
      </c>
      <c r="B16" s="62" t="s">
        <v>297</v>
      </c>
      <c r="C16" s="63">
        <v>46056</v>
      </c>
      <c r="D16" s="62" t="s">
        <v>298</v>
      </c>
      <c r="E16" s="62" t="s">
        <v>118</v>
      </c>
      <c r="F16" s="62" t="s">
        <v>345</v>
      </c>
      <c r="G16" s="62" t="s">
        <v>268</v>
      </c>
      <c r="H16" s="62" t="s">
        <v>124</v>
      </c>
      <c r="I16" s="62" t="s">
        <v>62</v>
      </c>
      <c r="J16" s="62">
        <v>15</v>
      </c>
      <c r="K16" s="62" t="s">
        <v>327</v>
      </c>
    </row>
    <row r="17" spans="1:11" ht="42" customHeight="1" x14ac:dyDescent="0.3">
      <c r="A17" s="62" t="s">
        <v>296</v>
      </c>
      <c r="B17" s="62" t="s">
        <v>297</v>
      </c>
      <c r="C17" s="63">
        <v>46056</v>
      </c>
      <c r="D17" s="62" t="s">
        <v>298</v>
      </c>
      <c r="E17" s="62" t="s">
        <v>118</v>
      </c>
      <c r="F17" s="62" t="s">
        <v>345</v>
      </c>
      <c r="G17" s="62" t="s">
        <v>268</v>
      </c>
      <c r="H17" s="62" t="s">
        <v>124</v>
      </c>
      <c r="I17" s="62" t="s">
        <v>62</v>
      </c>
      <c r="J17" s="62">
        <v>13</v>
      </c>
      <c r="K17" s="62" t="s">
        <v>328</v>
      </c>
    </row>
    <row r="18" spans="1:11" ht="42" customHeight="1" x14ac:dyDescent="0.3">
      <c r="A18" s="59" t="s">
        <v>276</v>
      </c>
      <c r="B18" s="59" t="s">
        <v>294</v>
      </c>
      <c r="C18" s="60">
        <v>46056</v>
      </c>
      <c r="D18" s="59" t="s">
        <v>135</v>
      </c>
      <c r="E18" s="59" t="s">
        <v>118</v>
      </c>
      <c r="F18" s="59" t="s">
        <v>137</v>
      </c>
      <c r="G18" s="59" t="s">
        <v>142</v>
      </c>
      <c r="H18" s="59" t="s">
        <v>124</v>
      </c>
      <c r="I18" s="59" t="s">
        <v>62</v>
      </c>
      <c r="J18" s="59">
        <v>6</v>
      </c>
      <c r="K18" s="59" t="s">
        <v>329</v>
      </c>
    </row>
    <row r="19" spans="1:11" ht="42" customHeight="1" x14ac:dyDescent="0.3">
      <c r="A19" s="59" t="s">
        <v>330</v>
      </c>
      <c r="B19" s="59" t="s">
        <v>338</v>
      </c>
      <c r="C19" s="60">
        <v>46057</v>
      </c>
      <c r="D19" s="59" t="s">
        <v>298</v>
      </c>
      <c r="E19" s="59" t="s">
        <v>118</v>
      </c>
      <c r="F19" s="59" t="s">
        <v>345</v>
      </c>
      <c r="G19" s="59" t="s">
        <v>268</v>
      </c>
      <c r="H19" s="59" t="s">
        <v>124</v>
      </c>
      <c r="I19" s="59" t="s">
        <v>62</v>
      </c>
      <c r="J19" s="59">
        <v>3</v>
      </c>
      <c r="K19" s="62" t="s">
        <v>327</v>
      </c>
    </row>
    <row r="20" spans="1:11" ht="42" customHeight="1" x14ac:dyDescent="0.3">
      <c r="A20" s="59" t="s">
        <v>330</v>
      </c>
      <c r="B20" s="59" t="s">
        <v>338</v>
      </c>
      <c r="C20" s="60">
        <v>46057</v>
      </c>
      <c r="D20" s="59" t="s">
        <v>298</v>
      </c>
      <c r="E20" s="59" t="s">
        <v>118</v>
      </c>
      <c r="F20" s="59" t="s">
        <v>345</v>
      </c>
      <c r="G20" s="59" t="s">
        <v>268</v>
      </c>
      <c r="H20" s="59" t="s">
        <v>124</v>
      </c>
      <c r="I20" s="59" t="s">
        <v>62</v>
      </c>
      <c r="J20" s="59">
        <v>4</v>
      </c>
      <c r="K20" s="62" t="s">
        <v>328</v>
      </c>
    </row>
    <row r="21" spans="1:11" ht="42" customHeight="1" x14ac:dyDescent="0.3">
      <c r="A21" s="59" t="s">
        <v>122</v>
      </c>
      <c r="B21" s="59" t="s">
        <v>294</v>
      </c>
      <c r="C21" s="60">
        <v>46059</v>
      </c>
      <c r="D21" s="59" t="s">
        <v>121</v>
      </c>
      <c r="E21" s="59" t="s">
        <v>118</v>
      </c>
      <c r="F21" s="59" t="s">
        <v>345</v>
      </c>
      <c r="G21" s="59" t="s">
        <v>123</v>
      </c>
      <c r="H21" s="59" t="s">
        <v>124</v>
      </c>
      <c r="I21" s="59" t="s">
        <v>62</v>
      </c>
      <c r="J21" s="59">
        <v>6</v>
      </c>
      <c r="K21" s="59" t="s">
        <v>331</v>
      </c>
    </row>
    <row r="22" spans="1:11" ht="42" customHeight="1" x14ac:dyDescent="0.3">
      <c r="A22" s="59" t="s">
        <v>275</v>
      </c>
      <c r="B22" s="59" t="s">
        <v>294</v>
      </c>
      <c r="C22" s="60">
        <v>46062</v>
      </c>
      <c r="D22" s="59" t="s">
        <v>135</v>
      </c>
      <c r="E22" s="59" t="s">
        <v>118</v>
      </c>
      <c r="F22" s="59" t="s">
        <v>345</v>
      </c>
      <c r="G22" s="59" t="s">
        <v>156</v>
      </c>
      <c r="H22" s="59" t="s">
        <v>124</v>
      </c>
      <c r="I22" s="59" t="s">
        <v>62</v>
      </c>
      <c r="J22" s="59">
        <v>7</v>
      </c>
      <c r="K22" s="59" t="s">
        <v>332</v>
      </c>
    </row>
    <row r="23" spans="1:11" ht="42" customHeight="1" x14ac:dyDescent="0.3">
      <c r="A23" s="59" t="s">
        <v>279</v>
      </c>
      <c r="B23" s="59" t="s">
        <v>294</v>
      </c>
      <c r="C23" s="60">
        <v>46064</v>
      </c>
      <c r="D23" s="59" t="s">
        <v>119</v>
      </c>
      <c r="E23" s="59" t="s">
        <v>118</v>
      </c>
      <c r="F23" s="59" t="s">
        <v>345</v>
      </c>
      <c r="G23" s="59" t="s">
        <v>142</v>
      </c>
      <c r="H23" s="59" t="s">
        <v>124</v>
      </c>
      <c r="I23" s="59" t="s">
        <v>62</v>
      </c>
      <c r="J23" s="59">
        <v>5</v>
      </c>
      <c r="K23" s="59" t="s">
        <v>333</v>
      </c>
    </row>
    <row r="24" spans="1:11" ht="42" customHeight="1" x14ac:dyDescent="0.3">
      <c r="A24" s="59" t="s">
        <v>274</v>
      </c>
      <c r="B24" s="59" t="s">
        <v>294</v>
      </c>
      <c r="C24" s="60">
        <v>46064</v>
      </c>
      <c r="D24" s="59" t="s">
        <v>116</v>
      </c>
      <c r="E24" s="59" t="s">
        <v>118</v>
      </c>
      <c r="F24" s="59" t="s">
        <v>345</v>
      </c>
      <c r="G24" s="59" t="s">
        <v>156</v>
      </c>
      <c r="H24" s="59" t="s">
        <v>124</v>
      </c>
      <c r="I24" s="59" t="s">
        <v>62</v>
      </c>
      <c r="J24" s="59">
        <v>4</v>
      </c>
      <c r="K24" s="59" t="s">
        <v>332</v>
      </c>
    </row>
    <row r="25" spans="1:11" ht="42" customHeight="1" x14ac:dyDescent="0.3">
      <c r="A25" s="59" t="s">
        <v>274</v>
      </c>
      <c r="B25" s="59" t="s">
        <v>294</v>
      </c>
      <c r="C25" s="60">
        <v>46069</v>
      </c>
      <c r="D25" s="59" t="s">
        <v>116</v>
      </c>
      <c r="E25" s="59" t="s">
        <v>157</v>
      </c>
      <c r="F25" s="59" t="s">
        <v>137</v>
      </c>
      <c r="G25" s="59" t="s">
        <v>163</v>
      </c>
      <c r="H25" s="59" t="s">
        <v>124</v>
      </c>
      <c r="I25" s="59" t="s">
        <v>143</v>
      </c>
      <c r="J25" s="59">
        <v>0</v>
      </c>
      <c r="K25" s="59" t="s">
        <v>178</v>
      </c>
    </row>
    <row r="26" spans="1:11" ht="42" customHeight="1" x14ac:dyDescent="0.3">
      <c r="A26" s="59" t="s">
        <v>133</v>
      </c>
      <c r="B26" s="59" t="s">
        <v>294</v>
      </c>
      <c r="C26" s="60">
        <v>46070</v>
      </c>
      <c r="D26" s="59" t="s">
        <v>131</v>
      </c>
      <c r="E26" s="59" t="s">
        <v>118</v>
      </c>
      <c r="F26" s="59" t="s">
        <v>345</v>
      </c>
      <c r="G26" s="59" t="s">
        <v>129</v>
      </c>
      <c r="H26" s="59" t="s">
        <v>124</v>
      </c>
      <c r="I26" s="59" t="s">
        <v>62</v>
      </c>
      <c r="J26" s="59">
        <v>4</v>
      </c>
      <c r="K26" s="59" t="s">
        <v>334</v>
      </c>
    </row>
    <row r="27" spans="1:11" ht="42" customHeight="1" x14ac:dyDescent="0.3">
      <c r="A27" s="59" t="s">
        <v>128</v>
      </c>
      <c r="B27" s="59" t="s">
        <v>294</v>
      </c>
      <c r="C27" s="60">
        <v>46070</v>
      </c>
      <c r="D27" s="59" t="s">
        <v>131</v>
      </c>
      <c r="E27" s="59" t="s">
        <v>118</v>
      </c>
      <c r="F27" s="59" t="s">
        <v>345</v>
      </c>
      <c r="G27" s="59" t="s">
        <v>129</v>
      </c>
      <c r="H27" s="59" t="s">
        <v>124</v>
      </c>
      <c r="I27" s="59" t="s">
        <v>62</v>
      </c>
      <c r="J27" s="59">
        <v>4</v>
      </c>
      <c r="K27" s="59" t="s">
        <v>334</v>
      </c>
    </row>
    <row r="28" spans="1:11" s="64" customFormat="1" ht="42" customHeight="1" x14ac:dyDescent="0.3">
      <c r="A28" s="62" t="s">
        <v>281</v>
      </c>
      <c r="B28" s="62" t="s">
        <v>295</v>
      </c>
      <c r="C28" s="63">
        <v>46071</v>
      </c>
      <c r="D28" s="62" t="s">
        <v>135</v>
      </c>
      <c r="E28" s="62" t="s">
        <v>157</v>
      </c>
      <c r="F28" s="62" t="s">
        <v>137</v>
      </c>
      <c r="G28" s="62" t="s">
        <v>123</v>
      </c>
      <c r="H28" s="62" t="s">
        <v>124</v>
      </c>
      <c r="I28" s="62" t="s">
        <v>143</v>
      </c>
      <c r="J28" s="62">
        <v>0</v>
      </c>
      <c r="K28" s="62" t="s">
        <v>178</v>
      </c>
    </row>
    <row r="29" spans="1:11" s="64" customFormat="1" ht="42" customHeight="1" x14ac:dyDescent="0.3">
      <c r="A29" s="62" t="s">
        <v>281</v>
      </c>
      <c r="B29" s="62" t="s">
        <v>295</v>
      </c>
      <c r="C29" s="63">
        <v>46072</v>
      </c>
      <c r="D29" s="62" t="s">
        <v>135</v>
      </c>
      <c r="E29" s="62" t="s">
        <v>157</v>
      </c>
      <c r="F29" s="62" t="s">
        <v>137</v>
      </c>
      <c r="G29" s="62" t="s">
        <v>123</v>
      </c>
      <c r="H29" s="62" t="s">
        <v>124</v>
      </c>
      <c r="I29" s="62" t="s">
        <v>143</v>
      </c>
      <c r="J29" s="62">
        <v>0</v>
      </c>
      <c r="K29" s="62" t="s">
        <v>178</v>
      </c>
    </row>
    <row r="30" spans="1:11" s="64" customFormat="1" ht="42" customHeight="1" x14ac:dyDescent="0.3">
      <c r="A30" s="62" t="s">
        <v>281</v>
      </c>
      <c r="B30" s="62" t="s">
        <v>295</v>
      </c>
      <c r="C30" s="63">
        <v>46073</v>
      </c>
      <c r="D30" s="62" t="s">
        <v>135</v>
      </c>
      <c r="E30" s="62" t="s">
        <v>157</v>
      </c>
      <c r="F30" s="62" t="s">
        <v>137</v>
      </c>
      <c r="G30" s="62" t="s">
        <v>123</v>
      </c>
      <c r="H30" s="62" t="s">
        <v>124</v>
      </c>
      <c r="I30" s="62" t="s">
        <v>143</v>
      </c>
      <c r="J30" s="62">
        <v>0</v>
      </c>
      <c r="K30" s="62" t="s">
        <v>178</v>
      </c>
    </row>
    <row r="31" spans="1:11" ht="42" customHeight="1" x14ac:dyDescent="0.3">
      <c r="A31" s="59" t="s">
        <v>279</v>
      </c>
      <c r="B31" s="59" t="s">
        <v>294</v>
      </c>
      <c r="C31" s="60">
        <v>46076</v>
      </c>
      <c r="D31" s="59" t="s">
        <v>119</v>
      </c>
      <c r="E31" s="59" t="s">
        <v>118</v>
      </c>
      <c r="F31" s="59" t="s">
        <v>345</v>
      </c>
      <c r="G31" s="59" t="s">
        <v>142</v>
      </c>
      <c r="H31" s="59" t="s">
        <v>124</v>
      </c>
      <c r="I31" s="59" t="s">
        <v>62</v>
      </c>
      <c r="J31" s="59">
        <v>14</v>
      </c>
      <c r="K31" s="59" t="s">
        <v>335</v>
      </c>
    </row>
    <row r="32" spans="1:11" ht="49.5" customHeight="1" x14ac:dyDescent="0.3">
      <c r="A32" s="59" t="s">
        <v>336</v>
      </c>
      <c r="B32" s="59" t="s">
        <v>337</v>
      </c>
      <c r="C32" s="60">
        <v>46076</v>
      </c>
      <c r="D32" s="59" t="s">
        <v>339</v>
      </c>
      <c r="E32" s="59" t="s">
        <v>118</v>
      </c>
      <c r="F32" s="59" t="s">
        <v>345</v>
      </c>
      <c r="G32" s="59" t="s">
        <v>268</v>
      </c>
      <c r="H32" s="59" t="s">
        <v>124</v>
      </c>
      <c r="I32" s="59" t="s">
        <v>62</v>
      </c>
      <c r="J32" s="59">
        <v>6</v>
      </c>
      <c r="K32" s="59" t="s">
        <v>340</v>
      </c>
    </row>
    <row r="33" spans="1:11" ht="49.5" customHeight="1" x14ac:dyDescent="0.3">
      <c r="A33" s="59" t="s">
        <v>341</v>
      </c>
      <c r="B33" s="59" t="s">
        <v>294</v>
      </c>
      <c r="C33" s="60">
        <v>46077</v>
      </c>
      <c r="D33" s="59" t="s">
        <v>119</v>
      </c>
      <c r="E33" s="59" t="s">
        <v>118</v>
      </c>
      <c r="F33" s="59" t="s">
        <v>345</v>
      </c>
      <c r="G33" s="59" t="s">
        <v>129</v>
      </c>
      <c r="H33" s="59" t="s">
        <v>124</v>
      </c>
      <c r="I33" s="59" t="s">
        <v>62</v>
      </c>
      <c r="J33" s="59">
        <v>19</v>
      </c>
      <c r="K33" s="59" t="s">
        <v>342</v>
      </c>
    </row>
    <row r="34" spans="1:11" ht="42" customHeight="1" x14ac:dyDescent="0.3">
      <c r="A34" s="59" t="s">
        <v>274</v>
      </c>
      <c r="B34" s="59" t="s">
        <v>294</v>
      </c>
      <c r="C34" s="60">
        <v>46083</v>
      </c>
      <c r="D34" s="59" t="s">
        <v>116</v>
      </c>
      <c r="E34" s="59" t="s">
        <v>157</v>
      </c>
      <c r="F34" s="59" t="s">
        <v>137</v>
      </c>
      <c r="G34" s="59" t="s">
        <v>123</v>
      </c>
      <c r="H34" s="59" t="s">
        <v>124</v>
      </c>
      <c r="I34" s="59" t="s">
        <v>143</v>
      </c>
      <c r="J34" s="59">
        <v>0</v>
      </c>
      <c r="K34" s="59" t="s">
        <v>178</v>
      </c>
    </row>
    <row r="35" spans="1:11" ht="42" customHeight="1" x14ac:dyDescent="0.3">
      <c r="A35" s="59" t="s">
        <v>276</v>
      </c>
      <c r="B35" s="59" t="s">
        <v>294</v>
      </c>
      <c r="C35" s="60">
        <v>46084</v>
      </c>
      <c r="D35" s="59" t="s">
        <v>135</v>
      </c>
      <c r="E35" s="59" t="s">
        <v>157</v>
      </c>
      <c r="F35" s="59" t="s">
        <v>137</v>
      </c>
      <c r="G35" s="59" t="s">
        <v>123</v>
      </c>
      <c r="H35" s="59" t="s">
        <v>124</v>
      </c>
      <c r="I35" s="59" t="s">
        <v>143</v>
      </c>
      <c r="J35" s="59">
        <v>0</v>
      </c>
      <c r="K35" s="59" t="s">
        <v>178</v>
      </c>
    </row>
    <row r="36" spans="1:11" ht="42" customHeight="1" x14ac:dyDescent="0.3">
      <c r="A36" s="59" t="s">
        <v>133</v>
      </c>
      <c r="B36" s="59" t="s">
        <v>294</v>
      </c>
      <c r="C36" s="60">
        <v>46084</v>
      </c>
      <c r="D36" s="59" t="s">
        <v>131</v>
      </c>
      <c r="E36" s="59" t="s">
        <v>157</v>
      </c>
      <c r="F36" s="59" t="s">
        <v>178</v>
      </c>
      <c r="G36" s="59" t="s">
        <v>129</v>
      </c>
      <c r="H36" s="59" t="s">
        <v>124</v>
      </c>
      <c r="I36" s="59" t="s">
        <v>143</v>
      </c>
      <c r="J36" s="59">
        <v>0</v>
      </c>
      <c r="K36" s="59" t="s">
        <v>178</v>
      </c>
    </row>
    <row r="37" spans="1:11" ht="42" customHeight="1" x14ac:dyDescent="0.3">
      <c r="A37" s="59" t="s">
        <v>275</v>
      </c>
      <c r="B37" s="59" t="s">
        <v>294</v>
      </c>
      <c r="C37" s="60">
        <v>46090</v>
      </c>
      <c r="D37" s="59" t="s">
        <v>135</v>
      </c>
      <c r="E37" s="59" t="s">
        <v>118</v>
      </c>
      <c r="F37" s="59" t="s">
        <v>137</v>
      </c>
      <c r="G37" s="59" t="s">
        <v>123</v>
      </c>
      <c r="H37" s="59" t="s">
        <v>124</v>
      </c>
      <c r="I37" s="59" t="s">
        <v>62</v>
      </c>
      <c r="J37" s="59">
        <v>17</v>
      </c>
      <c r="K37" s="59" t="s">
        <v>343</v>
      </c>
    </row>
    <row r="38" spans="1:11" ht="52.5" customHeight="1" x14ac:dyDescent="0.3">
      <c r="A38" s="59" t="s">
        <v>138</v>
      </c>
      <c r="B38" s="59" t="s">
        <v>294</v>
      </c>
      <c r="C38" s="60">
        <v>46090</v>
      </c>
      <c r="D38" s="59" t="s">
        <v>119</v>
      </c>
      <c r="E38" s="59" t="s">
        <v>118</v>
      </c>
      <c r="F38" s="59" t="s">
        <v>345</v>
      </c>
      <c r="G38" s="59" t="s">
        <v>142</v>
      </c>
      <c r="H38" s="59" t="s">
        <v>124</v>
      </c>
      <c r="I38" s="59" t="s">
        <v>62</v>
      </c>
      <c r="J38" s="59">
        <v>21</v>
      </c>
      <c r="K38" s="59" t="s">
        <v>344</v>
      </c>
    </row>
    <row r="39" spans="1:11" ht="50.25" customHeight="1" x14ac:dyDescent="0.3">
      <c r="A39" s="59" t="s">
        <v>274</v>
      </c>
      <c r="B39" s="59" t="s">
        <v>294</v>
      </c>
      <c r="C39" s="60">
        <v>46092</v>
      </c>
      <c r="D39" s="59" t="s">
        <v>116</v>
      </c>
      <c r="E39" s="59" t="s">
        <v>118</v>
      </c>
      <c r="F39" s="59" t="s">
        <v>345</v>
      </c>
      <c r="G39" s="59" t="s">
        <v>123</v>
      </c>
      <c r="H39" s="59" t="s">
        <v>124</v>
      </c>
      <c r="I39" s="59" t="s">
        <v>62</v>
      </c>
      <c r="J39" s="59">
        <v>11</v>
      </c>
      <c r="K39" s="59" t="s">
        <v>343</v>
      </c>
    </row>
    <row r="40" spans="1:11" ht="42" customHeight="1" x14ac:dyDescent="0.3">
      <c r="A40" s="59" t="s">
        <v>153</v>
      </c>
      <c r="B40" s="59" t="s">
        <v>294</v>
      </c>
      <c r="C40" s="60">
        <v>46094</v>
      </c>
      <c r="D40" s="59" t="s">
        <v>152</v>
      </c>
      <c r="E40" s="59" t="s">
        <v>118</v>
      </c>
      <c r="F40" s="59" t="s">
        <v>345</v>
      </c>
      <c r="G40" s="59" t="s">
        <v>129</v>
      </c>
      <c r="H40" s="59" t="s">
        <v>124</v>
      </c>
      <c r="I40" s="59" t="s">
        <v>62</v>
      </c>
      <c r="J40" s="59">
        <v>38</v>
      </c>
      <c r="K40" s="59" t="s">
        <v>346</v>
      </c>
    </row>
    <row r="41" spans="1:11" ht="42" customHeight="1" x14ac:dyDescent="0.3">
      <c r="A41" s="59" t="s">
        <v>276</v>
      </c>
      <c r="B41" s="59" t="s">
        <v>294</v>
      </c>
      <c r="C41" s="60">
        <v>46097</v>
      </c>
      <c r="D41" s="59" t="s">
        <v>135</v>
      </c>
      <c r="E41" s="59" t="s">
        <v>118</v>
      </c>
      <c r="F41" s="59" t="s">
        <v>137</v>
      </c>
      <c r="G41" s="59" t="s">
        <v>123</v>
      </c>
      <c r="H41" s="59" t="s">
        <v>124</v>
      </c>
      <c r="I41" s="59" t="s">
        <v>62</v>
      </c>
      <c r="J41" s="59">
        <v>11</v>
      </c>
      <c r="K41" s="59" t="s">
        <v>343</v>
      </c>
    </row>
    <row r="42" spans="1:11" ht="42" customHeight="1" x14ac:dyDescent="0.3">
      <c r="A42" s="59" t="s">
        <v>274</v>
      </c>
      <c r="B42" s="59" t="s">
        <v>294</v>
      </c>
      <c r="C42" s="60">
        <v>46097</v>
      </c>
      <c r="D42" s="59" t="s">
        <v>116</v>
      </c>
      <c r="E42" s="59" t="s">
        <v>118</v>
      </c>
      <c r="F42" s="59" t="s">
        <v>345</v>
      </c>
      <c r="G42" s="59" t="s">
        <v>129</v>
      </c>
      <c r="H42" s="59" t="s">
        <v>124</v>
      </c>
      <c r="I42" s="59" t="s">
        <v>62</v>
      </c>
      <c r="J42" s="59">
        <v>9</v>
      </c>
      <c r="K42" s="59" t="s">
        <v>343</v>
      </c>
    </row>
    <row r="43" spans="1:11" ht="42" customHeight="1" x14ac:dyDescent="0.3">
      <c r="A43" s="59" t="s">
        <v>279</v>
      </c>
      <c r="B43" s="59" t="s">
        <v>294</v>
      </c>
      <c r="C43" s="60">
        <v>46098</v>
      </c>
      <c r="D43" s="59" t="s">
        <v>119</v>
      </c>
      <c r="E43" s="59" t="s">
        <v>118</v>
      </c>
      <c r="F43" s="59" t="s">
        <v>345</v>
      </c>
      <c r="G43" s="59" t="s">
        <v>195</v>
      </c>
      <c r="H43" s="59" t="s">
        <v>124</v>
      </c>
      <c r="I43" s="59" t="s">
        <v>62</v>
      </c>
      <c r="J43" s="59">
        <v>3</v>
      </c>
      <c r="K43" s="59" t="s">
        <v>347</v>
      </c>
    </row>
    <row r="44" spans="1:11" ht="42" customHeight="1" x14ac:dyDescent="0.3">
      <c r="A44" s="59" t="s">
        <v>316</v>
      </c>
      <c r="B44" s="59" t="s">
        <v>317</v>
      </c>
      <c r="C44" s="60">
        <v>46098</v>
      </c>
      <c r="D44" s="59" t="s">
        <v>135</v>
      </c>
      <c r="E44" s="59" t="s">
        <v>157</v>
      </c>
      <c r="F44" s="59" t="s">
        <v>137</v>
      </c>
      <c r="G44" s="59" t="s">
        <v>268</v>
      </c>
      <c r="H44" s="59" t="s">
        <v>124</v>
      </c>
      <c r="I44" s="59" t="s">
        <v>143</v>
      </c>
      <c r="J44" s="59">
        <v>0</v>
      </c>
      <c r="K44" s="59" t="s">
        <v>178</v>
      </c>
    </row>
    <row r="45" spans="1:11" ht="42" customHeight="1" x14ac:dyDescent="0.3">
      <c r="A45" s="59" t="s">
        <v>316</v>
      </c>
      <c r="B45" s="59" t="s">
        <v>317</v>
      </c>
      <c r="C45" s="60">
        <v>46098</v>
      </c>
      <c r="D45" s="59" t="s">
        <v>135</v>
      </c>
      <c r="E45" s="59" t="s">
        <v>157</v>
      </c>
      <c r="F45" s="59" t="s">
        <v>137</v>
      </c>
      <c r="G45" s="59" t="s">
        <v>268</v>
      </c>
      <c r="H45" s="59" t="s">
        <v>124</v>
      </c>
      <c r="I45" s="59" t="s">
        <v>143</v>
      </c>
      <c r="J45" s="59">
        <v>0</v>
      </c>
      <c r="K45" s="59" t="s">
        <v>178</v>
      </c>
    </row>
    <row r="46" spans="1:11" ht="42" customHeight="1" x14ac:dyDescent="0.3">
      <c r="A46" s="59" t="s">
        <v>122</v>
      </c>
      <c r="B46" s="59" t="s">
        <v>294</v>
      </c>
      <c r="C46" s="60">
        <v>46101</v>
      </c>
      <c r="D46" s="59" t="s">
        <v>121</v>
      </c>
      <c r="E46" s="59" t="s">
        <v>118</v>
      </c>
      <c r="F46" s="59" t="s">
        <v>345</v>
      </c>
      <c r="G46" s="59" t="s">
        <v>123</v>
      </c>
      <c r="H46" s="59" t="s">
        <v>124</v>
      </c>
      <c r="I46" s="59" t="s">
        <v>62</v>
      </c>
      <c r="J46" s="59">
        <v>8</v>
      </c>
      <c r="K46" s="61" t="s">
        <v>343</v>
      </c>
    </row>
    <row r="47" spans="1:11" ht="42" customHeight="1" x14ac:dyDescent="0.3">
      <c r="A47" s="59" t="s">
        <v>275</v>
      </c>
      <c r="B47" s="59" t="s">
        <v>294</v>
      </c>
      <c r="C47" s="60">
        <v>46105</v>
      </c>
      <c r="D47" s="59" t="s">
        <v>135</v>
      </c>
      <c r="E47" s="59" t="s">
        <v>118</v>
      </c>
      <c r="F47" s="59" t="s">
        <v>137</v>
      </c>
      <c r="G47" s="59" t="s">
        <v>129</v>
      </c>
      <c r="H47" s="59" t="s">
        <v>124</v>
      </c>
      <c r="I47" s="59" t="s">
        <v>62</v>
      </c>
      <c r="J47" s="59">
        <v>11</v>
      </c>
      <c r="K47" s="59" t="s">
        <v>343</v>
      </c>
    </row>
    <row r="48" spans="1:11" ht="42" customHeight="1" x14ac:dyDescent="0.3">
      <c r="A48" s="59" t="s">
        <v>279</v>
      </c>
      <c r="B48" s="59" t="s">
        <v>294</v>
      </c>
      <c r="C48" s="60">
        <v>46105</v>
      </c>
      <c r="D48" s="59" t="s">
        <v>119</v>
      </c>
      <c r="E48" s="59" t="s">
        <v>157</v>
      </c>
      <c r="F48" s="59" t="s">
        <v>137</v>
      </c>
      <c r="G48" s="59" t="s">
        <v>123</v>
      </c>
      <c r="H48" s="59" t="s">
        <v>124</v>
      </c>
      <c r="I48" s="59" t="s">
        <v>143</v>
      </c>
      <c r="J48" s="59">
        <v>0</v>
      </c>
      <c r="K48" s="59" t="s">
        <v>178</v>
      </c>
    </row>
    <row r="49" spans="1:11" ht="66.75" customHeight="1" x14ac:dyDescent="0.3">
      <c r="A49" s="59" t="s">
        <v>274</v>
      </c>
      <c r="B49" s="59" t="s">
        <v>294</v>
      </c>
      <c r="C49" s="60">
        <v>46106</v>
      </c>
      <c r="D49" s="59" t="s">
        <v>116</v>
      </c>
      <c r="E49" s="59" t="s">
        <v>118</v>
      </c>
      <c r="F49" s="59" t="s">
        <v>345</v>
      </c>
      <c r="G49" s="59" t="s">
        <v>195</v>
      </c>
      <c r="H49" s="59" t="s">
        <v>124</v>
      </c>
      <c r="I49" s="59" t="s">
        <v>62</v>
      </c>
      <c r="J49" s="59">
        <v>17</v>
      </c>
      <c r="K49" s="59" t="s">
        <v>348</v>
      </c>
    </row>
    <row r="50" spans="1:11" ht="42" customHeight="1" x14ac:dyDescent="0.3">
      <c r="A50" s="59" t="s">
        <v>153</v>
      </c>
      <c r="B50" s="59" t="s">
        <v>294</v>
      </c>
      <c r="C50" s="60">
        <v>46111</v>
      </c>
      <c r="D50" s="59" t="s">
        <v>152</v>
      </c>
      <c r="E50" s="59" t="s">
        <v>157</v>
      </c>
      <c r="F50" s="59" t="s">
        <v>137</v>
      </c>
      <c r="G50" s="59" t="s">
        <v>142</v>
      </c>
      <c r="H50" s="59" t="s">
        <v>124</v>
      </c>
      <c r="I50" s="59" t="s">
        <v>143</v>
      </c>
      <c r="J50" s="59">
        <v>0</v>
      </c>
      <c r="K50" s="59" t="s">
        <v>178</v>
      </c>
    </row>
    <row r="51" spans="1:11" ht="90.75" customHeight="1" x14ac:dyDescent="0.3">
      <c r="A51" s="59" t="s">
        <v>128</v>
      </c>
      <c r="B51" s="59" t="s">
        <v>294</v>
      </c>
      <c r="C51" s="60">
        <v>46112</v>
      </c>
      <c r="D51" s="59" t="s">
        <v>126</v>
      </c>
      <c r="E51" s="59" t="s">
        <v>118</v>
      </c>
      <c r="F51" s="59" t="s">
        <v>345</v>
      </c>
      <c r="G51" s="59" t="s">
        <v>195</v>
      </c>
      <c r="H51" s="59" t="s">
        <v>124</v>
      </c>
      <c r="I51" s="59" t="s">
        <v>62</v>
      </c>
      <c r="J51" s="59">
        <v>2</v>
      </c>
      <c r="K51" s="59" t="s">
        <v>348</v>
      </c>
    </row>
    <row r="52" spans="1:11" ht="72" x14ac:dyDescent="0.3">
      <c r="A52" s="59" t="s">
        <v>279</v>
      </c>
      <c r="B52" s="59" t="s">
        <v>294</v>
      </c>
      <c r="C52" s="60">
        <v>46120</v>
      </c>
      <c r="D52" s="59" t="s">
        <v>119</v>
      </c>
      <c r="E52" s="59" t="s">
        <v>118</v>
      </c>
      <c r="F52" s="59" t="s">
        <v>345</v>
      </c>
      <c r="G52" s="59" t="s">
        <v>142</v>
      </c>
      <c r="H52" s="59" t="s">
        <v>124</v>
      </c>
      <c r="I52" s="59" t="s">
        <v>207</v>
      </c>
      <c r="J52" s="59">
        <v>9</v>
      </c>
      <c r="K52" s="59" t="s">
        <v>349</v>
      </c>
    </row>
    <row r="53" spans="1:11" ht="72" x14ac:dyDescent="0.3">
      <c r="A53" s="59" t="s">
        <v>153</v>
      </c>
      <c r="B53" s="59" t="s">
        <v>294</v>
      </c>
      <c r="C53" s="60">
        <v>46120</v>
      </c>
      <c r="D53" s="59" t="s">
        <v>152</v>
      </c>
      <c r="E53" s="59" t="s">
        <v>118</v>
      </c>
      <c r="F53" s="59" t="s">
        <v>345</v>
      </c>
      <c r="G53" s="59" t="s">
        <v>142</v>
      </c>
      <c r="H53" s="59" t="s">
        <v>124</v>
      </c>
      <c r="I53" s="59" t="s">
        <v>207</v>
      </c>
      <c r="J53" s="59">
        <v>11</v>
      </c>
      <c r="K53" s="59" t="s">
        <v>349</v>
      </c>
    </row>
    <row r="54" spans="1:11" ht="42" customHeight="1" x14ac:dyDescent="0.3">
      <c r="A54" s="59" t="s">
        <v>280</v>
      </c>
      <c r="B54" s="59" t="s">
        <v>294</v>
      </c>
      <c r="C54" s="60">
        <v>46121</v>
      </c>
      <c r="D54" s="59" t="s">
        <v>119</v>
      </c>
      <c r="E54" s="59" t="s">
        <v>118</v>
      </c>
      <c r="F54" s="59" t="s">
        <v>345</v>
      </c>
      <c r="G54" s="59" t="s">
        <v>142</v>
      </c>
      <c r="H54" s="59" t="s">
        <v>124</v>
      </c>
      <c r="I54" s="59" t="s">
        <v>207</v>
      </c>
      <c r="J54" s="59">
        <v>9</v>
      </c>
      <c r="K54" s="59" t="s">
        <v>350</v>
      </c>
    </row>
    <row r="55" spans="1:11" ht="42" customHeight="1" x14ac:dyDescent="0.3">
      <c r="A55" s="59" t="s">
        <v>296</v>
      </c>
      <c r="B55" s="59" t="s">
        <v>297</v>
      </c>
      <c r="C55" s="60">
        <v>46126</v>
      </c>
      <c r="D55" s="59" t="s">
        <v>298</v>
      </c>
      <c r="E55" s="59" t="s">
        <v>118</v>
      </c>
      <c r="F55" s="59" t="s">
        <v>345</v>
      </c>
      <c r="G55" s="59" t="s">
        <v>271</v>
      </c>
      <c r="H55" s="59" t="s">
        <v>124</v>
      </c>
      <c r="I55" s="59" t="s">
        <v>207</v>
      </c>
      <c r="J55" s="59">
        <v>10</v>
      </c>
      <c r="K55" s="59" t="s">
        <v>351</v>
      </c>
    </row>
    <row r="56" spans="1:11" ht="42" customHeight="1" x14ac:dyDescent="0.3">
      <c r="A56" s="59" t="s">
        <v>296</v>
      </c>
      <c r="B56" s="59" t="s">
        <v>297</v>
      </c>
      <c r="C56" s="60">
        <v>46127</v>
      </c>
      <c r="D56" s="59" t="s">
        <v>298</v>
      </c>
      <c r="E56" s="59" t="s">
        <v>118</v>
      </c>
      <c r="F56" s="59" t="s">
        <v>345</v>
      </c>
      <c r="G56" s="59" t="s">
        <v>271</v>
      </c>
      <c r="H56" s="59" t="s">
        <v>124</v>
      </c>
      <c r="I56" s="59" t="s">
        <v>207</v>
      </c>
      <c r="J56" s="59">
        <v>10</v>
      </c>
      <c r="K56" s="59" t="s">
        <v>351</v>
      </c>
    </row>
    <row r="57" spans="1:11" ht="42" customHeight="1" x14ac:dyDescent="0.3">
      <c r="A57" s="59" t="s">
        <v>274</v>
      </c>
      <c r="B57" s="59" t="s">
        <v>294</v>
      </c>
      <c r="C57" s="60">
        <v>46127</v>
      </c>
      <c r="D57" s="59" t="s">
        <v>116</v>
      </c>
      <c r="E57" s="59" t="s">
        <v>157</v>
      </c>
      <c r="F57" s="59" t="s">
        <v>137</v>
      </c>
      <c r="G57" s="59" t="s">
        <v>156</v>
      </c>
      <c r="H57" s="59" t="s">
        <v>124</v>
      </c>
      <c r="I57" s="59" t="s">
        <v>214</v>
      </c>
      <c r="J57" s="59">
        <v>0</v>
      </c>
      <c r="K57" s="59" t="s">
        <v>178</v>
      </c>
    </row>
    <row r="58" spans="1:11" ht="42" customHeight="1" x14ac:dyDescent="0.3">
      <c r="A58" s="59" t="s">
        <v>128</v>
      </c>
      <c r="B58" s="59" t="s">
        <v>294</v>
      </c>
      <c r="C58" s="60">
        <v>46128</v>
      </c>
      <c r="D58" s="59" t="s">
        <v>126</v>
      </c>
      <c r="E58" s="59" t="s">
        <v>157</v>
      </c>
      <c r="F58" s="59" t="s">
        <v>137</v>
      </c>
      <c r="G58" s="59" t="s">
        <v>156</v>
      </c>
      <c r="H58" s="59" t="s">
        <v>124</v>
      </c>
      <c r="I58" s="59" t="s">
        <v>143</v>
      </c>
      <c r="J58" s="59">
        <v>0</v>
      </c>
      <c r="K58" s="59" t="s">
        <v>178</v>
      </c>
    </row>
    <row r="59" spans="1:11" ht="42" customHeight="1" x14ac:dyDescent="0.3">
      <c r="A59" s="59" t="s">
        <v>279</v>
      </c>
      <c r="B59" s="59" t="s">
        <v>294</v>
      </c>
      <c r="C59" s="60">
        <v>46132</v>
      </c>
      <c r="D59" s="59" t="s">
        <v>119</v>
      </c>
      <c r="E59" s="59" t="s">
        <v>157</v>
      </c>
      <c r="F59" s="59" t="s">
        <v>137</v>
      </c>
      <c r="G59" s="59" t="s">
        <v>142</v>
      </c>
      <c r="H59" s="59" t="s">
        <v>124</v>
      </c>
      <c r="I59" s="59" t="s">
        <v>143</v>
      </c>
      <c r="J59" s="59">
        <v>0</v>
      </c>
      <c r="K59" s="59" t="s">
        <v>178</v>
      </c>
    </row>
    <row r="60" spans="1:11" ht="42" customHeight="1" x14ac:dyDescent="0.3">
      <c r="A60" s="59" t="s">
        <v>153</v>
      </c>
      <c r="B60" s="59" t="s">
        <v>294</v>
      </c>
      <c r="C60" s="60">
        <v>46132</v>
      </c>
      <c r="D60" s="59" t="s">
        <v>152</v>
      </c>
      <c r="E60" s="59" t="s">
        <v>157</v>
      </c>
      <c r="F60" s="59" t="s">
        <v>137</v>
      </c>
      <c r="G60" s="59" t="s">
        <v>156</v>
      </c>
      <c r="H60" s="59" t="s">
        <v>124</v>
      </c>
      <c r="I60" s="59" t="s">
        <v>143</v>
      </c>
      <c r="J60" s="59">
        <v>0</v>
      </c>
      <c r="K60" s="59" t="s">
        <v>178</v>
      </c>
    </row>
    <row r="61" spans="1:11" ht="50.25" customHeight="1" x14ac:dyDescent="0.3">
      <c r="A61" s="59" t="s">
        <v>122</v>
      </c>
      <c r="B61" s="59" t="s">
        <v>294</v>
      </c>
      <c r="C61" s="60">
        <v>46136</v>
      </c>
      <c r="D61" s="59" t="s">
        <v>121</v>
      </c>
      <c r="E61" s="59" t="s">
        <v>118</v>
      </c>
      <c r="F61" s="59" t="s">
        <v>345</v>
      </c>
      <c r="G61" s="59" t="s">
        <v>123</v>
      </c>
      <c r="H61" s="59" t="s">
        <v>124</v>
      </c>
      <c r="I61" s="59" t="s">
        <v>62</v>
      </c>
      <c r="J61" s="59">
        <v>3</v>
      </c>
      <c r="K61" s="59" t="s">
        <v>352</v>
      </c>
    </row>
    <row r="62" spans="1:11" ht="42" customHeight="1" x14ac:dyDescent="0.3">
      <c r="A62" s="59" t="s">
        <v>274</v>
      </c>
      <c r="B62" s="59" t="s">
        <v>294</v>
      </c>
      <c r="C62" s="60">
        <v>46139</v>
      </c>
      <c r="D62" s="59" t="s">
        <v>116</v>
      </c>
      <c r="E62" s="59" t="s">
        <v>157</v>
      </c>
      <c r="F62" s="59" t="s">
        <v>137</v>
      </c>
      <c r="G62" s="59" t="s">
        <v>156</v>
      </c>
      <c r="H62" s="59" t="s">
        <v>124</v>
      </c>
      <c r="I62" s="59" t="s">
        <v>143</v>
      </c>
      <c r="J62" s="59">
        <v>0</v>
      </c>
      <c r="K62" s="59" t="s">
        <v>178</v>
      </c>
    </row>
    <row r="63" spans="1:11" ht="42" customHeight="1" x14ac:dyDescent="0.3">
      <c r="A63" s="59" t="s">
        <v>281</v>
      </c>
      <c r="B63" s="59" t="s">
        <v>295</v>
      </c>
      <c r="C63" s="60">
        <v>46139</v>
      </c>
      <c r="D63" s="59" t="s">
        <v>135</v>
      </c>
      <c r="E63" s="59" t="s">
        <v>118</v>
      </c>
      <c r="F63" s="59" t="s">
        <v>137</v>
      </c>
      <c r="G63" s="59" t="s">
        <v>268</v>
      </c>
      <c r="H63" s="59" t="s">
        <v>124</v>
      </c>
      <c r="I63" s="59" t="s">
        <v>62</v>
      </c>
      <c r="J63" s="59">
        <v>28</v>
      </c>
      <c r="K63" s="59" t="s">
        <v>353</v>
      </c>
    </row>
    <row r="64" spans="1:11" ht="72.75" customHeight="1" x14ac:dyDescent="0.3">
      <c r="A64" s="59" t="s">
        <v>281</v>
      </c>
      <c r="B64" s="59" t="s">
        <v>295</v>
      </c>
      <c r="C64" s="60">
        <v>46140</v>
      </c>
      <c r="D64" s="59" t="s">
        <v>135</v>
      </c>
      <c r="E64" s="59" t="s">
        <v>118</v>
      </c>
      <c r="F64" s="59" t="s">
        <v>137</v>
      </c>
      <c r="G64" s="59" t="s">
        <v>156</v>
      </c>
      <c r="H64" s="59" t="s">
        <v>124</v>
      </c>
      <c r="I64" s="59" t="s">
        <v>62</v>
      </c>
      <c r="J64" s="59">
        <v>34</v>
      </c>
      <c r="K64" s="59" t="s">
        <v>355</v>
      </c>
    </row>
    <row r="65" spans="1:11" ht="42" customHeight="1" x14ac:dyDescent="0.3">
      <c r="A65" s="59" t="s">
        <v>128</v>
      </c>
      <c r="B65" s="59" t="s">
        <v>294</v>
      </c>
      <c r="C65" s="60">
        <v>46142</v>
      </c>
      <c r="D65" s="59" t="s">
        <v>126</v>
      </c>
      <c r="E65" s="59" t="s">
        <v>118</v>
      </c>
      <c r="F65" s="59" t="s">
        <v>345</v>
      </c>
      <c r="G65" s="59" t="s">
        <v>142</v>
      </c>
      <c r="H65" s="59" t="s">
        <v>124</v>
      </c>
      <c r="I65" s="59" t="s">
        <v>62</v>
      </c>
      <c r="J65" s="59">
        <v>2</v>
      </c>
      <c r="K65" s="59" t="s">
        <v>354</v>
      </c>
    </row>
    <row r="66" spans="1:11" ht="56.25" customHeight="1" x14ac:dyDescent="0.3">
      <c r="A66" s="59" t="s">
        <v>281</v>
      </c>
      <c r="B66" s="59" t="s">
        <v>295</v>
      </c>
      <c r="C66" s="60">
        <v>46141</v>
      </c>
      <c r="D66" s="59" t="s">
        <v>135</v>
      </c>
      <c r="E66" s="59" t="s">
        <v>118</v>
      </c>
      <c r="F66" s="59" t="s">
        <v>137</v>
      </c>
      <c r="G66" s="59" t="s">
        <v>156</v>
      </c>
      <c r="H66" s="59" t="s">
        <v>124</v>
      </c>
      <c r="I66" s="59" t="s">
        <v>62</v>
      </c>
      <c r="J66" s="59">
        <v>20</v>
      </c>
      <c r="K66" s="59" t="s">
        <v>356</v>
      </c>
    </row>
    <row r="67" spans="1:11" ht="42" customHeight="1" x14ac:dyDescent="0.3">
      <c r="A67" s="59" t="s">
        <v>274</v>
      </c>
      <c r="B67" s="59" t="s">
        <v>294</v>
      </c>
      <c r="C67" s="60">
        <v>46141</v>
      </c>
      <c r="D67" s="59" t="s">
        <v>116</v>
      </c>
      <c r="E67" s="59" t="s">
        <v>118</v>
      </c>
      <c r="F67" s="59" t="s">
        <v>345</v>
      </c>
      <c r="G67" s="59" t="s">
        <v>195</v>
      </c>
      <c r="H67" s="59" t="s">
        <v>124</v>
      </c>
      <c r="I67" s="59" t="s">
        <v>62</v>
      </c>
      <c r="J67" s="59">
        <v>21</v>
      </c>
      <c r="K67" s="59" t="s">
        <v>357</v>
      </c>
    </row>
    <row r="68" spans="1:11" ht="42" customHeight="1" x14ac:dyDescent="0.3">
      <c r="A68" s="59" t="s">
        <v>128</v>
      </c>
      <c r="B68" s="59" t="s">
        <v>294</v>
      </c>
      <c r="C68" s="60">
        <v>46142</v>
      </c>
      <c r="D68" s="59" t="s">
        <v>126</v>
      </c>
      <c r="E68" s="59" t="s">
        <v>118</v>
      </c>
      <c r="F68" s="59" t="s">
        <v>345</v>
      </c>
      <c r="G68" s="59" t="s">
        <v>156</v>
      </c>
      <c r="H68" s="59" t="s">
        <v>124</v>
      </c>
      <c r="I68" s="59" t="s">
        <v>62</v>
      </c>
      <c r="J68" s="59">
        <v>3</v>
      </c>
      <c r="K68" s="59" t="s">
        <v>358</v>
      </c>
    </row>
    <row r="69" spans="1:11" ht="66" customHeight="1" x14ac:dyDescent="0.3">
      <c r="A69" s="62" t="s">
        <v>279</v>
      </c>
      <c r="B69" s="62" t="s">
        <v>294</v>
      </c>
      <c r="C69" s="63">
        <v>46148</v>
      </c>
      <c r="D69" s="62" t="s">
        <v>119</v>
      </c>
      <c r="E69" s="62" t="s">
        <v>118</v>
      </c>
      <c r="F69" s="62" t="s">
        <v>345</v>
      </c>
      <c r="G69" s="62" t="s">
        <v>142</v>
      </c>
      <c r="H69" s="62" t="s">
        <v>124</v>
      </c>
      <c r="I69" s="62" t="s">
        <v>62</v>
      </c>
      <c r="J69" s="62">
        <v>9</v>
      </c>
      <c r="K69" s="62" t="s">
        <v>359</v>
      </c>
    </row>
    <row r="70" spans="1:11" ht="42" customHeight="1" x14ac:dyDescent="0.3">
      <c r="A70" s="59" t="s">
        <v>283</v>
      </c>
      <c r="B70" s="59" t="s">
        <v>317</v>
      </c>
      <c r="C70" s="60">
        <v>46162</v>
      </c>
      <c r="D70" s="59" t="s">
        <v>135</v>
      </c>
      <c r="E70" s="59" t="s">
        <v>118</v>
      </c>
      <c r="F70" s="59" t="s">
        <v>137</v>
      </c>
      <c r="G70" s="59" t="s">
        <v>268</v>
      </c>
      <c r="H70" s="59" t="s">
        <v>124</v>
      </c>
      <c r="I70" s="59" t="s">
        <v>62</v>
      </c>
      <c r="J70" s="59">
        <v>6</v>
      </c>
      <c r="K70" s="59" t="s">
        <v>348</v>
      </c>
    </row>
    <row r="71" spans="1:11" ht="42" customHeight="1" x14ac:dyDescent="0.3">
      <c r="A71" s="59" t="s">
        <v>283</v>
      </c>
      <c r="B71" s="59" t="s">
        <v>317</v>
      </c>
      <c r="C71" s="60">
        <v>46163</v>
      </c>
      <c r="D71" s="59" t="s">
        <v>135</v>
      </c>
      <c r="E71" s="59" t="s">
        <v>118</v>
      </c>
      <c r="F71" s="59" t="s">
        <v>137</v>
      </c>
      <c r="G71" s="59" t="s">
        <v>268</v>
      </c>
      <c r="H71" s="59" t="s">
        <v>124</v>
      </c>
      <c r="I71" s="59" t="s">
        <v>62</v>
      </c>
      <c r="J71" s="59">
        <v>7</v>
      </c>
      <c r="K71" s="59" t="s">
        <v>348</v>
      </c>
    </row>
    <row r="72" spans="1:11" ht="42" customHeight="1" x14ac:dyDescent="0.3">
      <c r="A72" s="59" t="s">
        <v>277</v>
      </c>
      <c r="B72" s="59" t="s">
        <v>294</v>
      </c>
      <c r="C72" s="60">
        <v>46170</v>
      </c>
      <c r="D72" s="59" t="s">
        <v>126</v>
      </c>
      <c r="E72" s="59" t="s">
        <v>118</v>
      </c>
      <c r="F72" s="59" t="s">
        <v>137</v>
      </c>
      <c r="G72" s="59" t="s">
        <v>195</v>
      </c>
      <c r="H72" s="59" t="s">
        <v>124</v>
      </c>
      <c r="I72" s="59" t="s">
        <v>62</v>
      </c>
      <c r="J72" s="59">
        <v>2</v>
      </c>
      <c r="K72" s="59" t="s">
        <v>348</v>
      </c>
    </row>
    <row r="73" spans="1:11" ht="42" customHeight="1" x14ac:dyDescent="0.3">
      <c r="A73" s="59" t="s">
        <v>274</v>
      </c>
      <c r="B73" s="59" t="s">
        <v>294</v>
      </c>
      <c r="C73" s="60">
        <v>46176</v>
      </c>
      <c r="D73" s="59" t="s">
        <v>284</v>
      </c>
      <c r="E73" s="59" t="s">
        <v>118</v>
      </c>
      <c r="F73" s="59" t="s">
        <v>345</v>
      </c>
      <c r="G73" s="59" t="s">
        <v>123</v>
      </c>
      <c r="H73" s="59" t="s">
        <v>124</v>
      </c>
      <c r="I73" s="59" t="s">
        <v>62</v>
      </c>
      <c r="J73" s="59">
        <v>16</v>
      </c>
      <c r="K73" s="59" t="s">
        <v>360</v>
      </c>
    </row>
    <row r="74" spans="1:11" ht="85.5" customHeight="1" x14ac:dyDescent="0.3">
      <c r="A74" s="59" t="s">
        <v>128</v>
      </c>
      <c r="B74" s="59" t="s">
        <v>294</v>
      </c>
      <c r="C74" s="60">
        <v>46190</v>
      </c>
      <c r="D74" s="59" t="s">
        <v>126</v>
      </c>
      <c r="E74" s="59" t="s">
        <v>118</v>
      </c>
      <c r="F74" s="62" t="s">
        <v>345</v>
      </c>
      <c r="G74" s="59" t="s">
        <v>123</v>
      </c>
      <c r="H74" s="59" t="s">
        <v>124</v>
      </c>
      <c r="I74" s="59" t="s">
        <v>62</v>
      </c>
      <c r="J74" s="59">
        <v>3</v>
      </c>
      <c r="K74" s="59" t="s">
        <v>361</v>
      </c>
    </row>
    <row r="75" spans="1:11" ht="60" customHeight="1" x14ac:dyDescent="0.3">
      <c r="A75" s="59" t="s">
        <v>274</v>
      </c>
      <c r="B75" s="59" t="s">
        <v>294</v>
      </c>
      <c r="C75" s="60">
        <v>46190</v>
      </c>
      <c r="D75" s="59" t="s">
        <v>284</v>
      </c>
      <c r="E75" s="59" t="s">
        <v>118</v>
      </c>
      <c r="F75" s="62" t="s">
        <v>345</v>
      </c>
      <c r="G75" s="59" t="s">
        <v>123</v>
      </c>
      <c r="H75" s="59" t="s">
        <v>124</v>
      </c>
      <c r="I75" s="59" t="s">
        <v>62</v>
      </c>
      <c r="J75" s="59">
        <v>16</v>
      </c>
      <c r="K75" s="59" t="s">
        <v>362</v>
      </c>
    </row>
    <row r="76" spans="1:11" ht="42" customHeight="1" x14ac:dyDescent="0.3">
      <c r="A76" s="59" t="s">
        <v>278</v>
      </c>
      <c r="B76" s="59" t="s">
        <v>294</v>
      </c>
      <c r="C76" s="60">
        <v>46191</v>
      </c>
      <c r="D76" s="59" t="s">
        <v>119</v>
      </c>
      <c r="E76" s="59" t="s">
        <v>118</v>
      </c>
      <c r="F76" s="62" t="s">
        <v>345</v>
      </c>
      <c r="G76" s="59" t="s">
        <v>142</v>
      </c>
      <c r="H76" s="59" t="s">
        <v>124</v>
      </c>
      <c r="I76" s="59" t="s">
        <v>62</v>
      </c>
      <c r="J76" s="59">
        <v>8</v>
      </c>
      <c r="K76" s="59" t="s">
        <v>289</v>
      </c>
    </row>
    <row r="77" spans="1:11" ht="42" customHeight="1" x14ac:dyDescent="0.3">
      <c r="A77" s="59" t="s">
        <v>274</v>
      </c>
      <c r="B77" s="59" t="s">
        <v>294</v>
      </c>
      <c r="C77" s="60">
        <v>46191</v>
      </c>
      <c r="D77" s="59" t="s">
        <v>363</v>
      </c>
      <c r="E77" s="59" t="s">
        <v>118</v>
      </c>
      <c r="F77" s="62" t="s">
        <v>345</v>
      </c>
      <c r="G77" s="59" t="s">
        <v>271</v>
      </c>
      <c r="H77" s="59" t="s">
        <v>124</v>
      </c>
      <c r="I77" s="59" t="s">
        <v>62</v>
      </c>
      <c r="J77" s="59">
        <v>14</v>
      </c>
      <c r="K77" s="59" t="s">
        <v>288</v>
      </c>
    </row>
    <row r="78" spans="1:11" ht="42" customHeight="1" x14ac:dyDescent="0.3">
      <c r="A78" s="59" t="s">
        <v>153</v>
      </c>
      <c r="B78" s="59" t="s">
        <v>294</v>
      </c>
      <c r="C78" s="60">
        <v>46191</v>
      </c>
      <c r="D78" s="59" t="s">
        <v>286</v>
      </c>
      <c r="E78" s="59" t="s">
        <v>118</v>
      </c>
      <c r="F78" s="62" t="s">
        <v>345</v>
      </c>
      <c r="G78" s="59" t="s">
        <v>123</v>
      </c>
      <c r="H78" s="59" t="s">
        <v>124</v>
      </c>
      <c r="I78" s="59" t="s">
        <v>62</v>
      </c>
      <c r="J78" s="59">
        <v>40</v>
      </c>
      <c r="K78" s="59" t="s">
        <v>288</v>
      </c>
    </row>
    <row r="79" spans="1:11" ht="42" customHeight="1" x14ac:dyDescent="0.3">
      <c r="A79" s="59" t="s">
        <v>285</v>
      </c>
      <c r="B79" s="59" t="s">
        <v>294</v>
      </c>
      <c r="C79" s="60">
        <v>46191</v>
      </c>
      <c r="D79" s="59" t="s">
        <v>287</v>
      </c>
      <c r="E79" s="59" t="s">
        <v>118</v>
      </c>
      <c r="F79" s="59" t="s">
        <v>137</v>
      </c>
      <c r="G79" s="59" t="s">
        <v>268</v>
      </c>
      <c r="H79" s="59" t="s">
        <v>124</v>
      </c>
      <c r="I79" s="59" t="s">
        <v>62</v>
      </c>
      <c r="J79" s="59">
        <v>13</v>
      </c>
      <c r="K79" s="59" t="s">
        <v>288</v>
      </c>
    </row>
    <row r="80" spans="1:11" ht="42" customHeight="1" x14ac:dyDescent="0.3">
      <c r="A80" s="59" t="s">
        <v>279</v>
      </c>
      <c r="B80" s="59" t="s">
        <v>294</v>
      </c>
      <c r="C80" s="60">
        <v>46197</v>
      </c>
      <c r="D80" s="59" t="s">
        <v>119</v>
      </c>
      <c r="E80" s="59" t="s">
        <v>118</v>
      </c>
      <c r="F80" s="59" t="s">
        <v>345</v>
      </c>
      <c r="G80" s="59" t="s">
        <v>266</v>
      </c>
      <c r="H80" s="59" t="s">
        <v>124</v>
      </c>
      <c r="I80" s="59" t="s">
        <v>62</v>
      </c>
      <c r="J80" s="59">
        <v>8</v>
      </c>
      <c r="K80" s="59" t="s">
        <v>288</v>
      </c>
    </row>
    <row r="81" spans="1:11" ht="42" customHeight="1" x14ac:dyDescent="0.3">
      <c r="A81" s="59" t="s">
        <v>122</v>
      </c>
      <c r="B81" s="59" t="s">
        <v>294</v>
      </c>
      <c r="C81" s="60">
        <v>46197</v>
      </c>
      <c r="D81" s="59" t="s">
        <v>121</v>
      </c>
      <c r="E81" s="59" t="s">
        <v>118</v>
      </c>
      <c r="F81" s="59" t="s">
        <v>345</v>
      </c>
      <c r="G81" s="59" t="s">
        <v>268</v>
      </c>
      <c r="H81" s="59" t="s">
        <v>124</v>
      </c>
      <c r="I81" s="59" t="s">
        <v>62</v>
      </c>
      <c r="J81" s="59">
        <v>6</v>
      </c>
      <c r="K81" s="59" t="s">
        <v>288</v>
      </c>
    </row>
    <row r="82" spans="1:11" ht="42" customHeight="1" x14ac:dyDescent="0.3">
      <c r="A82" s="59" t="s">
        <v>153</v>
      </c>
      <c r="B82" s="59" t="s">
        <v>294</v>
      </c>
      <c r="C82" s="60">
        <v>46197</v>
      </c>
      <c r="D82" s="59" t="s">
        <v>364</v>
      </c>
      <c r="E82" s="59" t="s">
        <v>118</v>
      </c>
      <c r="F82" s="59" t="s">
        <v>345</v>
      </c>
      <c r="G82" s="59" t="s">
        <v>271</v>
      </c>
      <c r="H82" s="59" t="s">
        <v>124</v>
      </c>
      <c r="I82" s="59" t="s">
        <v>62</v>
      </c>
      <c r="J82" s="59">
        <v>35</v>
      </c>
      <c r="K82" s="59" t="s">
        <v>288</v>
      </c>
    </row>
  </sheetData>
  <autoFilter ref="A1:K82" xr:uid="{CBA6D9C7-268E-408C-BD17-01073277E0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D9C7-268E-408C-BD17-01073277E043}">
  <dimension ref="A1:J155"/>
  <sheetViews>
    <sheetView topLeftCell="A141" workbookViewId="0">
      <selection activeCell="C163" sqref="C163"/>
    </sheetView>
  </sheetViews>
  <sheetFormatPr baseColWidth="10" defaultRowHeight="14.4" x14ac:dyDescent="0.3"/>
  <cols>
    <col min="1" max="1" width="29.33203125" style="1" customWidth="1"/>
    <col min="2" max="2" width="23.109375" style="1" customWidth="1"/>
    <col min="3" max="3" width="32.44140625" style="1" customWidth="1"/>
    <col min="4" max="4" width="13.6640625" style="1" customWidth="1"/>
    <col min="5" max="5" width="11.44140625" style="1"/>
    <col min="6" max="6" width="33.109375" style="1" customWidth="1"/>
    <col min="7" max="7" width="11.44140625" style="1"/>
    <col min="8" max="8" width="22.6640625" style="1" customWidth="1"/>
    <col min="9" max="9" width="18.109375" style="1" customWidth="1"/>
    <col min="10" max="10" width="46.33203125" style="1" customWidth="1"/>
  </cols>
  <sheetData>
    <row r="1" spans="1:10" ht="28.8" x14ac:dyDescent="0.3">
      <c r="A1" s="45" t="s">
        <v>108</v>
      </c>
      <c r="B1" s="45" t="s">
        <v>36</v>
      </c>
      <c r="C1" s="45" t="s">
        <v>107</v>
      </c>
      <c r="D1" s="45" t="s">
        <v>109</v>
      </c>
      <c r="E1" s="45" t="s">
        <v>110</v>
      </c>
      <c r="F1" s="45" t="s">
        <v>111</v>
      </c>
      <c r="G1" s="45" t="s">
        <v>112</v>
      </c>
      <c r="H1" s="45" t="s">
        <v>113</v>
      </c>
      <c r="I1" s="45" t="s">
        <v>114</v>
      </c>
      <c r="J1" s="45" t="s">
        <v>115</v>
      </c>
    </row>
    <row r="2" spans="1:10" x14ac:dyDescent="0.3">
      <c r="A2" s="46" t="s">
        <v>274</v>
      </c>
      <c r="B2" s="46" t="s">
        <v>117</v>
      </c>
      <c r="C2" s="46" t="s">
        <v>116</v>
      </c>
      <c r="D2" s="46" t="s">
        <v>118</v>
      </c>
      <c r="E2" s="46"/>
      <c r="F2" s="46"/>
      <c r="G2" s="46"/>
      <c r="H2" s="46"/>
      <c r="I2" s="46"/>
      <c r="J2" s="46"/>
    </row>
    <row r="3" spans="1:10" ht="28.8" x14ac:dyDescent="0.3">
      <c r="A3" s="47" t="s">
        <v>279</v>
      </c>
      <c r="B3" s="47" t="s">
        <v>120</v>
      </c>
      <c r="C3" s="47" t="s">
        <v>119</v>
      </c>
      <c r="D3" s="47" t="s">
        <v>118</v>
      </c>
      <c r="E3" s="47"/>
      <c r="F3" s="47"/>
      <c r="G3" s="47"/>
      <c r="H3" s="47"/>
      <c r="I3" s="47"/>
      <c r="J3" s="47"/>
    </row>
    <row r="4" spans="1:10" ht="28.8" x14ac:dyDescent="0.3">
      <c r="A4" s="46" t="s">
        <v>122</v>
      </c>
      <c r="B4" s="46" t="s">
        <v>120</v>
      </c>
      <c r="C4" s="46" t="s">
        <v>121</v>
      </c>
      <c r="D4" s="46" t="s">
        <v>118</v>
      </c>
      <c r="E4" s="46"/>
      <c r="F4" s="46" t="s">
        <v>123</v>
      </c>
      <c r="G4" s="46" t="s">
        <v>124</v>
      </c>
      <c r="H4" s="46" t="s">
        <v>62</v>
      </c>
      <c r="I4" s="46">
        <v>6</v>
      </c>
      <c r="J4" s="46" t="s">
        <v>125</v>
      </c>
    </row>
    <row r="5" spans="1:10" ht="28.8" x14ac:dyDescent="0.3">
      <c r="A5" s="47" t="s">
        <v>128</v>
      </c>
      <c r="B5" s="47" t="s">
        <v>127</v>
      </c>
      <c r="C5" s="47" t="s">
        <v>126</v>
      </c>
      <c r="D5" s="47" t="s">
        <v>118</v>
      </c>
      <c r="E5" s="47"/>
      <c r="F5" s="47" t="s">
        <v>129</v>
      </c>
      <c r="G5" s="47" t="s">
        <v>124</v>
      </c>
      <c r="H5" s="47" t="s">
        <v>62</v>
      </c>
      <c r="I5" s="47">
        <v>4</v>
      </c>
      <c r="J5" s="47" t="s">
        <v>130</v>
      </c>
    </row>
    <row r="6" spans="1:10" ht="28.8" x14ac:dyDescent="0.3">
      <c r="A6" s="46" t="s">
        <v>128</v>
      </c>
      <c r="B6" s="46" t="s">
        <v>127</v>
      </c>
      <c r="C6" s="46" t="s">
        <v>131</v>
      </c>
      <c r="D6" s="46" t="s">
        <v>118</v>
      </c>
      <c r="E6" s="46"/>
      <c r="F6" s="46" t="s">
        <v>129</v>
      </c>
      <c r="G6" s="46" t="s">
        <v>124</v>
      </c>
      <c r="H6" s="46" t="s">
        <v>62</v>
      </c>
      <c r="I6" s="46">
        <v>4</v>
      </c>
      <c r="J6" s="46" t="s">
        <v>130</v>
      </c>
    </row>
    <row r="7" spans="1:10" ht="43.2" x14ac:dyDescent="0.3">
      <c r="A7" s="47" t="s">
        <v>133</v>
      </c>
      <c r="B7" s="47" t="s">
        <v>132</v>
      </c>
      <c r="C7" s="47" t="s">
        <v>131</v>
      </c>
      <c r="D7" s="47" t="s">
        <v>118</v>
      </c>
      <c r="E7" s="47"/>
      <c r="F7" s="47" t="s">
        <v>129</v>
      </c>
      <c r="G7" s="47" t="s">
        <v>124</v>
      </c>
      <c r="H7" s="47" t="s">
        <v>62</v>
      </c>
      <c r="I7" s="47">
        <v>10</v>
      </c>
      <c r="J7" s="47" t="s">
        <v>134</v>
      </c>
    </row>
    <row r="8" spans="1:10" ht="28.8" x14ac:dyDescent="0.3">
      <c r="A8" s="46" t="s">
        <v>274</v>
      </c>
      <c r="B8" s="46" t="s">
        <v>132</v>
      </c>
      <c r="C8" s="46" t="s">
        <v>116</v>
      </c>
      <c r="D8" s="46"/>
      <c r="E8" s="46"/>
      <c r="F8" s="46" t="s">
        <v>123</v>
      </c>
      <c r="G8" s="46" t="s">
        <v>124</v>
      </c>
      <c r="H8" s="46" t="s">
        <v>62</v>
      </c>
      <c r="I8" s="46">
        <v>6</v>
      </c>
      <c r="J8" s="46" t="s">
        <v>125</v>
      </c>
    </row>
    <row r="9" spans="1:10" ht="28.8" x14ac:dyDescent="0.3">
      <c r="A9" s="47" t="s">
        <v>276</v>
      </c>
      <c r="B9" s="47" t="s">
        <v>136</v>
      </c>
      <c r="C9" s="47" t="s">
        <v>135</v>
      </c>
      <c r="D9" s="47"/>
      <c r="E9" s="47"/>
      <c r="F9" s="47" t="s">
        <v>123</v>
      </c>
      <c r="G9" s="47" t="s">
        <v>124</v>
      </c>
      <c r="H9" s="47" t="s">
        <v>62</v>
      </c>
      <c r="I9" s="47">
        <v>3</v>
      </c>
      <c r="J9" s="47" t="s">
        <v>137</v>
      </c>
    </row>
    <row r="10" spans="1:10" ht="43.2" x14ac:dyDescent="0.3">
      <c r="A10" s="46" t="s">
        <v>138</v>
      </c>
      <c r="B10" s="46" t="s">
        <v>136</v>
      </c>
      <c r="C10" s="46" t="s">
        <v>119</v>
      </c>
      <c r="D10" s="46"/>
      <c r="E10" s="46"/>
      <c r="F10" s="46" t="s">
        <v>129</v>
      </c>
      <c r="G10" s="46" t="s">
        <v>124</v>
      </c>
      <c r="H10" s="46" t="s">
        <v>62</v>
      </c>
      <c r="I10" s="46">
        <v>7</v>
      </c>
      <c r="J10" s="46" t="s">
        <v>134</v>
      </c>
    </row>
    <row r="11" spans="1:10" ht="28.8" x14ac:dyDescent="0.3">
      <c r="A11" s="47" t="s">
        <v>122</v>
      </c>
      <c r="B11" s="47" t="s">
        <v>136</v>
      </c>
      <c r="C11" s="47" t="s">
        <v>121</v>
      </c>
      <c r="D11" s="47"/>
      <c r="E11" s="47"/>
      <c r="F11" s="47"/>
      <c r="G11" s="47"/>
      <c r="H11" s="47" t="s">
        <v>62</v>
      </c>
      <c r="I11" s="47"/>
      <c r="J11" s="47" t="s">
        <v>125</v>
      </c>
    </row>
    <row r="12" spans="1:10" ht="28.8" x14ac:dyDescent="0.3">
      <c r="A12" s="46" t="s">
        <v>274</v>
      </c>
      <c r="B12" s="46" t="s">
        <v>139</v>
      </c>
      <c r="C12" s="46" t="s">
        <v>116</v>
      </c>
      <c r="D12" s="46"/>
      <c r="E12" s="46"/>
      <c r="F12" s="46"/>
      <c r="G12" s="46"/>
      <c r="H12" s="46"/>
      <c r="I12" s="46"/>
      <c r="J12" s="46"/>
    </row>
    <row r="13" spans="1:10" ht="28.8" x14ac:dyDescent="0.3">
      <c r="A13" s="47" t="s">
        <v>122</v>
      </c>
      <c r="B13" s="47" t="s">
        <v>140</v>
      </c>
      <c r="C13" s="47" t="s">
        <v>121</v>
      </c>
      <c r="D13" s="47"/>
      <c r="E13" s="47"/>
      <c r="F13" s="47"/>
      <c r="G13" s="47"/>
      <c r="H13" s="47" t="s">
        <v>62</v>
      </c>
      <c r="I13" s="47"/>
      <c r="J13" s="47" t="s">
        <v>125</v>
      </c>
    </row>
    <row r="14" spans="1:10" x14ac:dyDescent="0.3">
      <c r="A14" s="46" t="s">
        <v>275</v>
      </c>
      <c r="B14" s="46" t="s">
        <v>141</v>
      </c>
      <c r="C14" s="46" t="s">
        <v>135</v>
      </c>
      <c r="D14" s="46"/>
      <c r="E14" s="46"/>
      <c r="F14" s="46" t="s">
        <v>142</v>
      </c>
      <c r="G14" s="46" t="s">
        <v>124</v>
      </c>
      <c r="H14" s="46" t="s">
        <v>143</v>
      </c>
      <c r="I14" s="46">
        <v>0</v>
      </c>
      <c r="J14" s="46"/>
    </row>
    <row r="15" spans="1:10" ht="28.8" x14ac:dyDescent="0.3">
      <c r="A15" s="47" t="s">
        <v>279</v>
      </c>
      <c r="B15" s="47" t="s">
        <v>144</v>
      </c>
      <c r="C15" s="47" t="s">
        <v>119</v>
      </c>
      <c r="D15" s="47"/>
      <c r="E15" s="47"/>
      <c r="F15" s="47"/>
      <c r="G15" s="47"/>
      <c r="H15" s="47"/>
      <c r="I15" s="47"/>
      <c r="J15" s="47"/>
    </row>
    <row r="16" spans="1:10" ht="28.8" x14ac:dyDescent="0.3">
      <c r="A16" s="46" t="s">
        <v>274</v>
      </c>
      <c r="B16" s="46" t="s">
        <v>145</v>
      </c>
      <c r="C16" s="46" t="s">
        <v>116</v>
      </c>
      <c r="D16" s="46"/>
      <c r="E16" s="46"/>
      <c r="F16" s="46"/>
      <c r="G16" s="46"/>
      <c r="H16" s="46"/>
      <c r="I16" s="46"/>
      <c r="J16" s="46"/>
    </row>
    <row r="17" spans="1:10" ht="28.8" x14ac:dyDescent="0.3">
      <c r="A17" s="47" t="s">
        <v>128</v>
      </c>
      <c r="B17" s="47" t="s">
        <v>146</v>
      </c>
      <c r="C17" s="47" t="s">
        <v>131</v>
      </c>
      <c r="D17" s="47"/>
      <c r="E17" s="47"/>
      <c r="F17" s="47" t="s">
        <v>123</v>
      </c>
      <c r="G17" s="47" t="s">
        <v>124</v>
      </c>
      <c r="H17" s="48" t="s">
        <v>62</v>
      </c>
      <c r="I17" s="47">
        <v>1</v>
      </c>
      <c r="J17" s="47" t="s">
        <v>137</v>
      </c>
    </row>
    <row r="18" spans="1:10" x14ac:dyDescent="0.3">
      <c r="A18" s="46" t="s">
        <v>274</v>
      </c>
      <c r="B18" s="46" t="s">
        <v>147</v>
      </c>
      <c r="C18" s="46" t="s">
        <v>116</v>
      </c>
      <c r="D18" s="46"/>
      <c r="E18" s="46"/>
      <c r="F18" s="46"/>
      <c r="G18" s="46"/>
      <c r="H18" s="46"/>
      <c r="I18" s="46"/>
      <c r="J18" s="46"/>
    </row>
    <row r="19" spans="1:10" ht="28.8" x14ac:dyDescent="0.3">
      <c r="A19" s="47" t="s">
        <v>276</v>
      </c>
      <c r="B19" s="47" t="s">
        <v>148</v>
      </c>
      <c r="C19" s="47" t="s">
        <v>135</v>
      </c>
      <c r="D19" s="47"/>
      <c r="E19" s="47"/>
      <c r="F19" s="47" t="s">
        <v>142</v>
      </c>
      <c r="G19" s="47" t="s">
        <v>124</v>
      </c>
      <c r="H19" s="47" t="s">
        <v>62</v>
      </c>
      <c r="I19" s="47">
        <v>6</v>
      </c>
      <c r="J19" s="47" t="s">
        <v>149</v>
      </c>
    </row>
    <row r="20" spans="1:10" ht="28.8" x14ac:dyDescent="0.3">
      <c r="A20" s="47" t="s">
        <v>279</v>
      </c>
      <c r="B20" s="46" t="s">
        <v>148</v>
      </c>
      <c r="C20" s="46" t="s">
        <v>119</v>
      </c>
      <c r="D20" s="46"/>
      <c r="E20" s="46"/>
      <c r="F20" s="46" t="s">
        <v>150</v>
      </c>
      <c r="G20" s="46" t="s">
        <v>151</v>
      </c>
      <c r="H20" s="46"/>
      <c r="I20" s="46"/>
      <c r="J20" s="46"/>
    </row>
    <row r="21" spans="1:10" ht="28.8" x14ac:dyDescent="0.3">
      <c r="A21" s="47" t="s">
        <v>153</v>
      </c>
      <c r="B21" s="47" t="s">
        <v>148</v>
      </c>
      <c r="C21" s="47" t="s">
        <v>152</v>
      </c>
      <c r="D21" s="47"/>
      <c r="E21" s="47"/>
      <c r="F21" s="47"/>
      <c r="G21" s="47"/>
      <c r="H21" s="47"/>
      <c r="I21" s="47"/>
      <c r="J21" s="49"/>
    </row>
    <row r="22" spans="1:10" ht="28.8" x14ac:dyDescent="0.3">
      <c r="A22" s="46" t="s">
        <v>122</v>
      </c>
      <c r="B22" s="46" t="s">
        <v>154</v>
      </c>
      <c r="C22" s="46" t="s">
        <v>121</v>
      </c>
      <c r="D22" s="46"/>
      <c r="E22" s="46"/>
      <c r="F22" s="46" t="s">
        <v>123</v>
      </c>
      <c r="G22" s="46" t="s">
        <v>124</v>
      </c>
      <c r="H22" s="46" t="s">
        <v>62</v>
      </c>
      <c r="I22" s="46">
        <v>6</v>
      </c>
      <c r="J22" s="46" t="s">
        <v>125</v>
      </c>
    </row>
    <row r="23" spans="1:10" x14ac:dyDescent="0.3">
      <c r="A23" s="46" t="s">
        <v>275</v>
      </c>
      <c r="B23" s="47" t="s">
        <v>155</v>
      </c>
      <c r="C23" s="47" t="s">
        <v>135</v>
      </c>
      <c r="D23" s="47"/>
      <c r="E23" s="47"/>
      <c r="F23" s="47" t="s">
        <v>156</v>
      </c>
      <c r="G23" s="47" t="s">
        <v>124</v>
      </c>
      <c r="H23" s="47" t="s">
        <v>62</v>
      </c>
      <c r="I23" s="47">
        <v>7</v>
      </c>
      <c r="J23" s="47" t="s">
        <v>137</v>
      </c>
    </row>
    <row r="24" spans="1:10" ht="28.8" x14ac:dyDescent="0.3">
      <c r="A24" s="46" t="s">
        <v>138</v>
      </c>
      <c r="B24" s="46" t="s">
        <v>155</v>
      </c>
      <c r="C24" s="46" t="s">
        <v>119</v>
      </c>
      <c r="D24" s="46" t="s">
        <v>157</v>
      </c>
      <c r="E24" s="46"/>
      <c r="F24" s="50"/>
      <c r="G24" s="46"/>
      <c r="H24" s="46"/>
      <c r="I24" s="46"/>
      <c r="J24" s="49" t="s">
        <v>158</v>
      </c>
    </row>
    <row r="25" spans="1:10" ht="28.8" x14ac:dyDescent="0.3">
      <c r="A25" s="47" t="s">
        <v>153</v>
      </c>
      <c r="B25" s="47" t="s">
        <v>159</v>
      </c>
      <c r="C25" s="47" t="s">
        <v>152</v>
      </c>
      <c r="D25" s="47"/>
      <c r="E25" s="47"/>
      <c r="F25" s="47"/>
      <c r="G25" s="47"/>
      <c r="H25" s="47"/>
      <c r="I25" s="47"/>
      <c r="J25" s="47"/>
    </row>
    <row r="26" spans="1:10" ht="28.8" x14ac:dyDescent="0.3">
      <c r="A26" s="46" t="s">
        <v>133</v>
      </c>
      <c r="B26" s="46" t="s">
        <v>159</v>
      </c>
      <c r="C26" s="46" t="s">
        <v>131</v>
      </c>
      <c r="D26" s="46" t="s">
        <v>118</v>
      </c>
      <c r="E26" s="46"/>
      <c r="F26" s="46"/>
      <c r="G26" s="46"/>
      <c r="H26" s="46"/>
      <c r="I26" s="46"/>
      <c r="J26" s="46"/>
    </row>
    <row r="27" spans="1:10" ht="28.8" x14ac:dyDescent="0.3">
      <c r="A27" s="47" t="s">
        <v>279</v>
      </c>
      <c r="B27" s="47" t="s">
        <v>160</v>
      </c>
      <c r="C27" s="47" t="s">
        <v>119</v>
      </c>
      <c r="D27" s="47"/>
      <c r="E27" s="47"/>
      <c r="F27" s="47" t="s">
        <v>142</v>
      </c>
      <c r="G27" s="47" t="s">
        <v>124</v>
      </c>
      <c r="H27" s="47" t="s">
        <v>62</v>
      </c>
      <c r="I27" s="47">
        <v>8</v>
      </c>
      <c r="J27" s="47" t="s">
        <v>161</v>
      </c>
    </row>
    <row r="28" spans="1:10" ht="28.8" x14ac:dyDescent="0.3">
      <c r="A28" s="46" t="s">
        <v>274</v>
      </c>
      <c r="B28" s="46" t="s">
        <v>160</v>
      </c>
      <c r="C28" s="46" t="s">
        <v>116</v>
      </c>
      <c r="D28" s="46"/>
      <c r="E28" s="46"/>
      <c r="F28" s="46" t="s">
        <v>156</v>
      </c>
      <c r="G28" s="46" t="s">
        <v>124</v>
      </c>
      <c r="H28" s="46" t="s">
        <v>62</v>
      </c>
      <c r="I28" s="46">
        <v>4</v>
      </c>
      <c r="J28" s="46" t="s">
        <v>125</v>
      </c>
    </row>
    <row r="29" spans="1:10" ht="28.8" x14ac:dyDescent="0.3">
      <c r="A29" s="47" t="s">
        <v>153</v>
      </c>
      <c r="B29" s="47" t="s">
        <v>162</v>
      </c>
      <c r="C29" s="47" t="s">
        <v>152</v>
      </c>
      <c r="D29" s="47"/>
      <c r="E29" s="47"/>
      <c r="F29" s="47"/>
      <c r="G29" s="47"/>
      <c r="H29" s="47"/>
      <c r="I29" s="47"/>
      <c r="J29" s="47"/>
    </row>
    <row r="30" spans="1:10" ht="28.8" x14ac:dyDescent="0.3">
      <c r="A30" s="46" t="s">
        <v>128</v>
      </c>
      <c r="B30" s="46" t="s">
        <v>162</v>
      </c>
      <c r="C30" s="46" t="s">
        <v>131</v>
      </c>
      <c r="D30" s="46" t="s">
        <v>118</v>
      </c>
      <c r="E30" s="46"/>
      <c r="F30" s="46" t="s">
        <v>129</v>
      </c>
      <c r="G30" s="46" t="s">
        <v>124</v>
      </c>
      <c r="H30" s="46" t="s">
        <v>62</v>
      </c>
      <c r="I30" s="46">
        <v>4</v>
      </c>
      <c r="J30" s="46" t="s">
        <v>130</v>
      </c>
    </row>
    <row r="31" spans="1:10" ht="28.8" x14ac:dyDescent="0.3">
      <c r="A31" s="46" t="s">
        <v>274</v>
      </c>
      <c r="B31" s="47" t="s">
        <v>162</v>
      </c>
      <c r="C31" s="47" t="s">
        <v>116</v>
      </c>
      <c r="D31" s="47"/>
      <c r="E31" s="47"/>
      <c r="F31" s="47" t="s">
        <v>163</v>
      </c>
      <c r="G31" s="47" t="s">
        <v>124</v>
      </c>
      <c r="H31" s="47" t="s">
        <v>143</v>
      </c>
      <c r="I31" s="47">
        <v>0</v>
      </c>
      <c r="J31" s="47"/>
    </row>
    <row r="32" spans="1:10" ht="28.8" x14ac:dyDescent="0.3">
      <c r="A32" s="47" t="s">
        <v>276</v>
      </c>
      <c r="B32" s="46" t="s">
        <v>164</v>
      </c>
      <c r="C32" s="46" t="s">
        <v>135</v>
      </c>
      <c r="D32" s="46"/>
      <c r="E32" s="46"/>
      <c r="F32" s="46"/>
      <c r="G32" s="46"/>
      <c r="H32" s="46"/>
      <c r="I32" s="46"/>
      <c r="J32" s="46"/>
    </row>
    <row r="33" spans="1:10" ht="28.8" x14ac:dyDescent="0.3">
      <c r="A33" s="47" t="s">
        <v>279</v>
      </c>
      <c r="B33" s="47" t="s">
        <v>164</v>
      </c>
      <c r="C33" s="47" t="s">
        <v>119</v>
      </c>
      <c r="D33" s="47"/>
      <c r="E33" s="47"/>
      <c r="F33" s="47" t="s">
        <v>165</v>
      </c>
      <c r="G33" s="47" t="s">
        <v>166</v>
      </c>
      <c r="H33" s="47"/>
      <c r="I33" s="47"/>
      <c r="J33" s="47"/>
    </row>
    <row r="34" spans="1:10" ht="28.8" x14ac:dyDescent="0.3">
      <c r="A34" s="46" t="s">
        <v>122</v>
      </c>
      <c r="B34" s="46" t="s">
        <v>164</v>
      </c>
      <c r="C34" s="46" t="s">
        <v>121</v>
      </c>
      <c r="D34" s="46"/>
      <c r="E34" s="46"/>
      <c r="F34" s="46" t="s">
        <v>167</v>
      </c>
      <c r="G34" s="46"/>
      <c r="H34" s="46" t="s">
        <v>62</v>
      </c>
      <c r="I34" s="46"/>
      <c r="J34" s="46" t="s">
        <v>168</v>
      </c>
    </row>
    <row r="35" spans="1:10" ht="28.8" x14ac:dyDescent="0.3">
      <c r="A35" s="47" t="s">
        <v>133</v>
      </c>
      <c r="B35" s="47" t="s">
        <v>164</v>
      </c>
      <c r="C35" s="47" t="s">
        <v>131</v>
      </c>
      <c r="D35" s="47" t="s">
        <v>118</v>
      </c>
      <c r="E35" s="47"/>
      <c r="F35" s="47" t="s">
        <v>129</v>
      </c>
      <c r="G35" s="47" t="s">
        <v>124</v>
      </c>
      <c r="H35" s="47" t="s">
        <v>62</v>
      </c>
      <c r="I35" s="47">
        <v>4</v>
      </c>
      <c r="J35" s="47" t="s">
        <v>130</v>
      </c>
    </row>
    <row r="36" spans="1:10" ht="28.8" x14ac:dyDescent="0.3">
      <c r="A36" s="46" t="s">
        <v>153</v>
      </c>
      <c r="B36" s="46" t="s">
        <v>169</v>
      </c>
      <c r="C36" s="46" t="s">
        <v>152</v>
      </c>
      <c r="D36" s="46"/>
      <c r="E36" s="46"/>
      <c r="F36" s="46"/>
      <c r="G36" s="46"/>
      <c r="H36" s="46"/>
      <c r="I36" s="46"/>
      <c r="J36" s="46"/>
    </row>
    <row r="37" spans="1:10" ht="28.8" x14ac:dyDescent="0.3">
      <c r="A37" s="46" t="s">
        <v>275</v>
      </c>
      <c r="B37" s="47" t="s">
        <v>170</v>
      </c>
      <c r="C37" s="47" t="s">
        <v>135</v>
      </c>
      <c r="D37" s="47"/>
      <c r="E37" s="47"/>
      <c r="F37" s="47" t="s">
        <v>171</v>
      </c>
      <c r="G37" s="47" t="s">
        <v>166</v>
      </c>
      <c r="H37" s="47"/>
      <c r="I37" s="47"/>
      <c r="J37" s="47"/>
    </row>
    <row r="38" spans="1:10" ht="28.8" x14ac:dyDescent="0.3">
      <c r="A38" s="47" t="s">
        <v>279</v>
      </c>
      <c r="B38" s="46" t="s">
        <v>170</v>
      </c>
      <c r="C38" s="46" t="s">
        <v>119</v>
      </c>
      <c r="D38" s="46"/>
      <c r="E38" s="46"/>
      <c r="F38" s="46" t="s">
        <v>165</v>
      </c>
      <c r="G38" s="46" t="s">
        <v>166</v>
      </c>
      <c r="H38" s="46"/>
      <c r="I38" s="46"/>
      <c r="J38" s="46"/>
    </row>
    <row r="39" spans="1:10" ht="28.8" x14ac:dyDescent="0.3">
      <c r="A39" s="47" t="s">
        <v>279</v>
      </c>
      <c r="B39" s="47" t="s">
        <v>170</v>
      </c>
      <c r="C39" s="47" t="s">
        <v>119</v>
      </c>
      <c r="D39" s="47"/>
      <c r="E39" s="47"/>
      <c r="F39" s="47" t="s">
        <v>142</v>
      </c>
      <c r="G39" s="47" t="s">
        <v>124</v>
      </c>
      <c r="H39" s="47" t="s">
        <v>62</v>
      </c>
      <c r="I39" s="47">
        <v>9</v>
      </c>
      <c r="J39" s="47" t="s">
        <v>172</v>
      </c>
    </row>
    <row r="40" spans="1:10" ht="28.8" x14ac:dyDescent="0.3">
      <c r="A40" s="47" t="s">
        <v>279</v>
      </c>
      <c r="B40" s="46" t="s">
        <v>173</v>
      </c>
      <c r="C40" s="46" t="s">
        <v>119</v>
      </c>
      <c r="D40" s="46"/>
      <c r="E40" s="46"/>
      <c r="F40" s="46" t="s">
        <v>174</v>
      </c>
      <c r="G40" s="46" t="s">
        <v>166</v>
      </c>
      <c r="H40" s="46"/>
      <c r="I40" s="46"/>
      <c r="J40" s="46"/>
    </row>
    <row r="41" spans="1:10" ht="28.8" x14ac:dyDescent="0.3">
      <c r="A41" s="47" t="s">
        <v>153</v>
      </c>
      <c r="B41" s="47" t="s">
        <v>173</v>
      </c>
      <c r="C41" s="47" t="s">
        <v>152</v>
      </c>
      <c r="D41" s="47"/>
      <c r="E41" s="47"/>
      <c r="F41" s="47"/>
      <c r="G41" s="47"/>
      <c r="H41" s="47"/>
      <c r="I41" s="47"/>
      <c r="J41" s="47"/>
    </row>
    <row r="42" spans="1:10" ht="28.8" x14ac:dyDescent="0.3">
      <c r="A42" s="46" t="s">
        <v>133</v>
      </c>
      <c r="B42" s="46" t="s">
        <v>173</v>
      </c>
      <c r="C42" s="46" t="s">
        <v>131</v>
      </c>
      <c r="D42" s="46"/>
      <c r="E42" s="46"/>
      <c r="F42" s="46"/>
      <c r="G42" s="46"/>
      <c r="H42" s="46"/>
      <c r="I42" s="46"/>
      <c r="J42" s="46"/>
    </row>
    <row r="43" spans="1:10" ht="28.8" x14ac:dyDescent="0.3">
      <c r="A43" s="46" t="s">
        <v>274</v>
      </c>
      <c r="B43" s="47" t="s">
        <v>175</v>
      </c>
      <c r="C43" s="47" t="s">
        <v>116</v>
      </c>
      <c r="D43" s="47"/>
      <c r="E43" s="47"/>
      <c r="F43" s="47"/>
      <c r="G43" s="47"/>
      <c r="H43" s="47"/>
      <c r="I43" s="47"/>
      <c r="J43" s="47"/>
    </row>
    <row r="44" spans="1:10" ht="28.8" x14ac:dyDescent="0.3">
      <c r="A44" s="46" t="s">
        <v>153</v>
      </c>
      <c r="B44" s="46" t="s">
        <v>176</v>
      </c>
      <c r="C44" s="46" t="s">
        <v>152</v>
      </c>
      <c r="D44" s="46"/>
      <c r="E44" s="46"/>
      <c r="F44" s="46"/>
      <c r="G44" s="46"/>
      <c r="H44" s="46"/>
      <c r="I44" s="46"/>
      <c r="J44" s="46"/>
    </row>
    <row r="45" spans="1:10" x14ac:dyDescent="0.3">
      <c r="A45" s="47" t="s">
        <v>279</v>
      </c>
      <c r="B45" s="47" t="s">
        <v>177</v>
      </c>
      <c r="C45" s="47" t="s">
        <v>119</v>
      </c>
      <c r="D45" s="47"/>
      <c r="E45" s="47"/>
      <c r="F45" s="47"/>
      <c r="G45" s="47" t="s">
        <v>124</v>
      </c>
      <c r="H45" s="47"/>
      <c r="I45" s="47"/>
      <c r="J45" s="47"/>
    </row>
    <row r="46" spans="1:10" x14ac:dyDescent="0.3">
      <c r="A46" s="46" t="s">
        <v>274</v>
      </c>
      <c r="B46" s="46" t="s">
        <v>177</v>
      </c>
      <c r="C46" s="46" t="s">
        <v>116</v>
      </c>
      <c r="D46" s="46"/>
      <c r="E46" s="46"/>
      <c r="F46" s="46" t="s">
        <v>123</v>
      </c>
      <c r="G46" s="46" t="s">
        <v>124</v>
      </c>
      <c r="H46" s="46" t="s">
        <v>143</v>
      </c>
      <c r="I46" s="46">
        <v>0</v>
      </c>
      <c r="J46" s="46" t="s">
        <v>178</v>
      </c>
    </row>
    <row r="47" spans="1:10" x14ac:dyDescent="0.3">
      <c r="A47" s="47" t="s">
        <v>276</v>
      </c>
      <c r="B47" s="47" t="s">
        <v>179</v>
      </c>
      <c r="C47" s="47" t="s">
        <v>135</v>
      </c>
      <c r="D47" s="47"/>
      <c r="E47" s="47"/>
      <c r="F47" s="47" t="s">
        <v>123</v>
      </c>
      <c r="G47" s="47" t="s">
        <v>124</v>
      </c>
      <c r="H47" s="47" t="s">
        <v>143</v>
      </c>
      <c r="I47" s="47">
        <v>0</v>
      </c>
      <c r="J47" s="47" t="s">
        <v>178</v>
      </c>
    </row>
    <row r="48" spans="1:10" x14ac:dyDescent="0.3">
      <c r="A48" s="46" t="s">
        <v>153</v>
      </c>
      <c r="B48" s="46" t="s">
        <v>179</v>
      </c>
      <c r="C48" s="46" t="s">
        <v>152</v>
      </c>
      <c r="D48" s="46"/>
      <c r="E48" s="46"/>
      <c r="F48" s="46"/>
      <c r="G48" s="46"/>
      <c r="H48" s="46"/>
      <c r="I48" s="46"/>
      <c r="J48" s="46"/>
    </row>
    <row r="49" spans="1:10" ht="28.8" x14ac:dyDescent="0.3">
      <c r="A49" s="47" t="s">
        <v>133</v>
      </c>
      <c r="B49" s="47" t="s">
        <v>179</v>
      </c>
      <c r="C49" s="47" t="s">
        <v>131</v>
      </c>
      <c r="D49" s="47" t="s">
        <v>157</v>
      </c>
      <c r="E49" s="47"/>
      <c r="F49" s="47" t="s">
        <v>129</v>
      </c>
      <c r="G49" s="47" t="s">
        <v>124</v>
      </c>
      <c r="H49" s="47" t="s">
        <v>143</v>
      </c>
      <c r="I49" s="47"/>
      <c r="J49" s="47" t="s">
        <v>180</v>
      </c>
    </row>
    <row r="50" spans="1:10" ht="28.8" x14ac:dyDescent="0.3">
      <c r="A50" s="46" t="s">
        <v>275</v>
      </c>
      <c r="B50" s="46" t="s">
        <v>181</v>
      </c>
      <c r="C50" s="46" t="s">
        <v>135</v>
      </c>
      <c r="D50" s="46"/>
      <c r="E50" s="46"/>
      <c r="F50" s="46" t="s">
        <v>123</v>
      </c>
      <c r="G50" s="46" t="s">
        <v>124</v>
      </c>
      <c r="H50" s="46" t="s">
        <v>62</v>
      </c>
      <c r="I50" s="46">
        <v>17</v>
      </c>
      <c r="J50" s="46" t="s">
        <v>182</v>
      </c>
    </row>
    <row r="51" spans="1:10" ht="28.8" x14ac:dyDescent="0.3">
      <c r="A51" s="47" t="s">
        <v>138</v>
      </c>
      <c r="B51" s="47" t="s">
        <v>181</v>
      </c>
      <c r="C51" s="47" t="s">
        <v>119</v>
      </c>
      <c r="D51" s="47"/>
      <c r="E51" s="47"/>
      <c r="F51" s="47" t="s">
        <v>142</v>
      </c>
      <c r="G51" s="47" t="s">
        <v>124</v>
      </c>
      <c r="H51" s="47" t="s">
        <v>62</v>
      </c>
      <c r="I51" s="47">
        <v>18</v>
      </c>
      <c r="J51" s="47" t="s">
        <v>183</v>
      </c>
    </row>
    <row r="52" spans="1:10" ht="28.8" x14ac:dyDescent="0.3">
      <c r="A52" s="46" t="s">
        <v>122</v>
      </c>
      <c r="B52" s="46" t="s">
        <v>184</v>
      </c>
      <c r="C52" s="46" t="s">
        <v>121</v>
      </c>
      <c r="D52" s="46"/>
      <c r="E52" s="46"/>
      <c r="F52" s="46" t="s">
        <v>185</v>
      </c>
      <c r="G52" s="46" t="s">
        <v>124</v>
      </c>
      <c r="H52" s="46" t="s">
        <v>62</v>
      </c>
      <c r="I52" s="46">
        <v>0</v>
      </c>
      <c r="J52" s="46" t="s">
        <v>186</v>
      </c>
    </row>
    <row r="53" spans="1:10" ht="28.8" x14ac:dyDescent="0.3">
      <c r="A53" s="47" t="s">
        <v>279</v>
      </c>
      <c r="B53" s="47" t="s">
        <v>187</v>
      </c>
      <c r="C53" s="47" t="s">
        <v>119</v>
      </c>
      <c r="D53" s="47"/>
      <c r="E53" s="47"/>
      <c r="F53" s="47"/>
      <c r="G53" s="47"/>
      <c r="H53" s="47"/>
      <c r="I53" s="47"/>
      <c r="J53" s="47"/>
    </row>
    <row r="54" spans="1:10" ht="28.8" x14ac:dyDescent="0.3">
      <c r="A54" s="46" t="s">
        <v>274</v>
      </c>
      <c r="B54" s="46" t="s">
        <v>187</v>
      </c>
      <c r="C54" s="46" t="s">
        <v>116</v>
      </c>
      <c r="D54" s="46"/>
      <c r="E54" s="46"/>
      <c r="F54" s="46" t="s">
        <v>123</v>
      </c>
      <c r="G54" s="46" t="s">
        <v>124</v>
      </c>
      <c r="H54" s="46" t="s">
        <v>62</v>
      </c>
      <c r="I54" s="46">
        <v>11</v>
      </c>
      <c r="J54" s="46" t="s">
        <v>188</v>
      </c>
    </row>
    <row r="55" spans="1:10" ht="28.8" x14ac:dyDescent="0.3">
      <c r="A55" s="47" t="s">
        <v>153</v>
      </c>
      <c r="B55" s="47" t="s">
        <v>189</v>
      </c>
      <c r="C55" s="47" t="s">
        <v>152</v>
      </c>
      <c r="D55" s="47"/>
      <c r="E55" s="47"/>
      <c r="F55" s="47"/>
      <c r="G55" s="47"/>
      <c r="H55" s="47"/>
      <c r="I55" s="47"/>
      <c r="J55" s="47"/>
    </row>
    <row r="56" spans="1:10" ht="28.8" x14ac:dyDescent="0.3">
      <c r="A56" s="46" t="s">
        <v>153</v>
      </c>
      <c r="B56" s="46" t="s">
        <v>190</v>
      </c>
      <c r="C56" s="46" t="s">
        <v>152</v>
      </c>
      <c r="D56" s="46"/>
      <c r="E56" s="46"/>
      <c r="F56" s="46" t="s">
        <v>129</v>
      </c>
      <c r="G56" s="46" t="s">
        <v>124</v>
      </c>
      <c r="H56" s="46" t="s">
        <v>62</v>
      </c>
      <c r="I56" s="46">
        <v>38</v>
      </c>
      <c r="J56" s="46" t="s">
        <v>191</v>
      </c>
    </row>
    <row r="57" spans="1:10" ht="28.8" x14ac:dyDescent="0.3">
      <c r="A57" s="47" t="s">
        <v>276</v>
      </c>
      <c r="B57" s="47" t="s">
        <v>192</v>
      </c>
      <c r="C57" s="47" t="s">
        <v>135</v>
      </c>
      <c r="D57" s="47"/>
      <c r="E57" s="47"/>
      <c r="F57" s="47" t="s">
        <v>123</v>
      </c>
      <c r="G57" s="47" t="s">
        <v>124</v>
      </c>
      <c r="H57" s="47" t="s">
        <v>62</v>
      </c>
      <c r="I57" s="47">
        <v>11</v>
      </c>
      <c r="J57" s="47" t="s">
        <v>193</v>
      </c>
    </row>
    <row r="58" spans="1:10" x14ac:dyDescent="0.3">
      <c r="A58" s="46" t="s">
        <v>153</v>
      </c>
      <c r="B58" s="46" t="s">
        <v>192</v>
      </c>
      <c r="C58" s="46" t="s">
        <v>152</v>
      </c>
      <c r="D58" s="46"/>
      <c r="E58" s="46"/>
      <c r="F58" s="46"/>
      <c r="G58" s="46"/>
      <c r="H58" s="46"/>
      <c r="I58" s="46"/>
      <c r="J58" s="46"/>
    </row>
    <row r="59" spans="1:10" ht="28.8" x14ac:dyDescent="0.3">
      <c r="A59" s="46" t="s">
        <v>274</v>
      </c>
      <c r="B59" s="47" t="s">
        <v>192</v>
      </c>
      <c r="C59" s="47" t="s">
        <v>116</v>
      </c>
      <c r="D59" s="47"/>
      <c r="E59" s="47"/>
      <c r="F59" s="47" t="s">
        <v>129</v>
      </c>
      <c r="G59" s="47" t="s">
        <v>124</v>
      </c>
      <c r="H59" s="47" t="s">
        <v>62</v>
      </c>
      <c r="I59" s="47">
        <v>9</v>
      </c>
      <c r="J59" s="47" t="s">
        <v>191</v>
      </c>
    </row>
    <row r="60" spans="1:10" ht="28.8" x14ac:dyDescent="0.3">
      <c r="A60" s="46" t="s">
        <v>138</v>
      </c>
      <c r="B60" s="46" t="s">
        <v>194</v>
      </c>
      <c r="C60" s="46" t="s">
        <v>119</v>
      </c>
      <c r="D60" s="46"/>
      <c r="E60" s="46"/>
      <c r="F60" s="46"/>
      <c r="G60" s="46"/>
      <c r="H60" s="46"/>
      <c r="I60" s="46"/>
      <c r="J60" s="46"/>
    </row>
    <row r="61" spans="1:10" ht="28.8" x14ac:dyDescent="0.3">
      <c r="A61" s="47" t="s">
        <v>279</v>
      </c>
      <c r="B61" s="47" t="s">
        <v>194</v>
      </c>
      <c r="C61" s="47" t="s">
        <v>131</v>
      </c>
      <c r="D61" s="47"/>
      <c r="E61" s="47"/>
      <c r="F61" s="47" t="s">
        <v>195</v>
      </c>
      <c r="G61" s="47" t="s">
        <v>124</v>
      </c>
      <c r="H61" s="47"/>
      <c r="I61" s="47"/>
      <c r="J61" s="47"/>
    </row>
    <row r="62" spans="1:10" ht="28.8" x14ac:dyDescent="0.3">
      <c r="A62" s="46" t="s">
        <v>122</v>
      </c>
      <c r="B62" s="46" t="s">
        <v>196</v>
      </c>
      <c r="C62" s="46" t="s">
        <v>121</v>
      </c>
      <c r="D62" s="46"/>
      <c r="E62" s="46"/>
      <c r="F62" s="46" t="s">
        <v>123</v>
      </c>
      <c r="G62" s="46" t="s">
        <v>124</v>
      </c>
      <c r="H62" s="46" t="s">
        <v>62</v>
      </c>
      <c r="I62" s="46">
        <v>8</v>
      </c>
      <c r="J62" s="51" t="s">
        <v>197</v>
      </c>
    </row>
    <row r="63" spans="1:10" ht="43.2" x14ac:dyDescent="0.3">
      <c r="A63" s="46" t="s">
        <v>275</v>
      </c>
      <c r="B63" s="47" t="s">
        <v>198</v>
      </c>
      <c r="C63" s="47" t="s">
        <v>135</v>
      </c>
      <c r="D63" s="47"/>
      <c r="E63" s="47"/>
      <c r="F63" s="47" t="s">
        <v>129</v>
      </c>
      <c r="G63" s="47" t="s">
        <v>124</v>
      </c>
      <c r="H63" s="47" t="s">
        <v>62</v>
      </c>
      <c r="I63" s="47">
        <v>11</v>
      </c>
      <c r="J63" s="47" t="s">
        <v>199</v>
      </c>
    </row>
    <row r="64" spans="1:10" ht="28.8" x14ac:dyDescent="0.3">
      <c r="A64" s="47" t="s">
        <v>279</v>
      </c>
      <c r="B64" s="46" t="s">
        <v>198</v>
      </c>
      <c r="C64" s="46" t="s">
        <v>119</v>
      </c>
      <c r="D64" s="46"/>
      <c r="E64" s="46"/>
      <c r="F64" s="46" t="s">
        <v>123</v>
      </c>
      <c r="G64" s="46" t="s">
        <v>124</v>
      </c>
      <c r="H64" s="46" t="s">
        <v>143</v>
      </c>
      <c r="I64" s="46">
        <v>0</v>
      </c>
      <c r="J64" s="46" t="s">
        <v>200</v>
      </c>
    </row>
    <row r="65" spans="1:10" ht="28.8" x14ac:dyDescent="0.3">
      <c r="A65" s="47" t="s">
        <v>153</v>
      </c>
      <c r="B65" s="47" t="s">
        <v>198</v>
      </c>
      <c r="C65" s="47" t="s">
        <v>152</v>
      </c>
      <c r="D65" s="47"/>
      <c r="E65" s="47"/>
      <c r="F65" s="47"/>
      <c r="G65" s="47"/>
      <c r="H65" s="47"/>
      <c r="I65" s="47"/>
      <c r="J65" s="47"/>
    </row>
    <row r="66" spans="1:10" ht="28.8" x14ac:dyDescent="0.3">
      <c r="A66" s="46" t="s">
        <v>274</v>
      </c>
      <c r="B66" s="46" t="s">
        <v>201</v>
      </c>
      <c r="C66" s="46" t="s">
        <v>116</v>
      </c>
      <c r="D66" s="46"/>
      <c r="E66" s="46"/>
      <c r="F66" s="46" t="s">
        <v>195</v>
      </c>
      <c r="G66" s="46" t="s">
        <v>124</v>
      </c>
      <c r="H66" s="46" t="s">
        <v>62</v>
      </c>
      <c r="I66" s="46">
        <v>17</v>
      </c>
      <c r="J66" s="46" t="s">
        <v>202</v>
      </c>
    </row>
    <row r="67" spans="1:10" x14ac:dyDescent="0.3">
      <c r="A67" s="47" t="s">
        <v>153</v>
      </c>
      <c r="B67" s="47" t="s">
        <v>203</v>
      </c>
      <c r="C67" s="47" t="s">
        <v>152</v>
      </c>
      <c r="D67" s="47"/>
      <c r="E67" s="47"/>
      <c r="F67" s="47" t="s">
        <v>142</v>
      </c>
      <c r="G67" s="47" t="s">
        <v>124</v>
      </c>
      <c r="H67" s="47"/>
      <c r="I67" s="47"/>
      <c r="J67" s="47"/>
    </row>
    <row r="68" spans="1:10" ht="28.8" x14ac:dyDescent="0.3">
      <c r="A68" s="46" t="s">
        <v>128</v>
      </c>
      <c r="B68" s="46" t="s">
        <v>204</v>
      </c>
      <c r="C68" s="46" t="s">
        <v>126</v>
      </c>
      <c r="D68" s="46"/>
      <c r="E68" s="46"/>
      <c r="F68" s="46" t="s">
        <v>195</v>
      </c>
      <c r="G68" s="46" t="s">
        <v>124</v>
      </c>
      <c r="H68" s="46"/>
      <c r="I68" s="46">
        <v>12</v>
      </c>
      <c r="J68" s="46" t="s">
        <v>205</v>
      </c>
    </row>
    <row r="69" spans="1:10" ht="28.8" x14ac:dyDescent="0.3">
      <c r="A69" s="47" t="s">
        <v>279</v>
      </c>
      <c r="B69" s="47" t="s">
        <v>206</v>
      </c>
      <c r="C69" s="47" t="s">
        <v>119</v>
      </c>
      <c r="D69" s="47"/>
      <c r="E69" s="47"/>
      <c r="F69" s="47" t="s">
        <v>142</v>
      </c>
      <c r="G69" s="47" t="s">
        <v>124</v>
      </c>
      <c r="H69" s="47" t="s">
        <v>207</v>
      </c>
      <c r="I69" s="47">
        <v>7</v>
      </c>
      <c r="J69" s="47"/>
    </row>
    <row r="70" spans="1:10" ht="28.8" x14ac:dyDescent="0.3">
      <c r="A70" s="46" t="s">
        <v>153</v>
      </c>
      <c r="B70" s="46" t="s">
        <v>206</v>
      </c>
      <c r="C70" s="46" t="s">
        <v>152</v>
      </c>
      <c r="D70" s="46"/>
      <c r="E70" s="46"/>
      <c r="F70" s="46" t="s">
        <v>142</v>
      </c>
      <c r="G70" s="46" t="s">
        <v>124</v>
      </c>
      <c r="H70" s="46" t="s">
        <v>207</v>
      </c>
      <c r="I70" s="46">
        <v>18</v>
      </c>
      <c r="J70" s="46"/>
    </row>
    <row r="71" spans="1:10" ht="28.8" x14ac:dyDescent="0.3">
      <c r="A71" s="47" t="s">
        <v>122</v>
      </c>
      <c r="B71" s="47" t="s">
        <v>206</v>
      </c>
      <c r="C71" s="47" t="s">
        <v>121</v>
      </c>
      <c r="D71" s="47"/>
      <c r="E71" s="47"/>
      <c r="F71" s="47"/>
      <c r="G71" s="47"/>
      <c r="H71" s="47"/>
      <c r="I71" s="47"/>
      <c r="J71" s="47"/>
    </row>
    <row r="72" spans="1:10" x14ac:dyDescent="0.3">
      <c r="A72" s="46" t="s">
        <v>280</v>
      </c>
      <c r="B72" s="46" t="s">
        <v>208</v>
      </c>
      <c r="C72" s="46" t="s">
        <v>119</v>
      </c>
      <c r="D72" s="46"/>
      <c r="E72" s="46"/>
      <c r="F72" s="46" t="s">
        <v>142</v>
      </c>
      <c r="G72" s="46" t="s">
        <v>124</v>
      </c>
      <c r="H72" s="46" t="s">
        <v>207</v>
      </c>
      <c r="I72" s="46">
        <v>3</v>
      </c>
      <c r="J72" s="46"/>
    </row>
    <row r="73" spans="1:10" x14ac:dyDescent="0.3">
      <c r="A73" s="47" t="s">
        <v>122</v>
      </c>
      <c r="B73" s="47" t="s">
        <v>209</v>
      </c>
      <c r="C73" s="47" t="s">
        <v>121</v>
      </c>
      <c r="D73" s="47"/>
      <c r="E73" s="47"/>
      <c r="F73" s="47"/>
      <c r="G73" s="47"/>
      <c r="H73" s="47"/>
      <c r="I73" s="47"/>
      <c r="J73" s="47"/>
    </row>
    <row r="74" spans="1:10" x14ac:dyDescent="0.3">
      <c r="A74" s="46" t="s">
        <v>274</v>
      </c>
      <c r="B74" s="46" t="s">
        <v>210</v>
      </c>
      <c r="C74" s="46" t="s">
        <v>116</v>
      </c>
      <c r="D74" s="46"/>
      <c r="E74" s="46"/>
      <c r="F74" s="46"/>
      <c r="G74" s="46"/>
      <c r="H74" s="46"/>
      <c r="I74" s="46"/>
      <c r="J74" s="46"/>
    </row>
    <row r="75" spans="1:10" x14ac:dyDescent="0.3">
      <c r="A75" s="47" t="s">
        <v>138</v>
      </c>
      <c r="B75" s="47" t="s">
        <v>211</v>
      </c>
      <c r="C75" s="47" t="s">
        <v>126</v>
      </c>
      <c r="D75" s="47"/>
      <c r="E75" s="47"/>
      <c r="F75" s="47"/>
      <c r="G75" s="47"/>
      <c r="H75" s="47"/>
      <c r="I75" s="47"/>
      <c r="J75" s="47"/>
    </row>
    <row r="76" spans="1:10" x14ac:dyDescent="0.3">
      <c r="A76" s="46" t="s">
        <v>153</v>
      </c>
      <c r="B76" s="46" t="s">
        <v>211</v>
      </c>
      <c r="C76" s="46" t="s">
        <v>152</v>
      </c>
      <c r="D76" s="46"/>
      <c r="E76" s="46"/>
      <c r="F76" s="46"/>
      <c r="G76" s="46"/>
      <c r="H76" s="46"/>
      <c r="I76" s="46"/>
      <c r="J76" s="46"/>
    </row>
    <row r="77" spans="1:10" ht="28.8" x14ac:dyDescent="0.3">
      <c r="A77" s="47" t="s">
        <v>122</v>
      </c>
      <c r="B77" s="47" t="s">
        <v>211</v>
      </c>
      <c r="C77" s="47" t="s">
        <v>121</v>
      </c>
      <c r="D77" s="47"/>
      <c r="E77" s="47"/>
      <c r="F77" s="47"/>
      <c r="G77" s="47"/>
      <c r="H77" s="47"/>
      <c r="I77" s="47"/>
      <c r="J77" s="47" t="s">
        <v>212</v>
      </c>
    </row>
    <row r="78" spans="1:10" ht="28.8" x14ac:dyDescent="0.3">
      <c r="A78" s="46" t="s">
        <v>274</v>
      </c>
      <c r="B78" s="46" t="s">
        <v>213</v>
      </c>
      <c r="C78" s="46" t="s">
        <v>116</v>
      </c>
      <c r="D78" s="46"/>
      <c r="E78" s="46"/>
      <c r="F78" s="46" t="s">
        <v>156</v>
      </c>
      <c r="G78" s="46" t="s">
        <v>124</v>
      </c>
      <c r="H78" s="46" t="s">
        <v>214</v>
      </c>
      <c r="I78" s="46">
        <v>0</v>
      </c>
      <c r="J78" s="46"/>
    </row>
    <row r="79" spans="1:10" x14ac:dyDescent="0.3">
      <c r="A79" s="47" t="s">
        <v>138</v>
      </c>
      <c r="B79" s="47" t="s">
        <v>215</v>
      </c>
      <c r="C79" s="47" t="s">
        <v>119</v>
      </c>
      <c r="D79" s="47"/>
      <c r="E79" s="47"/>
      <c r="F79" s="47"/>
      <c r="G79" s="47"/>
      <c r="H79" s="47"/>
      <c r="I79" s="47"/>
      <c r="J79" s="47"/>
    </row>
    <row r="80" spans="1:10" x14ac:dyDescent="0.3">
      <c r="A80" s="46" t="s">
        <v>128</v>
      </c>
      <c r="B80" s="46" t="s">
        <v>215</v>
      </c>
      <c r="C80" s="46" t="s">
        <v>126</v>
      </c>
      <c r="D80" s="46"/>
      <c r="E80" s="46"/>
      <c r="F80" s="46" t="s">
        <v>156</v>
      </c>
      <c r="G80" s="46" t="s">
        <v>124</v>
      </c>
      <c r="H80" s="46" t="s">
        <v>214</v>
      </c>
      <c r="I80" s="46">
        <v>0</v>
      </c>
      <c r="J80" s="46"/>
    </row>
    <row r="81" spans="1:10" x14ac:dyDescent="0.3">
      <c r="A81" s="47" t="s">
        <v>153</v>
      </c>
      <c r="B81" s="47" t="s">
        <v>215</v>
      </c>
      <c r="C81" s="47" t="s">
        <v>152</v>
      </c>
      <c r="D81" s="47"/>
      <c r="E81" s="47"/>
      <c r="F81" s="47" t="s">
        <v>126</v>
      </c>
      <c r="G81" s="47"/>
      <c r="H81" s="47"/>
      <c r="I81" s="47"/>
      <c r="J81" s="47"/>
    </row>
    <row r="82" spans="1:10" x14ac:dyDescent="0.3">
      <c r="A82" s="47" t="s">
        <v>279</v>
      </c>
      <c r="B82" s="46" t="s">
        <v>216</v>
      </c>
      <c r="C82" s="46" t="s">
        <v>119</v>
      </c>
      <c r="D82" s="46"/>
      <c r="E82" s="46"/>
      <c r="F82" s="46" t="s">
        <v>142</v>
      </c>
      <c r="G82" s="46" t="s">
        <v>124</v>
      </c>
      <c r="H82" s="46"/>
      <c r="I82" s="46"/>
      <c r="J82" s="46"/>
    </row>
    <row r="83" spans="1:10" x14ac:dyDescent="0.3">
      <c r="A83" s="47" t="s">
        <v>153</v>
      </c>
      <c r="B83" s="47" t="s">
        <v>216</v>
      </c>
      <c r="C83" s="47" t="s">
        <v>152</v>
      </c>
      <c r="D83" s="47"/>
      <c r="E83" s="47"/>
      <c r="F83" s="47" t="s">
        <v>156</v>
      </c>
      <c r="G83" s="47" t="s">
        <v>124</v>
      </c>
      <c r="H83" s="47" t="s">
        <v>214</v>
      </c>
      <c r="I83" s="47">
        <v>0</v>
      </c>
      <c r="J83" s="47"/>
    </row>
    <row r="84" spans="1:10" x14ac:dyDescent="0.3">
      <c r="A84" s="46" t="s">
        <v>274</v>
      </c>
      <c r="B84" s="46" t="s">
        <v>216</v>
      </c>
      <c r="C84" s="46" t="s">
        <v>116</v>
      </c>
      <c r="D84" s="46"/>
      <c r="E84" s="46"/>
      <c r="F84" s="46"/>
      <c r="G84" s="46"/>
      <c r="H84" s="46"/>
      <c r="I84" s="46"/>
      <c r="J84" s="46"/>
    </row>
    <row r="85" spans="1:10" ht="28.8" x14ac:dyDescent="0.3">
      <c r="A85" s="46" t="s">
        <v>280</v>
      </c>
      <c r="B85" s="47" t="s">
        <v>217</v>
      </c>
      <c r="C85" s="47" t="s">
        <v>119</v>
      </c>
      <c r="D85" s="47"/>
      <c r="E85" s="47"/>
      <c r="F85" s="47"/>
      <c r="G85" s="47"/>
      <c r="H85" s="47"/>
      <c r="I85" s="47"/>
      <c r="J85" s="47"/>
    </row>
    <row r="86" spans="1:10" ht="28.8" x14ac:dyDescent="0.3">
      <c r="A86" s="46" t="s">
        <v>274</v>
      </c>
      <c r="B86" s="46" t="s">
        <v>217</v>
      </c>
      <c r="C86" s="46" t="s">
        <v>116</v>
      </c>
      <c r="D86" s="46"/>
      <c r="E86" s="46"/>
      <c r="F86" s="46"/>
      <c r="G86" s="46"/>
      <c r="H86" s="46"/>
      <c r="I86" s="46"/>
      <c r="J86" s="46"/>
    </row>
    <row r="87" spans="1:10" ht="28.8" x14ac:dyDescent="0.3">
      <c r="A87" s="47" t="s">
        <v>153</v>
      </c>
      <c r="B87" s="47" t="s">
        <v>218</v>
      </c>
      <c r="C87" s="47" t="s">
        <v>152</v>
      </c>
      <c r="D87" s="47" t="s">
        <v>219</v>
      </c>
      <c r="E87" s="47"/>
      <c r="F87" s="47" t="s">
        <v>126</v>
      </c>
      <c r="G87" s="47"/>
      <c r="H87" s="47"/>
      <c r="I87" s="47"/>
      <c r="J87" s="47"/>
    </row>
    <row r="88" spans="1:10" x14ac:dyDescent="0.3">
      <c r="A88" s="46" t="s">
        <v>122</v>
      </c>
      <c r="B88" s="46" t="s">
        <v>220</v>
      </c>
      <c r="C88" s="46" t="s">
        <v>121</v>
      </c>
      <c r="D88" s="46"/>
      <c r="E88" s="46"/>
      <c r="F88" s="46" t="s">
        <v>142</v>
      </c>
      <c r="G88" s="46" t="s">
        <v>124</v>
      </c>
      <c r="H88" s="46"/>
      <c r="I88" s="46"/>
      <c r="J88" s="46"/>
    </row>
    <row r="89" spans="1:10" x14ac:dyDescent="0.3">
      <c r="A89" s="47" t="s">
        <v>281</v>
      </c>
      <c r="B89" s="47" t="s">
        <v>221</v>
      </c>
      <c r="C89" s="47" t="s">
        <v>135</v>
      </c>
      <c r="D89" s="47"/>
      <c r="E89" s="47"/>
      <c r="F89" s="47" t="s">
        <v>156</v>
      </c>
      <c r="G89" s="47" t="s">
        <v>124</v>
      </c>
      <c r="H89" s="47"/>
      <c r="I89" s="47"/>
      <c r="J89" s="47"/>
    </row>
    <row r="90" spans="1:10" x14ac:dyDescent="0.3">
      <c r="A90" s="47" t="s">
        <v>279</v>
      </c>
      <c r="B90" s="46" t="s">
        <v>221</v>
      </c>
      <c r="C90" s="46" t="s">
        <v>119</v>
      </c>
      <c r="D90" s="46"/>
      <c r="E90" s="46"/>
      <c r="F90" s="46"/>
      <c r="G90" s="46"/>
      <c r="H90" s="46"/>
      <c r="I90" s="46"/>
      <c r="J90" s="46"/>
    </row>
    <row r="91" spans="1:10" x14ac:dyDescent="0.3">
      <c r="A91" s="47" t="s">
        <v>153</v>
      </c>
      <c r="B91" s="47" t="s">
        <v>221</v>
      </c>
      <c r="C91" s="47" t="s">
        <v>152</v>
      </c>
      <c r="D91" s="47"/>
      <c r="E91" s="47"/>
      <c r="F91" s="47"/>
      <c r="G91" s="47"/>
      <c r="H91" s="47"/>
      <c r="I91" s="47"/>
      <c r="J91" s="47"/>
    </row>
    <row r="92" spans="1:10" x14ac:dyDescent="0.3">
      <c r="A92" s="46" t="s">
        <v>274</v>
      </c>
      <c r="B92" s="46" t="s">
        <v>221</v>
      </c>
      <c r="C92" s="46" t="s">
        <v>116</v>
      </c>
      <c r="D92" s="46"/>
      <c r="E92" s="46"/>
      <c r="F92" s="46" t="s">
        <v>156</v>
      </c>
      <c r="G92" s="46" t="s">
        <v>124</v>
      </c>
      <c r="H92" s="46" t="s">
        <v>143</v>
      </c>
      <c r="I92" s="46">
        <v>0</v>
      </c>
      <c r="J92" s="46"/>
    </row>
    <row r="93" spans="1:10" ht="28.8" x14ac:dyDescent="0.3">
      <c r="A93" s="47" t="s">
        <v>281</v>
      </c>
      <c r="B93" s="47" t="s">
        <v>222</v>
      </c>
      <c r="C93" s="47" t="s">
        <v>135</v>
      </c>
      <c r="D93" s="47"/>
      <c r="E93" s="47"/>
      <c r="F93" s="47" t="s">
        <v>156</v>
      </c>
      <c r="G93" s="47" t="s">
        <v>124</v>
      </c>
      <c r="H93" s="47" t="s">
        <v>62</v>
      </c>
      <c r="I93" s="47">
        <v>28</v>
      </c>
      <c r="J93" s="47" t="s">
        <v>223</v>
      </c>
    </row>
    <row r="94" spans="1:10" ht="28.8" x14ac:dyDescent="0.3">
      <c r="A94" s="47" t="s">
        <v>281</v>
      </c>
      <c r="B94" s="46" t="s">
        <v>224</v>
      </c>
      <c r="C94" s="46" t="s">
        <v>135</v>
      </c>
      <c r="D94" s="46"/>
      <c r="E94" s="46"/>
      <c r="F94" s="46" t="s">
        <v>156</v>
      </c>
      <c r="G94" s="46" t="s">
        <v>124</v>
      </c>
      <c r="H94" s="46" t="s">
        <v>62</v>
      </c>
      <c r="I94" s="46">
        <v>28</v>
      </c>
      <c r="J94" s="46" t="s">
        <v>223</v>
      </c>
    </row>
    <row r="95" spans="1:10" ht="28.8" x14ac:dyDescent="0.3">
      <c r="A95" s="46" t="s">
        <v>274</v>
      </c>
      <c r="B95" s="47" t="s">
        <v>224</v>
      </c>
      <c r="C95" s="47" t="s">
        <v>116</v>
      </c>
      <c r="D95" s="47"/>
      <c r="E95" s="47"/>
      <c r="F95" s="47" t="s">
        <v>195</v>
      </c>
      <c r="G95" s="47" t="s">
        <v>124</v>
      </c>
      <c r="H95" s="47" t="s">
        <v>62</v>
      </c>
      <c r="I95" s="47">
        <v>20</v>
      </c>
      <c r="J95" s="47" t="s">
        <v>225</v>
      </c>
    </row>
    <row r="96" spans="1:10" ht="28.8" x14ac:dyDescent="0.3">
      <c r="A96" s="46" t="s">
        <v>274</v>
      </c>
      <c r="B96" s="46" t="s">
        <v>224</v>
      </c>
      <c r="C96" s="46" t="s">
        <v>116</v>
      </c>
      <c r="D96" s="46"/>
      <c r="E96" s="46"/>
      <c r="F96" s="46" t="s">
        <v>142</v>
      </c>
      <c r="G96" s="46" t="s">
        <v>124</v>
      </c>
      <c r="H96" s="46"/>
      <c r="I96" s="46"/>
      <c r="J96" s="46"/>
    </row>
    <row r="97" spans="1:10" ht="28.8" x14ac:dyDescent="0.3">
      <c r="A97" s="46" t="s">
        <v>274</v>
      </c>
      <c r="B97" s="47" t="s">
        <v>224</v>
      </c>
      <c r="C97" s="47" t="s">
        <v>116</v>
      </c>
      <c r="D97" s="47"/>
      <c r="E97" s="47"/>
      <c r="F97" s="47"/>
      <c r="G97" s="47"/>
      <c r="H97" s="47"/>
      <c r="I97" s="47"/>
      <c r="J97" s="47"/>
    </row>
    <row r="98" spans="1:10" ht="28.8" x14ac:dyDescent="0.3">
      <c r="A98" s="46" t="s">
        <v>128</v>
      </c>
      <c r="B98" s="46" t="s">
        <v>226</v>
      </c>
      <c r="C98" s="46" t="s">
        <v>126</v>
      </c>
      <c r="D98" s="46" t="s">
        <v>219</v>
      </c>
      <c r="E98" s="46"/>
      <c r="F98" s="46" t="s">
        <v>156</v>
      </c>
      <c r="G98" s="46" t="s">
        <v>124</v>
      </c>
      <c r="H98" s="46"/>
      <c r="I98" s="46"/>
      <c r="J98" s="46"/>
    </row>
    <row r="99" spans="1:10" x14ac:dyDescent="0.3">
      <c r="A99" s="47" t="s">
        <v>153</v>
      </c>
      <c r="B99" s="47" t="s">
        <v>226</v>
      </c>
      <c r="C99" s="47" t="s">
        <v>152</v>
      </c>
      <c r="D99" s="47"/>
      <c r="E99" s="47"/>
      <c r="F99" s="47" t="s">
        <v>126</v>
      </c>
      <c r="G99" s="47"/>
      <c r="H99" s="47"/>
      <c r="I99" s="47"/>
      <c r="J99" s="47"/>
    </row>
    <row r="100" spans="1:10" ht="28.8" x14ac:dyDescent="0.3">
      <c r="A100" s="46" t="s">
        <v>153</v>
      </c>
      <c r="B100" s="46" t="s">
        <v>227</v>
      </c>
      <c r="C100" s="46" t="s">
        <v>152</v>
      </c>
      <c r="D100" s="46" t="s">
        <v>219</v>
      </c>
      <c r="E100" s="46"/>
      <c r="F100" s="46" t="s">
        <v>126</v>
      </c>
      <c r="G100" s="46"/>
      <c r="H100" s="46"/>
      <c r="I100" s="46"/>
      <c r="J100" s="46"/>
    </row>
    <row r="101" spans="1:10" ht="28.8" x14ac:dyDescent="0.3">
      <c r="A101" s="47" t="s">
        <v>153</v>
      </c>
      <c r="B101" s="47" t="s">
        <v>227</v>
      </c>
      <c r="C101" s="47" t="s">
        <v>152</v>
      </c>
      <c r="D101" s="47" t="s">
        <v>219</v>
      </c>
      <c r="E101" s="47"/>
      <c r="F101" s="47" t="s">
        <v>126</v>
      </c>
      <c r="G101" s="47"/>
      <c r="H101" s="47"/>
      <c r="I101" s="47"/>
      <c r="J101" s="47"/>
    </row>
    <row r="102" spans="1:10" x14ac:dyDescent="0.3">
      <c r="A102" s="47" t="s">
        <v>279</v>
      </c>
      <c r="B102" s="46" t="s">
        <v>227</v>
      </c>
      <c r="C102" s="46" t="s">
        <v>119</v>
      </c>
      <c r="D102" s="46"/>
      <c r="E102" s="46"/>
      <c r="F102" s="46"/>
      <c r="G102" s="46"/>
      <c r="H102" s="46"/>
      <c r="I102" s="46"/>
      <c r="J102" s="46"/>
    </row>
    <row r="103" spans="1:10" x14ac:dyDescent="0.3">
      <c r="A103" s="47" t="s">
        <v>153</v>
      </c>
      <c r="B103" s="47" t="s">
        <v>227</v>
      </c>
      <c r="C103" s="47" t="s">
        <v>152</v>
      </c>
      <c r="D103" s="47"/>
      <c r="E103" s="47"/>
      <c r="F103" s="47"/>
      <c r="G103" s="47"/>
      <c r="H103" s="47"/>
      <c r="I103" s="47"/>
      <c r="J103" s="47"/>
    </row>
    <row r="104" spans="1:10" x14ac:dyDescent="0.3">
      <c r="A104" s="46" t="s">
        <v>274</v>
      </c>
      <c r="B104" s="46" t="s">
        <v>227</v>
      </c>
      <c r="C104" s="46" t="s">
        <v>116</v>
      </c>
      <c r="D104" s="46"/>
      <c r="E104" s="46"/>
      <c r="F104" s="46"/>
      <c r="G104" s="46"/>
      <c r="H104" s="46"/>
      <c r="I104" s="46"/>
      <c r="J104" s="46"/>
    </row>
    <row r="105" spans="1:10" ht="28.8" x14ac:dyDescent="0.3">
      <c r="A105" s="47" t="s">
        <v>279</v>
      </c>
      <c r="B105" s="47" t="s">
        <v>228</v>
      </c>
      <c r="C105" s="47" t="s">
        <v>119</v>
      </c>
      <c r="D105" s="47"/>
      <c r="E105" s="47" t="s">
        <v>229</v>
      </c>
      <c r="F105" s="47" t="s">
        <v>230</v>
      </c>
      <c r="G105" s="47"/>
      <c r="H105" s="47" t="s">
        <v>231</v>
      </c>
      <c r="I105" s="47">
        <v>9</v>
      </c>
      <c r="J105" s="47"/>
    </row>
    <row r="106" spans="1:10" ht="28.8" x14ac:dyDescent="0.3">
      <c r="A106" s="46" t="s">
        <v>274</v>
      </c>
      <c r="B106" s="46" t="s">
        <v>228</v>
      </c>
      <c r="C106" s="46" t="s">
        <v>116</v>
      </c>
      <c r="D106" s="46"/>
      <c r="E106" s="46"/>
      <c r="F106" s="46"/>
      <c r="G106" s="46"/>
      <c r="H106" s="46"/>
      <c r="I106" s="46"/>
      <c r="J106" s="46"/>
    </row>
    <row r="107" spans="1:10" ht="28.8" x14ac:dyDescent="0.3">
      <c r="A107" s="47" t="s">
        <v>153</v>
      </c>
      <c r="B107" s="47" t="s">
        <v>232</v>
      </c>
      <c r="C107" s="47" t="s">
        <v>152</v>
      </c>
      <c r="D107" s="47"/>
      <c r="E107" s="47"/>
      <c r="F107" s="47"/>
      <c r="G107" s="47"/>
      <c r="H107" s="47"/>
      <c r="I107" s="47"/>
      <c r="J107" s="47"/>
    </row>
    <row r="108" spans="1:10" x14ac:dyDescent="0.3">
      <c r="A108" s="46" t="s">
        <v>234</v>
      </c>
      <c r="B108" s="46" t="s">
        <v>233</v>
      </c>
      <c r="C108" s="46" t="s">
        <v>121</v>
      </c>
      <c r="D108" s="46"/>
      <c r="E108" s="46"/>
      <c r="F108" s="46"/>
      <c r="G108" s="46"/>
      <c r="H108" s="46"/>
      <c r="I108" s="46"/>
      <c r="J108" s="46" t="s">
        <v>235</v>
      </c>
    </row>
    <row r="109" spans="1:10" x14ac:dyDescent="0.3">
      <c r="A109" s="47" t="s">
        <v>153</v>
      </c>
      <c r="B109" s="47" t="s">
        <v>236</v>
      </c>
      <c r="C109" s="47" t="s">
        <v>152</v>
      </c>
      <c r="D109" s="47"/>
      <c r="E109" s="47"/>
      <c r="F109" s="47"/>
      <c r="G109" s="47"/>
      <c r="H109" s="47"/>
      <c r="I109" s="47"/>
      <c r="J109" s="47"/>
    </row>
    <row r="110" spans="1:10" x14ac:dyDescent="0.3">
      <c r="A110" s="46" t="s">
        <v>274</v>
      </c>
      <c r="B110" s="46" t="s">
        <v>236</v>
      </c>
      <c r="C110" s="46" t="s">
        <v>116</v>
      </c>
      <c r="D110" s="46"/>
      <c r="E110" s="46"/>
      <c r="F110" s="46"/>
      <c r="G110" s="46"/>
      <c r="H110" s="46"/>
      <c r="I110" s="46"/>
      <c r="J110" s="46"/>
    </row>
    <row r="111" spans="1:10" ht="28.8" x14ac:dyDescent="0.3">
      <c r="A111" s="47" t="s">
        <v>138</v>
      </c>
      <c r="B111" s="47" t="s">
        <v>237</v>
      </c>
      <c r="C111" s="47" t="s">
        <v>119</v>
      </c>
      <c r="D111" s="47"/>
      <c r="E111" s="47"/>
      <c r="F111" s="47"/>
      <c r="G111" s="47"/>
      <c r="H111" s="47"/>
      <c r="I111" s="47"/>
      <c r="J111" s="47"/>
    </row>
    <row r="112" spans="1:10" ht="28.8" x14ac:dyDescent="0.3">
      <c r="A112" s="46" t="s">
        <v>274</v>
      </c>
      <c r="B112" s="46" t="s">
        <v>237</v>
      </c>
      <c r="C112" s="46" t="s">
        <v>116</v>
      </c>
      <c r="D112" s="46"/>
      <c r="E112" s="46"/>
      <c r="F112" s="46"/>
      <c r="G112" s="46"/>
      <c r="H112" s="46"/>
      <c r="I112" s="46"/>
      <c r="J112" s="46"/>
    </row>
    <row r="113" spans="1:10" ht="28.8" x14ac:dyDescent="0.3">
      <c r="A113" s="47" t="s">
        <v>153</v>
      </c>
      <c r="B113" s="47" t="s">
        <v>232</v>
      </c>
      <c r="C113" s="47" t="s">
        <v>152</v>
      </c>
      <c r="D113" s="47" t="s">
        <v>219</v>
      </c>
      <c r="E113" s="47"/>
      <c r="F113" s="47" t="s">
        <v>126</v>
      </c>
      <c r="G113" s="47"/>
      <c r="H113" s="47"/>
      <c r="I113" s="47"/>
      <c r="J113" s="47"/>
    </row>
    <row r="114" spans="1:10" ht="28.8" x14ac:dyDescent="0.3">
      <c r="A114" s="46" t="s">
        <v>153</v>
      </c>
      <c r="B114" s="46" t="s">
        <v>238</v>
      </c>
      <c r="C114" s="46" t="s">
        <v>152</v>
      </c>
      <c r="D114" s="46" t="s">
        <v>219</v>
      </c>
      <c r="E114" s="46"/>
      <c r="F114" s="46" t="s">
        <v>126</v>
      </c>
      <c r="G114" s="46"/>
      <c r="H114" s="46"/>
      <c r="I114" s="46"/>
      <c r="J114" s="46"/>
    </row>
    <row r="115" spans="1:10" ht="28.8" x14ac:dyDescent="0.3">
      <c r="A115" s="47" t="s">
        <v>153</v>
      </c>
      <c r="B115" s="47" t="s">
        <v>238</v>
      </c>
      <c r="C115" s="47" t="s">
        <v>152</v>
      </c>
      <c r="D115" s="47"/>
      <c r="E115" s="47"/>
      <c r="F115" s="47"/>
      <c r="G115" s="47"/>
      <c r="H115" s="47"/>
      <c r="I115" s="47"/>
      <c r="J115" s="47"/>
    </row>
    <row r="116" spans="1:10" ht="28.8" x14ac:dyDescent="0.3">
      <c r="A116" s="46" t="s">
        <v>153</v>
      </c>
      <c r="B116" s="46" t="s">
        <v>238</v>
      </c>
      <c r="C116" s="46" t="s">
        <v>152</v>
      </c>
      <c r="D116" s="46"/>
      <c r="E116" s="46"/>
      <c r="F116" s="46"/>
      <c r="G116" s="46"/>
      <c r="H116" s="46"/>
      <c r="I116" s="46"/>
      <c r="J116" s="46"/>
    </row>
    <row r="117" spans="1:10" ht="28.8" x14ac:dyDescent="0.3">
      <c r="A117" s="47" t="s">
        <v>153</v>
      </c>
      <c r="B117" s="47" t="s">
        <v>239</v>
      </c>
      <c r="C117" s="47" t="s">
        <v>152</v>
      </c>
      <c r="D117" s="47" t="s">
        <v>219</v>
      </c>
      <c r="E117" s="47"/>
      <c r="F117" s="47" t="s">
        <v>126</v>
      </c>
      <c r="G117" s="47"/>
      <c r="H117" s="47"/>
      <c r="I117" s="47"/>
      <c r="J117" s="47"/>
    </row>
    <row r="118" spans="1:10" x14ac:dyDescent="0.3">
      <c r="A118" s="47" t="s">
        <v>279</v>
      </c>
      <c r="B118" s="46" t="s">
        <v>239</v>
      </c>
      <c r="C118" s="46" t="s">
        <v>119</v>
      </c>
      <c r="D118" s="46"/>
      <c r="E118" s="46"/>
      <c r="F118" s="46"/>
      <c r="G118" s="46"/>
      <c r="H118" s="46"/>
      <c r="I118" s="46"/>
      <c r="J118" s="46"/>
    </row>
    <row r="119" spans="1:10" ht="28.8" x14ac:dyDescent="0.3">
      <c r="A119" s="47" t="s">
        <v>128</v>
      </c>
      <c r="B119" s="47" t="s">
        <v>240</v>
      </c>
      <c r="C119" s="47" t="s">
        <v>126</v>
      </c>
      <c r="D119" s="47"/>
      <c r="E119" s="47"/>
      <c r="F119" s="47"/>
      <c r="G119" s="47"/>
      <c r="H119" s="47"/>
      <c r="I119" s="47"/>
      <c r="J119" s="47"/>
    </row>
    <row r="120" spans="1:10" ht="28.8" x14ac:dyDescent="0.3">
      <c r="A120" s="46" t="s">
        <v>282</v>
      </c>
      <c r="B120" s="46" t="s">
        <v>241</v>
      </c>
      <c r="C120" s="46" t="s">
        <v>119</v>
      </c>
      <c r="D120" s="46"/>
      <c r="E120" s="46"/>
      <c r="F120" s="46"/>
      <c r="G120" s="46"/>
      <c r="H120" s="46" t="s">
        <v>242</v>
      </c>
      <c r="I120" s="46"/>
      <c r="J120" s="46"/>
    </row>
    <row r="121" spans="1:10" ht="28.8" x14ac:dyDescent="0.3">
      <c r="A121" s="46" t="s">
        <v>274</v>
      </c>
      <c r="B121" s="47" t="s">
        <v>241</v>
      </c>
      <c r="C121" s="47" t="s">
        <v>116</v>
      </c>
      <c r="D121" s="47"/>
      <c r="E121" s="47"/>
      <c r="F121" s="47"/>
      <c r="G121" s="47"/>
      <c r="H121" s="47"/>
      <c r="I121" s="47"/>
      <c r="J121" s="47"/>
    </row>
    <row r="122" spans="1:10" ht="28.8" x14ac:dyDescent="0.3">
      <c r="A122" s="46" t="s">
        <v>153</v>
      </c>
      <c r="B122" s="46" t="s">
        <v>243</v>
      </c>
      <c r="C122" s="46" t="s">
        <v>152</v>
      </c>
      <c r="D122" s="46" t="s">
        <v>219</v>
      </c>
      <c r="E122" s="46"/>
      <c r="F122" s="46" t="s">
        <v>126</v>
      </c>
      <c r="G122" s="46"/>
      <c r="H122" s="46"/>
      <c r="I122" s="46"/>
      <c r="J122" s="46"/>
    </row>
    <row r="123" spans="1:10" ht="28.8" x14ac:dyDescent="0.3">
      <c r="A123" s="47" t="s">
        <v>122</v>
      </c>
      <c r="B123" s="47" t="s">
        <v>244</v>
      </c>
      <c r="C123" s="47" t="s">
        <v>121</v>
      </c>
      <c r="D123" s="47"/>
      <c r="E123" s="47"/>
      <c r="F123" s="47"/>
      <c r="G123" s="47"/>
      <c r="H123" s="47"/>
      <c r="I123" s="47"/>
      <c r="J123" s="47" t="s">
        <v>212</v>
      </c>
    </row>
    <row r="124" spans="1:10" x14ac:dyDescent="0.3">
      <c r="A124" s="46" t="s">
        <v>153</v>
      </c>
      <c r="B124" s="46" t="s">
        <v>245</v>
      </c>
      <c r="C124" s="46" t="s">
        <v>152</v>
      </c>
      <c r="D124" s="46"/>
      <c r="E124" s="46"/>
      <c r="F124" s="46" t="s">
        <v>126</v>
      </c>
      <c r="G124" s="46"/>
      <c r="H124" s="46"/>
      <c r="I124" s="46"/>
      <c r="J124" s="46"/>
    </row>
    <row r="125" spans="1:10" x14ac:dyDescent="0.3">
      <c r="A125" s="46" t="s">
        <v>274</v>
      </c>
      <c r="B125" s="47" t="s">
        <v>245</v>
      </c>
      <c r="C125" s="47" t="s">
        <v>116</v>
      </c>
      <c r="D125" s="47"/>
      <c r="E125" s="47"/>
      <c r="F125" s="47"/>
      <c r="G125" s="47"/>
      <c r="H125" s="47"/>
      <c r="I125" s="47"/>
      <c r="J125" s="47"/>
    </row>
    <row r="126" spans="1:10" ht="28.8" x14ac:dyDescent="0.3">
      <c r="A126" s="46" t="s">
        <v>153</v>
      </c>
      <c r="B126" s="46" t="s">
        <v>246</v>
      </c>
      <c r="C126" s="46" t="s">
        <v>152</v>
      </c>
      <c r="D126" s="46"/>
      <c r="E126" s="46"/>
      <c r="F126" s="46"/>
      <c r="G126" s="46"/>
      <c r="H126" s="46"/>
      <c r="I126" s="46"/>
      <c r="J126" s="46"/>
    </row>
    <row r="127" spans="1:10" ht="28.8" x14ac:dyDescent="0.3">
      <c r="A127" s="47" t="s">
        <v>279</v>
      </c>
      <c r="B127" s="47" t="s">
        <v>247</v>
      </c>
      <c r="C127" s="47" t="s">
        <v>119</v>
      </c>
      <c r="D127" s="47"/>
      <c r="E127" s="47"/>
      <c r="F127" s="47"/>
      <c r="G127" s="47"/>
      <c r="H127" s="47"/>
      <c r="I127" s="47"/>
      <c r="J127" s="47"/>
    </row>
    <row r="128" spans="1:10" ht="28.8" x14ac:dyDescent="0.3">
      <c r="A128" s="46" t="s">
        <v>122</v>
      </c>
      <c r="B128" s="46" t="s">
        <v>247</v>
      </c>
      <c r="C128" s="46" t="s">
        <v>121</v>
      </c>
      <c r="D128" s="46"/>
      <c r="E128" s="46"/>
      <c r="F128" s="46"/>
      <c r="G128" s="46"/>
      <c r="H128" s="46"/>
      <c r="I128" s="46"/>
      <c r="J128" s="46"/>
    </row>
    <row r="129" spans="1:10" ht="28.8" x14ac:dyDescent="0.3">
      <c r="A129" s="46" t="s">
        <v>274</v>
      </c>
      <c r="B129" s="47" t="s">
        <v>247</v>
      </c>
      <c r="C129" s="47" t="s">
        <v>116</v>
      </c>
      <c r="D129" s="47"/>
      <c r="E129" s="47"/>
      <c r="F129" s="47"/>
      <c r="G129" s="47"/>
      <c r="H129" s="47"/>
      <c r="I129" s="47"/>
      <c r="J129" s="47"/>
    </row>
    <row r="130" spans="1:10" ht="43.2" x14ac:dyDescent="0.3">
      <c r="A130" s="46" t="s">
        <v>277</v>
      </c>
      <c r="B130" s="46" t="s">
        <v>248</v>
      </c>
      <c r="C130" s="46" t="s">
        <v>152</v>
      </c>
      <c r="D130" s="46" t="s">
        <v>219</v>
      </c>
      <c r="E130" s="46"/>
      <c r="F130" s="46" t="s">
        <v>249</v>
      </c>
      <c r="G130" s="46"/>
      <c r="H130" s="46" t="s">
        <v>250</v>
      </c>
      <c r="I130" s="46"/>
      <c r="J130" s="46"/>
    </row>
    <row r="131" spans="1:10" x14ac:dyDescent="0.3">
      <c r="A131" s="46" t="s">
        <v>280</v>
      </c>
      <c r="B131" s="47" t="s">
        <v>251</v>
      </c>
      <c r="C131" s="47" t="s">
        <v>119</v>
      </c>
      <c r="D131" s="47"/>
      <c r="E131" s="47"/>
      <c r="F131" s="47"/>
      <c r="G131" s="47"/>
      <c r="H131" s="47"/>
      <c r="I131" s="47"/>
      <c r="J131" s="47"/>
    </row>
    <row r="132" spans="1:10" x14ac:dyDescent="0.3">
      <c r="A132" s="46" t="s">
        <v>128</v>
      </c>
      <c r="B132" s="46" t="s">
        <v>251</v>
      </c>
      <c r="C132" s="46" t="s">
        <v>126</v>
      </c>
      <c r="D132" s="46"/>
      <c r="E132" s="46"/>
      <c r="F132" s="46"/>
      <c r="G132" s="46"/>
      <c r="H132" s="46"/>
      <c r="I132" s="46"/>
      <c r="J132" s="46"/>
    </row>
    <row r="133" spans="1:10" x14ac:dyDescent="0.3">
      <c r="A133" s="47" t="s">
        <v>153</v>
      </c>
      <c r="B133" s="47" t="s">
        <v>251</v>
      </c>
      <c r="C133" s="47" t="s">
        <v>152</v>
      </c>
      <c r="D133" s="47"/>
      <c r="E133" s="47"/>
      <c r="F133" s="47"/>
      <c r="G133" s="47"/>
      <c r="H133" s="47"/>
      <c r="I133" s="47"/>
      <c r="J133" s="47"/>
    </row>
    <row r="134" spans="1:10" x14ac:dyDescent="0.3">
      <c r="A134" s="46" t="s">
        <v>274</v>
      </c>
      <c r="B134" s="46" t="s">
        <v>251</v>
      </c>
      <c r="C134" s="46" t="s">
        <v>116</v>
      </c>
      <c r="D134" s="46"/>
      <c r="E134" s="46"/>
      <c r="F134" s="46"/>
      <c r="G134" s="46"/>
      <c r="H134" s="46"/>
      <c r="I134" s="46"/>
      <c r="J134" s="46"/>
    </row>
    <row r="135" spans="1:10" ht="28.8" x14ac:dyDescent="0.3">
      <c r="A135" s="47" t="s">
        <v>138</v>
      </c>
      <c r="B135" s="47" t="s">
        <v>252</v>
      </c>
      <c r="C135" s="47" t="s">
        <v>119</v>
      </c>
      <c r="D135" s="47"/>
      <c r="E135" s="47"/>
      <c r="F135" s="47"/>
      <c r="G135" s="47"/>
      <c r="H135" s="47"/>
      <c r="I135" s="47"/>
      <c r="J135" s="47"/>
    </row>
    <row r="136" spans="1:10" ht="28.8" x14ac:dyDescent="0.3">
      <c r="A136" s="46" t="s">
        <v>274</v>
      </c>
      <c r="B136" s="46" t="s">
        <v>252</v>
      </c>
      <c r="C136" s="46" t="s">
        <v>116</v>
      </c>
      <c r="D136" s="46"/>
      <c r="E136" s="46"/>
      <c r="F136" s="46"/>
      <c r="G136" s="46"/>
      <c r="H136" s="46"/>
      <c r="I136" s="46"/>
      <c r="J136" s="46"/>
    </row>
    <row r="137" spans="1:10" x14ac:dyDescent="0.3">
      <c r="A137" s="47" t="s">
        <v>122</v>
      </c>
      <c r="B137" s="47" t="s">
        <v>253</v>
      </c>
      <c r="C137" s="47" t="s">
        <v>121</v>
      </c>
      <c r="D137" s="47"/>
      <c r="E137" s="47"/>
      <c r="F137" s="47"/>
      <c r="G137" s="47"/>
      <c r="H137" s="47"/>
      <c r="I137" s="47"/>
      <c r="J137" s="47"/>
    </row>
    <row r="138" spans="1:10" x14ac:dyDescent="0.3">
      <c r="A138" s="46" t="s">
        <v>153</v>
      </c>
      <c r="B138" s="46" t="s">
        <v>254</v>
      </c>
      <c r="C138" s="46" t="s">
        <v>152</v>
      </c>
      <c r="D138" s="46"/>
      <c r="E138" s="46"/>
      <c r="F138" s="46"/>
      <c r="G138" s="46"/>
      <c r="H138" s="46"/>
      <c r="I138" s="46"/>
      <c r="J138" s="46"/>
    </row>
    <row r="139" spans="1:10" ht="28.8" x14ac:dyDescent="0.3">
      <c r="A139" s="47" t="s">
        <v>279</v>
      </c>
      <c r="B139" s="46" t="s">
        <v>255</v>
      </c>
      <c r="C139" s="46" t="s">
        <v>119</v>
      </c>
      <c r="D139" s="47"/>
      <c r="E139" s="47"/>
      <c r="F139" s="47"/>
      <c r="G139" s="47"/>
      <c r="H139" s="47"/>
      <c r="I139" s="47"/>
      <c r="J139" s="47"/>
    </row>
    <row r="140" spans="1:10" ht="28.8" x14ac:dyDescent="0.3">
      <c r="A140" s="46" t="s">
        <v>274</v>
      </c>
      <c r="B140" s="46" t="s">
        <v>255</v>
      </c>
      <c r="C140" s="46" t="s">
        <v>116</v>
      </c>
      <c r="D140" s="46"/>
      <c r="E140" s="46"/>
      <c r="F140" s="46"/>
      <c r="G140" s="46"/>
      <c r="H140" s="46"/>
      <c r="I140" s="46"/>
      <c r="J140" s="46"/>
    </row>
    <row r="141" spans="1:10" x14ac:dyDescent="0.3">
      <c r="A141" s="47" t="s">
        <v>138</v>
      </c>
      <c r="B141" s="46" t="s">
        <v>256</v>
      </c>
      <c r="C141" s="46" t="s">
        <v>119</v>
      </c>
      <c r="D141" s="47"/>
      <c r="E141" s="47"/>
      <c r="F141" s="47"/>
      <c r="G141" s="47"/>
      <c r="H141" s="47"/>
      <c r="I141" s="47"/>
      <c r="J141" s="47"/>
    </row>
    <row r="142" spans="1:10" ht="28.8" x14ac:dyDescent="0.3">
      <c r="A142" s="46" t="s">
        <v>280</v>
      </c>
      <c r="B142" s="46" t="s">
        <v>257</v>
      </c>
      <c r="C142" s="46" t="s">
        <v>119</v>
      </c>
      <c r="D142" s="46"/>
      <c r="E142" s="46"/>
      <c r="F142" s="46"/>
      <c r="G142" s="46"/>
      <c r="H142" s="46"/>
      <c r="I142" s="46"/>
      <c r="J142" s="46"/>
    </row>
    <row r="143" spans="1:10" ht="28.8" x14ac:dyDescent="0.3">
      <c r="A143" s="47" t="s">
        <v>128</v>
      </c>
      <c r="B143" s="47" t="s">
        <v>257</v>
      </c>
      <c r="C143" s="47" t="s">
        <v>126</v>
      </c>
      <c r="D143" s="47"/>
      <c r="E143" s="47"/>
      <c r="F143" s="47" t="s">
        <v>123</v>
      </c>
      <c r="G143" s="47"/>
      <c r="H143" s="47" t="s">
        <v>258</v>
      </c>
      <c r="I143" s="47">
        <v>3</v>
      </c>
      <c r="J143" s="47" t="s">
        <v>259</v>
      </c>
    </row>
    <row r="144" spans="1:10" ht="28.8" x14ac:dyDescent="0.3">
      <c r="A144" s="46" t="s">
        <v>274</v>
      </c>
      <c r="B144" s="46" t="s">
        <v>257</v>
      </c>
      <c r="C144" s="46" t="s">
        <v>116</v>
      </c>
      <c r="D144" s="46"/>
      <c r="E144" s="46"/>
      <c r="F144" s="46" t="s">
        <v>123</v>
      </c>
      <c r="G144" s="46"/>
      <c r="H144" s="46" t="s">
        <v>258</v>
      </c>
      <c r="I144" s="46">
        <v>14</v>
      </c>
      <c r="J144" s="46" t="s">
        <v>259</v>
      </c>
    </row>
    <row r="145" spans="1:10" ht="28.8" x14ac:dyDescent="0.3">
      <c r="A145" s="47" t="s">
        <v>278</v>
      </c>
      <c r="B145" s="47" t="s">
        <v>260</v>
      </c>
      <c r="C145" s="47" t="s">
        <v>119</v>
      </c>
      <c r="D145" s="47"/>
      <c r="E145" s="47"/>
      <c r="F145" s="47" t="s">
        <v>261</v>
      </c>
      <c r="G145" s="47"/>
      <c r="H145" s="47" t="s">
        <v>258</v>
      </c>
      <c r="I145" s="47">
        <v>8</v>
      </c>
      <c r="J145" s="47" t="s">
        <v>259</v>
      </c>
    </row>
    <row r="146" spans="1:10" x14ac:dyDescent="0.3">
      <c r="A146" s="46" t="s">
        <v>122</v>
      </c>
      <c r="B146" s="46" t="s">
        <v>262</v>
      </c>
      <c r="C146" s="46" t="s">
        <v>121</v>
      </c>
      <c r="D146" s="46"/>
      <c r="E146" s="46"/>
      <c r="F146" s="46"/>
      <c r="G146" s="46"/>
      <c r="H146" s="46"/>
      <c r="I146" s="46"/>
      <c r="J146" s="46"/>
    </row>
    <row r="147" spans="1:10" ht="28.8" x14ac:dyDescent="0.3">
      <c r="A147" s="47" t="s">
        <v>234</v>
      </c>
      <c r="B147" s="47" t="s">
        <v>263</v>
      </c>
      <c r="C147" s="47" t="s">
        <v>121</v>
      </c>
      <c r="D147" s="47"/>
      <c r="E147" s="47"/>
      <c r="F147" s="47"/>
      <c r="G147" s="47"/>
      <c r="H147" s="47"/>
      <c r="I147" s="47"/>
      <c r="J147" s="47" t="s">
        <v>235</v>
      </c>
    </row>
    <row r="148" spans="1:10" x14ac:dyDescent="0.3">
      <c r="A148" s="46" t="s">
        <v>153</v>
      </c>
      <c r="B148" s="46" t="s">
        <v>264</v>
      </c>
      <c r="C148" s="46" t="s">
        <v>152</v>
      </c>
      <c r="D148" s="46"/>
      <c r="E148" s="46"/>
      <c r="F148" s="46"/>
      <c r="G148" s="46"/>
      <c r="H148" s="46"/>
      <c r="I148" s="46"/>
      <c r="J148" s="46"/>
    </row>
    <row r="149" spans="1:10" x14ac:dyDescent="0.3">
      <c r="A149" s="46" t="s">
        <v>274</v>
      </c>
      <c r="B149" s="47" t="s">
        <v>264</v>
      </c>
      <c r="C149" s="47" t="s">
        <v>116</v>
      </c>
      <c r="D149" s="47"/>
      <c r="E149" s="47"/>
      <c r="F149" s="47"/>
      <c r="G149" s="47"/>
      <c r="H149" s="47"/>
      <c r="I149" s="47"/>
      <c r="J149" s="47"/>
    </row>
    <row r="150" spans="1:10" ht="28.8" x14ac:dyDescent="0.3">
      <c r="A150" s="47" t="s">
        <v>279</v>
      </c>
      <c r="B150" s="46" t="s">
        <v>265</v>
      </c>
      <c r="C150" s="46" t="s">
        <v>119</v>
      </c>
      <c r="D150" s="46"/>
      <c r="E150" s="46"/>
      <c r="F150" s="46" t="s">
        <v>266</v>
      </c>
      <c r="G150" s="46"/>
      <c r="H150" s="46" t="s">
        <v>258</v>
      </c>
      <c r="I150" s="46">
        <v>8</v>
      </c>
      <c r="J150" s="46" t="s">
        <v>267</v>
      </c>
    </row>
    <row r="151" spans="1:10" ht="43.2" x14ac:dyDescent="0.3">
      <c r="A151" s="47" t="s">
        <v>122</v>
      </c>
      <c r="B151" s="47" t="s">
        <v>265</v>
      </c>
      <c r="C151" s="47" t="s">
        <v>121</v>
      </c>
      <c r="D151" s="47"/>
      <c r="E151" s="47"/>
      <c r="F151" s="47" t="s">
        <v>268</v>
      </c>
      <c r="G151" s="47"/>
      <c r="H151" s="47" t="s">
        <v>258</v>
      </c>
      <c r="I151" s="47">
        <v>6</v>
      </c>
      <c r="J151" s="47" t="s">
        <v>269</v>
      </c>
    </row>
    <row r="152" spans="1:10" ht="28.8" x14ac:dyDescent="0.3">
      <c r="A152" s="46" t="s">
        <v>153</v>
      </c>
      <c r="B152" s="46" t="s">
        <v>265</v>
      </c>
      <c r="C152" s="46" t="s">
        <v>270</v>
      </c>
      <c r="D152" s="46"/>
      <c r="E152" s="46"/>
      <c r="F152" s="46" t="s">
        <v>271</v>
      </c>
      <c r="G152" s="46"/>
      <c r="H152" s="46" t="s">
        <v>258</v>
      </c>
      <c r="I152" s="46">
        <v>35</v>
      </c>
      <c r="J152" s="46" t="s">
        <v>267</v>
      </c>
    </row>
    <row r="153" spans="1:10" ht="28.8" x14ac:dyDescent="0.3">
      <c r="A153" s="46" t="s">
        <v>274</v>
      </c>
      <c r="B153" s="47" t="s">
        <v>265</v>
      </c>
      <c r="C153" s="47" t="s">
        <v>116</v>
      </c>
      <c r="D153" s="47"/>
      <c r="E153" s="47"/>
      <c r="F153" s="47"/>
      <c r="G153" s="47"/>
      <c r="H153" s="47"/>
      <c r="I153" s="47"/>
      <c r="J153" s="47"/>
    </row>
    <row r="154" spans="1:10" ht="28.8" x14ac:dyDescent="0.3">
      <c r="A154" s="46" t="s">
        <v>280</v>
      </c>
      <c r="B154" s="46" t="s">
        <v>272</v>
      </c>
      <c r="C154" s="46" t="s">
        <v>119</v>
      </c>
      <c r="D154" s="46"/>
      <c r="E154" s="46"/>
      <c r="F154" s="46"/>
      <c r="G154" s="46"/>
      <c r="H154" s="46"/>
      <c r="I154" s="46"/>
      <c r="J154" s="46"/>
    </row>
    <row r="155" spans="1:10" x14ac:dyDescent="0.3">
      <c r="A155" s="46" t="s">
        <v>274</v>
      </c>
      <c r="B155" s="47" t="s">
        <v>273</v>
      </c>
      <c r="C155" s="47" t="s">
        <v>116</v>
      </c>
      <c r="D155" s="47"/>
      <c r="E155" s="47"/>
      <c r="F155" s="47"/>
      <c r="G155" s="47"/>
      <c r="H155" s="47"/>
      <c r="I155" s="47"/>
      <c r="J155" s="47"/>
    </row>
  </sheetData>
  <autoFilter ref="A1:J155" xr:uid="{CBA6D9C7-268E-408C-BD17-01073277E043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F9E61-9FA6-4B91-BEAB-2EC7818C516E}">
  <dimension ref="A1:N3"/>
  <sheetViews>
    <sheetView zoomScale="70" zoomScaleNormal="70" workbookViewId="0">
      <selection activeCell="G4" sqref="G3:G4"/>
    </sheetView>
  </sheetViews>
  <sheetFormatPr baseColWidth="10" defaultRowHeight="14.4" x14ac:dyDescent="0.3"/>
  <cols>
    <col min="1" max="1" width="13.5546875" style="30" customWidth="1"/>
    <col min="2" max="2" width="21.5546875" style="30" customWidth="1"/>
    <col min="3" max="3" width="23.33203125" style="30" bestFit="1" customWidth="1"/>
    <col min="4" max="4" width="12.88671875" style="30" customWidth="1"/>
    <col min="5" max="5" width="12.6640625" style="30" bestFit="1" customWidth="1"/>
    <col min="6" max="6" width="17.88671875" style="30" customWidth="1"/>
    <col min="7" max="7" width="52.109375" customWidth="1"/>
    <col min="8" max="8" width="28.109375" bestFit="1" customWidth="1"/>
    <col min="9" max="9" width="14.33203125" bestFit="1" customWidth="1"/>
    <col min="10" max="11" width="13" bestFit="1" customWidth="1"/>
    <col min="12" max="12" width="15.6640625" customWidth="1"/>
    <col min="13" max="13" width="17" customWidth="1"/>
    <col min="14" max="14" width="17.88671875" customWidth="1"/>
  </cols>
  <sheetData>
    <row r="1" spans="1:14" s="31" customFormat="1" ht="100.8" x14ac:dyDescent="0.3">
      <c r="A1" s="32" t="s">
        <v>82</v>
      </c>
      <c r="B1" s="32" t="s">
        <v>78</v>
      </c>
      <c r="C1" s="32" t="s">
        <v>79</v>
      </c>
      <c r="D1" s="32" t="s">
        <v>80</v>
      </c>
      <c r="E1" s="32" t="s">
        <v>81</v>
      </c>
      <c r="F1" s="32" t="s">
        <v>83</v>
      </c>
      <c r="G1" s="32" t="s">
        <v>94</v>
      </c>
      <c r="H1" s="32" t="s">
        <v>93</v>
      </c>
      <c r="I1" s="32" t="s">
        <v>84</v>
      </c>
      <c r="J1" s="32" t="s">
        <v>85</v>
      </c>
      <c r="K1" s="32" t="s">
        <v>86</v>
      </c>
      <c r="L1" s="32" t="s">
        <v>91</v>
      </c>
      <c r="M1" s="32" t="s">
        <v>92</v>
      </c>
      <c r="N1" s="32" t="s">
        <v>87</v>
      </c>
    </row>
    <row r="2" spans="1:14" s="31" customFormat="1" ht="111.75" customHeight="1" x14ac:dyDescent="0.3">
      <c r="A2" s="34">
        <v>46048</v>
      </c>
      <c r="B2" s="30" t="s">
        <v>88</v>
      </c>
      <c r="C2" s="30" t="s">
        <v>89</v>
      </c>
      <c r="D2" s="30">
        <v>4</v>
      </c>
      <c r="E2" s="29">
        <v>46049</v>
      </c>
      <c r="F2" s="29">
        <v>46052</v>
      </c>
      <c r="G2" s="1" t="s">
        <v>90</v>
      </c>
      <c r="H2" s="36">
        <v>0</v>
      </c>
      <c r="I2" s="36">
        <f>14000*D2</f>
        <v>56000</v>
      </c>
      <c r="J2" s="36">
        <f>30000*D2</f>
        <v>120000</v>
      </c>
      <c r="K2" s="36">
        <f>30000*D2</f>
        <v>120000</v>
      </c>
      <c r="L2" s="36">
        <v>257530</v>
      </c>
      <c r="M2" s="36">
        <v>0</v>
      </c>
      <c r="N2" s="36">
        <f>H2+I2+J2+K2+L2+M2</f>
        <v>553530</v>
      </c>
    </row>
    <row r="3" spans="1:14" ht="99.75" customHeight="1" x14ac:dyDescent="0.3">
      <c r="A3" s="29">
        <v>46073</v>
      </c>
      <c r="B3" s="30" t="s">
        <v>88</v>
      </c>
      <c r="C3" s="30" t="s">
        <v>89</v>
      </c>
      <c r="D3" s="30">
        <v>3</v>
      </c>
      <c r="E3" s="29">
        <v>46076</v>
      </c>
      <c r="F3" s="29">
        <v>46078</v>
      </c>
      <c r="G3" s="1" t="s">
        <v>90</v>
      </c>
      <c r="H3" s="33">
        <v>200000</v>
      </c>
      <c r="I3" s="33">
        <f>14000*3</f>
        <v>42000</v>
      </c>
      <c r="J3" s="33">
        <f>30000*3</f>
        <v>90000</v>
      </c>
      <c r="K3" s="33">
        <f>30000*3</f>
        <v>90000</v>
      </c>
      <c r="L3" s="33">
        <v>0</v>
      </c>
      <c r="M3" s="33">
        <v>40000</v>
      </c>
      <c r="N3" s="35">
        <f>H3+I3+J3+K3+L3+M3</f>
        <v>462000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500AA-7329-4F4E-9490-5EBB69DF15BD}">
  <dimension ref="A1:M15"/>
  <sheetViews>
    <sheetView topLeftCell="C1" zoomScale="85" zoomScaleNormal="85" workbookViewId="0">
      <pane ySplit="1" topLeftCell="A11" activePane="bottomLeft" state="frozen"/>
      <selection pane="bottomLeft" activeCell="D5" sqref="D5"/>
    </sheetView>
  </sheetViews>
  <sheetFormatPr baseColWidth="10" defaultColWidth="11.44140625" defaultRowHeight="18" x14ac:dyDescent="0.35"/>
  <cols>
    <col min="1" max="1" width="27" style="23" customWidth="1"/>
    <col min="2" max="2" width="15.44140625" style="23" bestFit="1" customWidth="1"/>
    <col min="3" max="3" width="20.33203125" style="23" customWidth="1"/>
    <col min="4" max="4" width="87.109375" style="23" customWidth="1"/>
    <col min="5" max="5" width="15.88671875" style="28" bestFit="1" customWidth="1"/>
    <col min="6" max="6" width="28.44140625" style="28" bestFit="1" customWidth="1"/>
    <col min="7" max="7" width="10.33203125" style="23" customWidth="1"/>
    <col min="8" max="8" width="28.33203125" style="23" customWidth="1"/>
    <col min="9" max="11" width="19.33203125" style="23" customWidth="1"/>
    <col min="12" max="12" width="33.88671875" style="23" customWidth="1"/>
    <col min="13" max="13" width="28.5546875" style="23" customWidth="1"/>
    <col min="14" max="16384" width="11.44140625" style="23"/>
  </cols>
  <sheetData>
    <row r="1" spans="1:13" ht="40.5" customHeight="1" x14ac:dyDescent="0.35">
      <c r="A1" s="20" t="s">
        <v>54</v>
      </c>
      <c r="B1" s="20" t="s">
        <v>35</v>
      </c>
      <c r="C1" s="20" t="s">
        <v>36</v>
      </c>
      <c r="D1" s="20" t="s">
        <v>37</v>
      </c>
      <c r="E1" s="21" t="s">
        <v>38</v>
      </c>
      <c r="F1" s="21" t="s">
        <v>39</v>
      </c>
      <c r="G1" s="21" t="s">
        <v>40</v>
      </c>
      <c r="H1" s="22" t="s">
        <v>64</v>
      </c>
      <c r="I1" s="22" t="s">
        <v>65</v>
      </c>
      <c r="J1" s="22" t="s">
        <v>66</v>
      </c>
      <c r="K1" s="22" t="s">
        <v>67</v>
      </c>
      <c r="L1" s="22" t="s">
        <v>69</v>
      </c>
    </row>
    <row r="2" spans="1:13" ht="256.5" customHeight="1" x14ac:dyDescent="0.35">
      <c r="A2" s="13" t="s">
        <v>59</v>
      </c>
      <c r="B2" s="9" t="s">
        <v>41</v>
      </c>
      <c r="C2" s="10" t="s">
        <v>68</v>
      </c>
      <c r="D2" s="11" t="s">
        <v>42</v>
      </c>
      <c r="E2" s="12">
        <v>36</v>
      </c>
      <c r="F2" s="12">
        <v>6</v>
      </c>
      <c r="G2" s="12">
        <f>E2*F2</f>
        <v>216</v>
      </c>
      <c r="H2" s="65">
        <v>40000</v>
      </c>
      <c r="I2" s="65">
        <v>204000</v>
      </c>
      <c r="J2" s="65">
        <v>212450</v>
      </c>
      <c r="K2" s="65">
        <v>0</v>
      </c>
      <c r="L2" s="65">
        <f>SUM(H2:K3)</f>
        <v>456450</v>
      </c>
    </row>
    <row r="3" spans="1:13" ht="263.25" customHeight="1" x14ac:dyDescent="0.35">
      <c r="A3" s="13" t="s">
        <v>59</v>
      </c>
      <c r="B3" s="9" t="s">
        <v>41</v>
      </c>
      <c r="C3" s="10">
        <v>45679</v>
      </c>
      <c r="D3" s="11" t="s">
        <v>42</v>
      </c>
      <c r="E3" s="12">
        <v>5</v>
      </c>
      <c r="F3" s="12">
        <v>6</v>
      </c>
      <c r="G3" s="12">
        <f t="shared" ref="G3:G13" si="0">E3*F3</f>
        <v>30</v>
      </c>
      <c r="H3" s="65"/>
      <c r="I3" s="65"/>
      <c r="J3" s="65"/>
      <c r="K3" s="65"/>
      <c r="L3" s="65"/>
    </row>
    <row r="4" spans="1:13" ht="118.5" customHeight="1" x14ac:dyDescent="0.35">
      <c r="A4" s="13" t="s">
        <v>55</v>
      </c>
      <c r="B4" s="9" t="s">
        <v>15</v>
      </c>
      <c r="C4" s="10">
        <v>45719</v>
      </c>
      <c r="D4" s="11" t="s">
        <v>43</v>
      </c>
      <c r="E4" s="12">
        <v>9</v>
      </c>
      <c r="F4" s="12">
        <v>1</v>
      </c>
      <c r="G4" s="12">
        <f t="shared" si="0"/>
        <v>9</v>
      </c>
      <c r="H4" s="24">
        <v>40000</v>
      </c>
      <c r="I4" s="24">
        <v>0</v>
      </c>
      <c r="J4" s="24">
        <v>0</v>
      </c>
      <c r="K4" s="24">
        <v>0</v>
      </c>
      <c r="L4" s="24">
        <f>SUM(H4:K4)</f>
        <v>40000</v>
      </c>
    </row>
    <row r="5" spans="1:13" ht="156.6" x14ac:dyDescent="0.35">
      <c r="A5" s="13" t="s">
        <v>59</v>
      </c>
      <c r="B5" s="9" t="s">
        <v>15</v>
      </c>
      <c r="C5" s="10">
        <v>45720</v>
      </c>
      <c r="D5" s="11" t="s">
        <v>44</v>
      </c>
      <c r="E5" s="12">
        <v>22</v>
      </c>
      <c r="F5" s="12">
        <v>4</v>
      </c>
      <c r="G5" s="12">
        <f t="shared" si="0"/>
        <v>88</v>
      </c>
      <c r="H5" s="65">
        <v>126000</v>
      </c>
      <c r="I5" s="65">
        <v>296001</v>
      </c>
      <c r="J5" s="65">
        <v>256400</v>
      </c>
      <c r="K5" s="65">
        <v>0</v>
      </c>
      <c r="L5" s="65">
        <v>296004</v>
      </c>
    </row>
    <row r="6" spans="1:13" ht="156.6" x14ac:dyDescent="0.35">
      <c r="A6" s="13" t="s">
        <v>59</v>
      </c>
      <c r="B6" s="9" t="s">
        <v>15</v>
      </c>
      <c r="C6" s="10">
        <v>45721</v>
      </c>
      <c r="D6" s="11" t="s">
        <v>45</v>
      </c>
      <c r="E6" s="12">
        <v>19</v>
      </c>
      <c r="F6" s="12">
        <v>4</v>
      </c>
      <c r="G6" s="12">
        <f t="shared" si="0"/>
        <v>76</v>
      </c>
      <c r="H6" s="65"/>
      <c r="I6" s="65"/>
      <c r="J6" s="65"/>
      <c r="K6" s="65"/>
      <c r="L6" s="65"/>
    </row>
    <row r="7" spans="1:13" ht="156.6" x14ac:dyDescent="0.35">
      <c r="A7" s="13" t="s">
        <v>59</v>
      </c>
      <c r="B7" s="9" t="s">
        <v>15</v>
      </c>
      <c r="C7" s="10">
        <v>45722</v>
      </c>
      <c r="D7" s="11" t="s">
        <v>46</v>
      </c>
      <c r="E7" s="12">
        <v>13</v>
      </c>
      <c r="F7" s="12">
        <v>4</v>
      </c>
      <c r="G7" s="12">
        <f t="shared" si="0"/>
        <v>52</v>
      </c>
      <c r="H7" s="65"/>
      <c r="I7" s="65"/>
      <c r="J7" s="65"/>
      <c r="K7" s="65"/>
      <c r="L7" s="65"/>
    </row>
    <row r="8" spans="1:13" ht="69.599999999999994" x14ac:dyDescent="0.35">
      <c r="A8" s="14" t="s">
        <v>55</v>
      </c>
      <c r="B8" s="9" t="s">
        <v>16</v>
      </c>
      <c r="C8" s="10">
        <v>45754</v>
      </c>
      <c r="D8" s="11" t="s">
        <v>47</v>
      </c>
      <c r="E8" s="12">
        <v>11</v>
      </c>
      <c r="F8" s="12">
        <v>1</v>
      </c>
      <c r="G8" s="12">
        <f t="shared" si="0"/>
        <v>11</v>
      </c>
      <c r="H8" s="24">
        <v>40000</v>
      </c>
      <c r="I8" s="24">
        <v>0</v>
      </c>
      <c r="J8" s="24">
        <v>0</v>
      </c>
      <c r="K8" s="24">
        <v>0</v>
      </c>
      <c r="L8" s="24">
        <f t="shared" ref="L8:L10" si="1">SUM(H8:K8)</f>
        <v>40000</v>
      </c>
    </row>
    <row r="9" spans="1:13" ht="104.4" x14ac:dyDescent="0.35">
      <c r="A9" s="14" t="s">
        <v>56</v>
      </c>
      <c r="B9" s="9" t="s">
        <v>17</v>
      </c>
      <c r="C9" s="10">
        <v>45793</v>
      </c>
      <c r="D9" s="11" t="s">
        <v>48</v>
      </c>
      <c r="E9" s="12">
        <v>16</v>
      </c>
      <c r="F9" s="12">
        <v>2</v>
      </c>
      <c r="G9" s="12">
        <f t="shared" si="0"/>
        <v>32</v>
      </c>
      <c r="H9" s="24">
        <v>40000</v>
      </c>
      <c r="I9" s="24">
        <v>0</v>
      </c>
      <c r="J9" s="24">
        <v>0</v>
      </c>
      <c r="K9" s="24">
        <v>0</v>
      </c>
      <c r="L9" s="24">
        <f t="shared" si="1"/>
        <v>40000</v>
      </c>
    </row>
    <row r="10" spans="1:13" ht="104.4" x14ac:dyDescent="0.35">
      <c r="A10" s="14" t="s">
        <v>56</v>
      </c>
      <c r="B10" s="9" t="s">
        <v>17</v>
      </c>
      <c r="C10" s="10">
        <v>45793</v>
      </c>
      <c r="D10" s="11" t="s">
        <v>49</v>
      </c>
      <c r="E10" s="12">
        <v>16</v>
      </c>
      <c r="F10" s="12">
        <v>2</v>
      </c>
      <c r="G10" s="12">
        <f t="shared" si="0"/>
        <v>32</v>
      </c>
      <c r="H10" s="24">
        <v>40000</v>
      </c>
      <c r="I10" s="24">
        <v>0</v>
      </c>
      <c r="J10" s="24">
        <v>0</v>
      </c>
      <c r="K10" s="24">
        <v>0</v>
      </c>
      <c r="L10" s="24">
        <f t="shared" si="1"/>
        <v>40000</v>
      </c>
    </row>
    <row r="11" spans="1:13" ht="139.19999999999999" x14ac:dyDescent="0.35">
      <c r="A11" s="14" t="s">
        <v>55</v>
      </c>
      <c r="B11" s="9" t="s">
        <v>18</v>
      </c>
      <c r="C11" s="10">
        <v>45817</v>
      </c>
      <c r="D11" s="11" t="s">
        <v>50</v>
      </c>
      <c r="E11" s="12">
        <v>12</v>
      </c>
      <c r="F11" s="12">
        <v>2</v>
      </c>
      <c r="G11" s="12">
        <f t="shared" si="0"/>
        <v>24</v>
      </c>
      <c r="H11" s="24">
        <v>40000</v>
      </c>
      <c r="I11" s="24">
        <v>0</v>
      </c>
      <c r="J11" s="24">
        <v>0</v>
      </c>
      <c r="K11" s="24">
        <v>0</v>
      </c>
      <c r="L11" s="24">
        <f t="shared" ref="L11" si="2">SUM(H11:K11)</f>
        <v>40000</v>
      </c>
    </row>
    <row r="12" spans="1:13" ht="156.6" x14ac:dyDescent="0.35">
      <c r="A12" s="13" t="s">
        <v>58</v>
      </c>
      <c r="B12" s="9" t="s">
        <v>19</v>
      </c>
      <c r="C12" s="10">
        <v>45867</v>
      </c>
      <c r="D12" s="11" t="s">
        <v>51</v>
      </c>
      <c r="E12" s="12">
        <v>8</v>
      </c>
      <c r="F12" s="12">
        <v>4</v>
      </c>
      <c r="G12" s="12">
        <f t="shared" si="0"/>
        <v>32</v>
      </c>
      <c r="H12" s="65">
        <v>0</v>
      </c>
      <c r="I12" s="65">
        <v>296000</v>
      </c>
      <c r="J12" s="65">
        <v>102630</v>
      </c>
      <c r="K12" s="65">
        <v>0</v>
      </c>
      <c r="L12" s="65">
        <f>SUM(H12:K13)</f>
        <v>398630</v>
      </c>
    </row>
    <row r="13" spans="1:13" ht="156.6" x14ac:dyDescent="0.35">
      <c r="A13" s="13" t="s">
        <v>57</v>
      </c>
      <c r="B13" s="9" t="s">
        <v>19</v>
      </c>
      <c r="C13" s="10">
        <v>45868</v>
      </c>
      <c r="D13" s="11" t="s">
        <v>52</v>
      </c>
      <c r="E13" s="12">
        <v>3</v>
      </c>
      <c r="F13" s="12">
        <v>4</v>
      </c>
      <c r="G13" s="12">
        <f t="shared" si="0"/>
        <v>12</v>
      </c>
      <c r="H13" s="65"/>
      <c r="I13" s="65"/>
      <c r="J13" s="65"/>
      <c r="K13" s="65"/>
      <c r="L13" s="65"/>
    </row>
    <row r="14" spans="1:13" ht="96.75" customHeight="1" x14ac:dyDescent="0.35">
      <c r="A14" s="14" t="s">
        <v>55</v>
      </c>
      <c r="B14" s="16" t="s">
        <v>21</v>
      </c>
      <c r="C14" s="17">
        <v>45929</v>
      </c>
      <c r="D14" s="18" t="s">
        <v>53</v>
      </c>
      <c r="E14" s="19">
        <v>5</v>
      </c>
      <c r="F14" s="19">
        <v>1</v>
      </c>
      <c r="G14" s="19">
        <f>E14*F14</f>
        <v>5</v>
      </c>
      <c r="H14" s="25">
        <v>0</v>
      </c>
      <c r="I14" s="25">
        <v>0</v>
      </c>
      <c r="J14" s="25">
        <v>0</v>
      </c>
      <c r="K14" s="25">
        <v>0</v>
      </c>
      <c r="L14" s="25">
        <f t="shared" ref="L14" si="3">SUM(H14:K14)</f>
        <v>0</v>
      </c>
      <c r="M14" s="26" t="s">
        <v>70</v>
      </c>
    </row>
    <row r="15" spans="1:13" ht="63" customHeight="1" x14ac:dyDescent="0.35">
      <c r="A15" s="66" t="s">
        <v>71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27">
        <f>SUM(L2:L14)</f>
        <v>1351084</v>
      </c>
    </row>
  </sheetData>
  <mergeCells count="16">
    <mergeCell ref="A15:K15"/>
    <mergeCell ref="H12:H13"/>
    <mergeCell ref="I12:I13"/>
    <mergeCell ref="J12:J13"/>
    <mergeCell ref="K12:K13"/>
    <mergeCell ref="L12:L13"/>
    <mergeCell ref="L2:L3"/>
    <mergeCell ref="H5:H7"/>
    <mergeCell ref="I5:I7"/>
    <mergeCell ref="J5:J7"/>
    <mergeCell ref="K5:K7"/>
    <mergeCell ref="L5:L7"/>
    <mergeCell ref="H2:H3"/>
    <mergeCell ref="I2:I3"/>
    <mergeCell ref="J2:J3"/>
    <mergeCell ref="K2:K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2026</vt:lpstr>
      <vt:lpstr>agenda completa SST</vt:lpstr>
      <vt:lpstr>agenda completa gestores</vt:lpstr>
      <vt:lpstr>viaticos 2026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Arzuza</dc:creator>
  <cp:lastModifiedBy>Laura Vanesa Moreno Betancur</cp:lastModifiedBy>
  <dcterms:created xsi:type="dcterms:W3CDTF">2025-11-06T14:06:48Z</dcterms:created>
  <dcterms:modified xsi:type="dcterms:W3CDTF">2026-06-27T00:19:28Z</dcterms:modified>
</cp:coreProperties>
</file>