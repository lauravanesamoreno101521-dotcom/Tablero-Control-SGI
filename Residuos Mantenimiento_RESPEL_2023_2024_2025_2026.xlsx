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betancur\Desktop\"/>
    </mc:Choice>
  </mc:AlternateContent>
  <xr:revisionPtr revIDLastSave="0" documentId="8_{387D3644-34C5-47A7-9E39-53D97FF55F13}" xr6:coauthVersionLast="47" xr6:coauthVersionMax="47" xr10:uidLastSave="{00000000-0000-0000-0000-000000000000}"/>
  <bookViews>
    <workbookView xWindow="-120" yWindow="-120" windowWidth="20730" windowHeight="11040" xr2:uid="{84D92FCE-F63A-4118-8B73-B0FE23CA11A2}"/>
  </bookViews>
  <sheets>
    <sheet name="REPORTE 2026" sheetId="15" r:id="rId1"/>
    <sheet name="INDICADORES 2024 - 2025" sheetId="13" r:id="rId2"/>
    <sheet name="TD_2025" sheetId="14" r:id="rId3"/>
    <sheet name="REPORTE 2025" sheetId="8" r:id="rId4"/>
    <sheet name="INFORMACIÓN BASE 2025" sheetId="12" r:id="rId5"/>
    <sheet name="CONSOLIDADO EMPRESTUR 2024" sheetId="11" r:id="rId6"/>
    <sheet name="Hoja2" sheetId="9" r:id="rId7"/>
    <sheet name="REPORTE DAVIDUS 2024" sheetId="5" r:id="rId8"/>
    <sheet name="TD_REP_DAVIDUS_2024" sheetId="10" r:id="rId9"/>
    <sheet name="DAVIDUS 2024" sheetId="7" r:id="rId10"/>
    <sheet name="EMPRESTUR 2024" sheetId="6" r:id="rId11"/>
    <sheet name="REPORTE 2023" sheetId="1" r:id="rId12"/>
    <sheet name="EMPRESTUR 2023" sheetId="3" r:id="rId13"/>
    <sheet name="DAVIDUS 2023" sheetId="4" r:id="rId14"/>
    <sheet name="INFORMACIÓN" sheetId="2" r:id="rId15"/>
  </sheets>
  <definedNames>
    <definedName name="_xlnm._FilterDatabase" localSheetId="11" hidden="1">'REPORTE 2023'!$A$1:$J$28</definedName>
    <definedName name="_xlnm._FilterDatabase" localSheetId="3" hidden="1">'REPORTE 2025'!$A$1:$L$93</definedName>
    <definedName name="_xlnm._FilterDatabase" localSheetId="0" hidden="1">'REPORTE 2026'!$A$1:$L$93</definedName>
  </definedNames>
  <calcPr calcId="191028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" i="13" l="1"/>
  <c r="J55" i="13"/>
  <c r="I55" i="13"/>
  <c r="H55" i="13"/>
  <c r="Q54" i="13"/>
  <c r="Q53" i="13"/>
  <c r="Q52" i="13"/>
  <c r="Q51" i="13"/>
  <c r="Q50" i="13"/>
  <c r="Q49" i="13"/>
  <c r="O55" i="13"/>
  <c r="N55" i="13"/>
  <c r="M55" i="13"/>
  <c r="L55" i="13"/>
  <c r="K55" i="13"/>
  <c r="G55" i="13"/>
  <c r="F55" i="13"/>
  <c r="Q48" i="13"/>
  <c r="Q47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Q32" i="13"/>
  <c r="G17" i="13"/>
  <c r="R15" i="13"/>
  <c r="O12" i="13"/>
  <c r="N12" i="13"/>
  <c r="M12" i="13"/>
  <c r="G12" i="13"/>
  <c r="F12" i="13"/>
  <c r="E12" i="13"/>
  <c r="Q11" i="13"/>
  <c r="Q10" i="13"/>
  <c r="Q9" i="13"/>
  <c r="Q8" i="13"/>
  <c r="Q7" i="13"/>
  <c r="Q6" i="13"/>
  <c r="P5" i="13"/>
  <c r="P12" i="13" s="1"/>
  <c r="O5" i="13"/>
  <c r="O17" i="13" s="1"/>
  <c r="N5" i="13"/>
  <c r="N17" i="13" s="1"/>
  <c r="M5" i="13"/>
  <c r="M17" i="13" s="1"/>
  <c r="L5" i="13"/>
  <c r="L12" i="13" s="1"/>
  <c r="K5" i="13"/>
  <c r="K12" i="13" s="1"/>
  <c r="J5" i="13"/>
  <c r="J12" i="13" s="1"/>
  <c r="I5" i="13"/>
  <c r="I17" i="13" s="1"/>
  <c r="H5" i="13"/>
  <c r="H12" i="13" s="1"/>
  <c r="G5" i="13"/>
  <c r="F5" i="13"/>
  <c r="F17" i="13" s="1"/>
  <c r="E5" i="13"/>
  <c r="E17" i="13" s="1"/>
  <c r="Q4" i="13"/>
  <c r="P33" i="11"/>
  <c r="O33" i="11"/>
  <c r="N33" i="11"/>
  <c r="M33" i="11"/>
  <c r="L33" i="11"/>
  <c r="K33" i="11"/>
  <c r="J33" i="11"/>
  <c r="I33" i="11"/>
  <c r="H33" i="11"/>
  <c r="G33" i="11"/>
  <c r="F33" i="11"/>
  <c r="E33" i="11"/>
  <c r="Q32" i="11"/>
  <c r="P17" i="11"/>
  <c r="H17" i="11"/>
  <c r="R15" i="11"/>
  <c r="N12" i="11"/>
  <c r="F12" i="11"/>
  <c r="Q11" i="11"/>
  <c r="Q10" i="11"/>
  <c r="Q9" i="11"/>
  <c r="Q8" i="11"/>
  <c r="Q7" i="11"/>
  <c r="Q6" i="11"/>
  <c r="Q5" i="11"/>
  <c r="P5" i="11"/>
  <c r="P12" i="11" s="1"/>
  <c r="O5" i="11"/>
  <c r="O12" i="11" s="1"/>
  <c r="N5" i="11"/>
  <c r="N17" i="11" s="1"/>
  <c r="M5" i="11"/>
  <c r="M17" i="11" s="1"/>
  <c r="L5" i="11"/>
  <c r="L12" i="11" s="1"/>
  <c r="K5" i="11"/>
  <c r="K12" i="11" s="1"/>
  <c r="J5" i="11"/>
  <c r="J12" i="11" s="1"/>
  <c r="I5" i="11"/>
  <c r="I12" i="11" s="1"/>
  <c r="H5" i="11"/>
  <c r="H12" i="11" s="1"/>
  <c r="G5" i="11"/>
  <c r="G12" i="11" s="1"/>
  <c r="F5" i="11"/>
  <c r="F17" i="11" s="1"/>
  <c r="E5" i="11"/>
  <c r="E17" i="11" s="1"/>
  <c r="Q4" i="11"/>
  <c r="Q12" i="11" s="1"/>
  <c r="P5" i="7"/>
  <c r="P6" i="7"/>
  <c r="P7" i="7"/>
  <c r="P8" i="7"/>
  <c r="P9" i="7"/>
  <c r="P10" i="7"/>
  <c r="P11" i="7"/>
  <c r="P12" i="7"/>
  <c r="P13" i="7"/>
  <c r="P14" i="7"/>
  <c r="P4" i="7"/>
  <c r="E15" i="7"/>
  <c r="F15" i="7"/>
  <c r="G15" i="7"/>
  <c r="H15" i="7"/>
  <c r="I15" i="7"/>
  <c r="J15" i="7"/>
  <c r="K15" i="7"/>
  <c r="L15" i="7"/>
  <c r="M15" i="7"/>
  <c r="N15" i="7"/>
  <c r="O15" i="7"/>
  <c r="D15" i="7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F33" i="6"/>
  <c r="G33" i="6"/>
  <c r="H33" i="6"/>
  <c r="I33" i="6"/>
  <c r="J33" i="6"/>
  <c r="K33" i="6"/>
  <c r="L33" i="6"/>
  <c r="M33" i="6"/>
  <c r="N33" i="6"/>
  <c r="O33" i="6"/>
  <c r="P33" i="6"/>
  <c r="E33" i="6"/>
  <c r="Q32" i="6"/>
  <c r="F17" i="6"/>
  <c r="G17" i="6"/>
  <c r="H17" i="6"/>
  <c r="I17" i="6"/>
  <c r="J17" i="6"/>
  <c r="K17" i="6"/>
  <c r="L17" i="6"/>
  <c r="M17" i="6"/>
  <c r="N17" i="6"/>
  <c r="O17" i="6"/>
  <c r="P17" i="6"/>
  <c r="Q17" i="6"/>
  <c r="E17" i="6"/>
  <c r="Q9" i="6"/>
  <c r="R15" i="6"/>
  <c r="F5" i="6"/>
  <c r="F12" i="6" s="1"/>
  <c r="G5" i="6"/>
  <c r="G12" i="6" s="1"/>
  <c r="H5" i="6"/>
  <c r="H12" i="6" s="1"/>
  <c r="I5" i="6"/>
  <c r="I12" i="6" s="1"/>
  <c r="J5" i="6"/>
  <c r="J12" i="6" s="1"/>
  <c r="K5" i="6"/>
  <c r="K12" i="6" s="1"/>
  <c r="L5" i="6"/>
  <c r="L12" i="6" s="1"/>
  <c r="M5" i="6"/>
  <c r="M12" i="6" s="1"/>
  <c r="N5" i="6"/>
  <c r="N12" i="6" s="1"/>
  <c r="O5" i="6"/>
  <c r="O12" i="6" s="1"/>
  <c r="P5" i="6"/>
  <c r="P12" i="6" s="1"/>
  <c r="E5" i="6"/>
  <c r="E12" i="6" s="1"/>
  <c r="Q6" i="6"/>
  <c r="Q11" i="6"/>
  <c r="Q8" i="6"/>
  <c r="Q7" i="6"/>
  <c r="Q10" i="6"/>
  <c r="Q4" i="6"/>
  <c r="N28" i="4"/>
  <c r="H32" i="4"/>
  <c r="C36" i="3"/>
  <c r="N30" i="3"/>
  <c r="H8" i="3"/>
  <c r="N33" i="3"/>
  <c r="I33" i="3"/>
  <c r="E33" i="3"/>
  <c r="I29" i="4"/>
  <c r="E29" i="4"/>
  <c r="N29" i="4"/>
  <c r="M32" i="4"/>
  <c r="L32" i="4"/>
  <c r="K32" i="4"/>
  <c r="J32" i="4"/>
  <c r="I32" i="4"/>
  <c r="G32" i="4"/>
  <c r="F32" i="4"/>
  <c r="E32" i="4"/>
  <c r="D32" i="4"/>
  <c r="C32" i="4"/>
  <c r="B32" i="4"/>
  <c r="N30" i="4"/>
  <c r="N27" i="4"/>
  <c r="N26" i="4"/>
  <c r="E19" i="4"/>
  <c r="E14" i="4"/>
  <c r="G9" i="4"/>
  <c r="H3" i="4"/>
  <c r="D36" i="3"/>
  <c r="E36" i="3"/>
  <c r="F34" i="3"/>
  <c r="F36" i="3"/>
  <c r="G36" i="3"/>
  <c r="H34" i="3"/>
  <c r="H36" i="3"/>
  <c r="I36" i="3"/>
  <c r="J36" i="3"/>
  <c r="K34" i="3"/>
  <c r="K36" i="3"/>
  <c r="L36" i="3"/>
  <c r="M36" i="3"/>
  <c r="B36" i="3"/>
  <c r="N34" i="3"/>
  <c r="E24" i="3"/>
  <c r="N32" i="3"/>
  <c r="G14" i="3"/>
  <c r="N31" i="3"/>
  <c r="E19" i="3"/>
  <c r="N29" i="3"/>
  <c r="E3" i="3"/>
  <c r="Q55" i="13" l="1"/>
  <c r="E55" i="13"/>
  <c r="P17" i="13"/>
  <c r="J17" i="13"/>
  <c r="K17" i="13"/>
  <c r="Q5" i="13"/>
  <c r="Q12" i="13" s="1"/>
  <c r="I12" i="13"/>
  <c r="L17" i="13"/>
  <c r="H17" i="13"/>
  <c r="E12" i="11"/>
  <c r="M12" i="11"/>
  <c r="G17" i="11"/>
  <c r="O17" i="11"/>
  <c r="I17" i="11"/>
  <c r="Q17" i="11"/>
  <c r="J17" i="11"/>
  <c r="K17" i="11"/>
  <c r="L17" i="11"/>
  <c r="P15" i="7"/>
  <c r="Q5" i="6"/>
  <c r="Q12" i="6" s="1"/>
  <c r="Q17" i="13" l="1"/>
</calcChain>
</file>

<file path=xl/sharedStrings.xml><?xml version="1.0" encoding="utf-8"?>
<sst xmlns="http://schemas.openxmlformats.org/spreadsheetml/2006/main" count="1997" uniqueCount="346">
  <si>
    <t xml:space="preserve">CORRIENTE </t>
  </si>
  <si>
    <t>SUB CORRIENTE</t>
  </si>
  <si>
    <t xml:space="preserve">RESIDUO </t>
  </si>
  <si>
    <t xml:space="preserve">CANTIDAD </t>
  </si>
  <si>
    <t>UNIDAD</t>
  </si>
  <si>
    <t xml:space="preserve">MES </t>
  </si>
  <si>
    <t>FECHA</t>
  </si>
  <si>
    <t xml:space="preserve">DISPOSICION </t>
  </si>
  <si>
    <t xml:space="preserve">EMPRESA </t>
  </si>
  <si>
    <t>Y9</t>
  </si>
  <si>
    <t>Y9.3</t>
  </si>
  <si>
    <t>Lodos y natas</t>
  </si>
  <si>
    <t>kg</t>
  </si>
  <si>
    <t>Febrero</t>
  </si>
  <si>
    <t>Celda de seguridad</t>
  </si>
  <si>
    <t>Emprestur</t>
  </si>
  <si>
    <t>Mayo</t>
  </si>
  <si>
    <t>Julio</t>
  </si>
  <si>
    <t xml:space="preserve">Octubre </t>
  </si>
  <si>
    <t>Y8</t>
  </si>
  <si>
    <t>Y8.1</t>
  </si>
  <si>
    <t>Aceite</t>
  </si>
  <si>
    <t>168
570</t>
  </si>
  <si>
    <t>Gal 
Kg</t>
  </si>
  <si>
    <t>Aprovechamiento</t>
  </si>
  <si>
    <t xml:space="preserve">Emprestur
Doctor autos </t>
  </si>
  <si>
    <t>Y8,2</t>
  </si>
  <si>
    <t xml:space="preserve">Estopas y trapos contaminados con hidrocarburos </t>
  </si>
  <si>
    <t>Incineración - Celda de seguridad</t>
  </si>
  <si>
    <t>Y9,5</t>
  </si>
  <si>
    <t xml:space="preserve">Tarros contaminados </t>
  </si>
  <si>
    <t>A3020</t>
  </si>
  <si>
    <t xml:space="preserve">Filtros de aire </t>
  </si>
  <si>
    <t>137
464</t>
  </si>
  <si>
    <t xml:space="preserve">Marzo </t>
  </si>
  <si>
    <t xml:space="preserve">Solidos contaminados </t>
  </si>
  <si>
    <t>165
559</t>
  </si>
  <si>
    <t>Y9.2</t>
  </si>
  <si>
    <t>150
509</t>
  </si>
  <si>
    <t>Agosto</t>
  </si>
  <si>
    <t>210
712</t>
  </si>
  <si>
    <t>Y31</t>
  </si>
  <si>
    <t xml:space="preserve">Baterias </t>
  </si>
  <si>
    <t xml:space="preserve">6 Unidades 
KG </t>
  </si>
  <si>
    <t>Abril</t>
  </si>
  <si>
    <t>17 Unidades 
KG</t>
  </si>
  <si>
    <t xml:space="preserve">LODOS </t>
  </si>
  <si>
    <t>TOTAL</t>
  </si>
  <si>
    <t xml:space="preserve">ACEITE </t>
  </si>
  <si>
    <t>GAL</t>
  </si>
  <si>
    <t>KG</t>
  </si>
  <si>
    <t>ESTOPAS Y TRAPOS CONTAMINADOS</t>
  </si>
  <si>
    <t>FILTROS DE AIRE</t>
  </si>
  <si>
    <t>TARROS CONTAMINADOS</t>
  </si>
  <si>
    <t>EMPRESTUR</t>
  </si>
  <si>
    <t>ENERO</t>
  </si>
  <si>
    <t>FEBRERO</t>
  </si>
  <si>
    <t xml:space="preserve">MARZO </t>
  </si>
  <si>
    <t xml:space="preserve">ABRIL </t>
  </si>
  <si>
    <t xml:space="preserve">MAYO </t>
  </si>
  <si>
    <t>JUNIO</t>
  </si>
  <si>
    <t xml:space="preserve">JULIO </t>
  </si>
  <si>
    <t>AGOSTO</t>
  </si>
  <si>
    <t>SEPTIEMBRE</t>
  </si>
  <si>
    <t xml:space="preserve">OCTUBRE </t>
  </si>
  <si>
    <t>NOVIEMBRE</t>
  </si>
  <si>
    <t>DICIEMBRE</t>
  </si>
  <si>
    <t>LODOS</t>
  </si>
  <si>
    <t>ACEITE KG</t>
  </si>
  <si>
    <t>ESTOPAS Y TRAPOS</t>
  </si>
  <si>
    <t>BATERIAS</t>
  </si>
  <si>
    <t xml:space="preserve">TARROS CONTAMINADOS </t>
  </si>
  <si>
    <t>DAVIDUS</t>
  </si>
  <si>
    <t>ACEITE GAL</t>
  </si>
  <si>
    <t>Proveedor transporte</t>
  </si>
  <si>
    <t>Proveedor disposición final</t>
  </si>
  <si>
    <t>peso por cada elemento que se dispone</t>
  </si>
  <si>
    <t>certificado cantidad de dispocisión en cada periodo</t>
  </si>
  <si>
    <t>Copia de la Resolución de transporte y de disposición final</t>
  </si>
  <si>
    <t>Inventario</t>
  </si>
  <si>
    <t xml:space="preserve">DESCRIPCIÓN </t>
  </si>
  <si>
    <t>CODIGO</t>
  </si>
  <si>
    <t>Servicios de transporte terrestre especial local de pasajeros</t>
  </si>
  <si>
    <t>LODOS Y NATAS</t>
  </si>
  <si>
    <t>Corriente deResiduo o Desecho Peligroso</t>
  </si>
  <si>
    <t>Y9 - Desechosde aceites minerales no aptos para el uso a que estaban destinados</t>
  </si>
  <si>
    <t>Subclasificación Corriente de Residuo o Desecho Peligroso</t>
  </si>
  <si>
    <t xml:space="preserve">Y9.3 - Solidos o semisolidos impregnados con </t>
  </si>
  <si>
    <t>Descripción delResiduo o Desecho Peligroso</t>
  </si>
  <si>
    <t>Lodos generados en la limpieza de  la Planta deTratamiento deaguas</t>
  </si>
  <si>
    <t>ESTOPAS, TRAPOS CONTAMINADOS CON HIDROCARBUROS</t>
  </si>
  <si>
    <t>Y8 - Desechos de aceites minerales no aptos para el uso a que estaban destinados</t>
  </si>
  <si>
    <t>Y8.2 - Elementos omaterialescontaminadoscon aceitelubricanteusado (ej. EPP,estopas, trapos,filtros, cauchos,aserrín,plásticos,grasasminerales,tapas casing)</t>
  </si>
  <si>
    <t>Descripción del Residuo o Desecho Peligroso</t>
  </si>
  <si>
    <t>Filtros de aceitecambiados enlosmantenimientosperiódicos delos vehículos</t>
  </si>
  <si>
    <t>ACEITE</t>
  </si>
  <si>
    <t>Y8.1 - Aceitelubricanteusado (ej.aceitelubricantemineral,sintético,hidráulicousado)</t>
  </si>
  <si>
    <t>Cambio deaceites enmantenimientosperiódicos delos vehículos</t>
  </si>
  <si>
    <t xml:space="preserve">Y31 - Desechos que tengan contituyentes de plomo </t>
  </si>
  <si>
    <t>Cambio debaterías a losvehículos enlosmantenimientos</t>
  </si>
  <si>
    <t xml:space="preserve">ENVACES CONTAMINADOS </t>
  </si>
  <si>
    <t>Y8.6 - Envases,recipientes,canecas,bidones ocontenedoresque contienen oque estáncontaminadoscon aceitesusados</t>
  </si>
  <si>
    <t>Productos deaseo utilizadospara el lavadode losvehiculas</t>
  </si>
  <si>
    <t>EMPRESA UNIDAD DE NEGOCIO</t>
  </si>
  <si>
    <t>EMPRESTUR S.A.S.</t>
  </si>
  <si>
    <t>DAVIDUS S.A</t>
  </si>
  <si>
    <t>Aceites</t>
  </si>
  <si>
    <t>Baterías</t>
  </si>
  <si>
    <t>Estopas y trapos contaminados con aceites</t>
  </si>
  <si>
    <t>Llantas</t>
  </si>
  <si>
    <t>Solidos contaminados</t>
  </si>
  <si>
    <t>Tarros contaminados</t>
  </si>
  <si>
    <t>Cuartos</t>
  </si>
  <si>
    <t>Chatarra</t>
  </si>
  <si>
    <t>kilos</t>
  </si>
  <si>
    <t>Unidad</t>
  </si>
  <si>
    <t>UNIDAD MEDIDA</t>
  </si>
  <si>
    <t>RESIDUOS</t>
  </si>
  <si>
    <t>y8,2</t>
  </si>
  <si>
    <t>LLANTAS</t>
  </si>
  <si>
    <t>CODIGO CPC</t>
  </si>
  <si>
    <t>PASAR A KILOS</t>
  </si>
  <si>
    <t>CHATARRAS</t>
  </si>
  <si>
    <t>KILOS SUMATORIA</t>
  </si>
  <si>
    <t>EMPRESA</t>
  </si>
  <si>
    <t>RESIDUO</t>
  </si>
  <si>
    <t>Corriente de Residuo o Desecho Peligroso VER LISTA DESPLEGABLE</t>
  </si>
  <si>
    <t>DESCRIPCIÓN DE LA CORRIENTE</t>
  </si>
  <si>
    <t>Desagregación de la corriente VER LISTA DESPLEGABLE</t>
  </si>
  <si>
    <t>Descripción del residuo o desecho peligroso y tipo de gestión</t>
  </si>
  <si>
    <t>UNIDAD DE MEDIDA</t>
  </si>
  <si>
    <t>Estado de la Materia (Gaseoso - liquido -Solido o semisolidos)</t>
  </si>
  <si>
    <t>ALMACENAMIENTO</t>
  </si>
  <si>
    <t>APROVECHAMIENTO O RECUPERACIÓN</t>
  </si>
  <si>
    <t>TRATAMIENTO</t>
  </si>
  <si>
    <t xml:space="preserve">DISPOSICIÓN FINAL </t>
  </si>
  <si>
    <t>MANEJO DE RESIDUOS O DESECHOS PELIGROSOS (Almacenamiento, aprovechamiento, tratamiento, disposición final)</t>
  </si>
  <si>
    <t>GENERACIÓN DE RESIDUOS O DESECHOS PELIGROSOS =Valor total calculado según el registro en el manejo residuos)</t>
  </si>
  <si>
    <t>filtros tratamiento</t>
  </si>
  <si>
    <t>filtros aprovechamiento</t>
  </si>
  <si>
    <t>25.1</t>
  </si>
  <si>
    <t>16.45</t>
  </si>
  <si>
    <t>76.2</t>
  </si>
  <si>
    <t>34.9</t>
  </si>
  <si>
    <t>30.35</t>
  </si>
  <si>
    <t>9.45</t>
  </si>
  <si>
    <t>7.8</t>
  </si>
  <si>
    <t>13.95</t>
  </si>
  <si>
    <t>235.85</t>
  </si>
  <si>
    <t>20.95</t>
  </si>
  <si>
    <t>17.2</t>
  </si>
  <si>
    <t>233.85</t>
  </si>
  <si>
    <t>Filtros de aire acondicionado</t>
  </si>
  <si>
    <t>Otros Filtros</t>
  </si>
  <si>
    <t>Kilogramos</t>
  </si>
  <si>
    <t>Y8.2 - Elementos o materiales contaminados con aceite lubricante usado (ej. EPP, estopas, trapos, filtros, otros)</t>
  </si>
  <si>
    <t>Y8.1 - Aceite lubricante usado (ej. aceite lubricante mineral, sintético, hidráulico usados</t>
  </si>
  <si>
    <t>Celdas de seguridad</t>
  </si>
  <si>
    <t>Tratamiento</t>
  </si>
  <si>
    <t>DESCRIPCIÓN DEL PROCESO O MANEJO DEL RESIDUO</t>
  </si>
  <si>
    <t>R4 :: Reciclado o recuperación de metales y compuestos metálicos (ej. refinación, pirometalurgi</t>
  </si>
  <si>
    <t>Procesos de deshidratación, filtrado y recuperación
D9 :: Físico-químico (ej: evaporación, secado, neutralización, precipitación)</t>
  </si>
  <si>
    <t>incineración o Bioremediación</t>
  </si>
  <si>
    <t>Disposición final</t>
  </si>
  <si>
    <t>GESTOR QUE RECIBE RESIDUOS</t>
  </si>
  <si>
    <t>ASCRUDOS</t>
  </si>
  <si>
    <t>CÓDIGO DE CERTIFICADO</t>
  </si>
  <si>
    <t>FECHA DEL CERTIFICADO</t>
  </si>
  <si>
    <t>AS50387</t>
  </si>
  <si>
    <t xml:space="preserve">Unidades </t>
  </si>
  <si>
    <t>N/A</t>
  </si>
  <si>
    <t>RECICLAJE</t>
  </si>
  <si>
    <t>DESTRULLANTAS DE COLOMBIA S.A.S.</t>
  </si>
  <si>
    <t>AS51727</t>
  </si>
  <si>
    <t>CODIGO CERTIFICADO REPETIDO DEL CORRESPONDIENTE AL MES DE FEBRERO 2024</t>
  </si>
  <si>
    <t>Y31 - Desechos que tengan como constituyentes: Plomo, compuestos de plomo</t>
  </si>
  <si>
    <t>D5 :: Rellenos especialmente disenados (ej: relleno de seguridad o celda de segurid
kilogramo (kg)</t>
  </si>
  <si>
    <t>ACUMULADORES DEL ORIENTE</t>
  </si>
  <si>
    <t>AC-24-17207</t>
  </si>
  <si>
    <t>AS55308</t>
  </si>
  <si>
    <t>Incineración o Bioremediación</t>
  </si>
  <si>
    <t>Etiquetas de fila</t>
  </si>
  <si>
    <t>Total general</t>
  </si>
  <si>
    <t>Etiquetas de columna</t>
  </si>
  <si>
    <t xml:space="preserve">Suma de CANTIDAD </t>
  </si>
  <si>
    <t>Tarros</t>
  </si>
  <si>
    <t>Estopas</t>
  </si>
  <si>
    <t>Kilos</t>
  </si>
  <si>
    <t>filtros aire acondicionado</t>
  </si>
  <si>
    <t>Otros filtros</t>
  </si>
  <si>
    <t>Doctorautos.2023</t>
  </si>
  <si>
    <t>TIPO RESIDUOS</t>
  </si>
  <si>
    <t xml:space="preserve">DESCRIPCIÓN  </t>
  </si>
  <si>
    <t>GESTOR DEL RESIDUO</t>
  </si>
  <si>
    <t>KILOS</t>
  </si>
  <si>
    <t>Tipo de residuo</t>
  </si>
  <si>
    <t>Corriente Y (IDEAM)</t>
  </si>
  <si>
    <t>Código A (Basilea)</t>
  </si>
  <si>
    <t>Estado físico</t>
  </si>
  <si>
    <t>Característica CRETIB</t>
  </si>
  <si>
    <t>Tipo de gestión</t>
  </si>
  <si>
    <t>Descripción técnica</t>
  </si>
  <si>
    <t>Lodos y natas contaminados con hidrocarburos</t>
  </si>
  <si>
    <t>A4060</t>
  </si>
  <si>
    <t>Semisólido</t>
  </si>
  <si>
    <t>Tóxico / Inflamable</t>
  </si>
  <si>
    <t>Tratamiento o disposición final en celda de seguridad</t>
  </si>
  <si>
    <t>Lodos generados en la limpieza y mantenimiento de sistemas o plantas de tratamiento de aguas contaminadas con hidrocarburos.</t>
  </si>
  <si>
    <t>Estopas, trapos y filtros contaminados con hidrocarburos</t>
  </si>
  <si>
    <t>Sólido</t>
  </si>
  <si>
    <t>Inflamable / Tóxico</t>
  </si>
  <si>
    <t>Disposición final o coprocesamiento</t>
  </si>
  <si>
    <t>Material absorbente, EPP, estopas, trapos y filtros contaminados con aceites lubricantes usados generados en mantenimiento.</t>
  </si>
  <si>
    <t>Aceite lubricante usado</t>
  </si>
  <si>
    <t>Líquido</t>
  </si>
  <si>
    <t>Aprovechamiento o regeneración</t>
  </si>
  <si>
    <t>Aceite mineral, sintético o hidráulico generado en el cambio de aceite durante mantenimiento de vehículos o maquinaria.</t>
  </si>
  <si>
    <t>Baterías plomo-ácido usadas</t>
  </si>
  <si>
    <t>A1160</t>
  </si>
  <si>
    <t>Tóxico / Corrosivo</t>
  </si>
  <si>
    <t>Programa posconsumo o reciclaje autorizado</t>
  </si>
  <si>
    <t>Baterías usadas generadas durante el mantenimiento o reemplazo en vehículos o equipos.</t>
  </si>
  <si>
    <t>Envases contaminados con aceites</t>
  </si>
  <si>
    <t>Descontaminación o disposición final</t>
  </si>
  <si>
    <t>Envases, bidones o recipientes contaminados con aceite lubricante usado.</t>
  </si>
  <si>
    <t>Llantas fuera de uso</t>
  </si>
  <si>
    <t>No aplica RESPEL</t>
  </si>
  <si>
    <t>CPC 3611101</t>
  </si>
  <si>
    <t>No aplica</t>
  </si>
  <si>
    <t>Aprovechamiento / reciclaje</t>
  </si>
  <si>
    <t>Llantas usadas generadas en mantenimiento de vehículos gestionadas mediante programas de aprovechamiento.</t>
  </si>
  <si>
    <t>Chatarra contaminada con hidrocarburos</t>
  </si>
  <si>
    <t>Partes metálicas o chatarra contaminada con aceites o hidrocarburos generadas en mantenimiento de equipos.</t>
  </si>
  <si>
    <t>Y8.2. Elementos o materiales contaminados con aceite lubricante usado (ej. EPP, estopas, trapos, filtros,
cauchos, aserrín, plásticos, grasas minerales, tapas casing)</t>
  </si>
  <si>
    <t>Y8.1. Aceite lubricante usado (ej. aceite lubricante mineral, sintético, hidráulico usado)</t>
  </si>
  <si>
    <t>Y9.3. Sólidos o semisólidos impregnados con hidrocarburo (ej. tierra, suelo, arena)</t>
  </si>
  <si>
    <t xml:space="preserve"> Y31 - Desechos que tengan como constituyentes: plomo, compuestos de plomo</t>
  </si>
  <si>
    <t>Y8.6 Envases, recipientes, canecas, bidones o contenedores que contienen o que están contaminados con
aceites usados.</t>
  </si>
  <si>
    <t>Y9 - Mezclas y emulsiones de desechos de aceite y agua o de hidrocarburos y agua</t>
  </si>
  <si>
    <t>Y9 - Mezclas y emulsiones de desechos de aceite y agua o de+F26 hidrocarburos y agua</t>
  </si>
  <si>
    <t>ECOTRANSA SAS</t>
  </si>
  <si>
    <t>Baterías usadas</t>
  </si>
  <si>
    <t>Llantas usadas</t>
  </si>
  <si>
    <t>Aceite usado</t>
  </si>
  <si>
    <t>Filtros contaminados</t>
  </si>
  <si>
    <t>Sólidos contaminados HC</t>
  </si>
  <si>
    <t>Material contaminado HC</t>
  </si>
  <si>
    <t>Filtros usados</t>
  </si>
  <si>
    <t>Aguas contaminadas HC</t>
  </si>
  <si>
    <t>Envases contaminados</t>
  </si>
  <si>
    <t>Estopas contaminadas</t>
  </si>
  <si>
    <t>Disposición</t>
  </si>
  <si>
    <t>Agua contaminada con hidrocarburos</t>
  </si>
  <si>
    <t>CLARIOS ANDINA S.A.S</t>
  </si>
  <si>
    <t>EMPRESTUR S.A.S</t>
  </si>
  <si>
    <t>Baterías automotrices usadas</t>
  </si>
  <si>
    <t>ECOTRANSA S.A.S</t>
  </si>
  <si>
    <t>AYURA MOTOR S.A</t>
  </si>
  <si>
    <t>Y8.1 Desechos de aceites minerales no aptos para el uso</t>
  </si>
  <si>
    <t>Aprovechamiento / tratamiento</t>
  </si>
  <si>
    <t>GALONES</t>
  </si>
  <si>
    <t xml:space="preserve">	33</t>
  </si>
  <si>
    <t>ISAGEN S.A E.S.P</t>
  </si>
  <si>
    <t>Llantas en desuso</t>
  </si>
  <si>
    <t>Desechos de aceites minerales no aptos para el uso</t>
  </si>
  <si>
    <t>Celda seguridad</t>
  </si>
  <si>
    <t>Residuos contaminados HC</t>
  </si>
  <si>
    <t>Material absorbente</t>
  </si>
  <si>
    <t>Residuos contaminados</t>
  </si>
  <si>
    <t>Aguas contaminadas</t>
  </si>
  <si>
    <t>Mezclas de agua con hidrocarburos</t>
  </si>
  <si>
    <t>Materiales contaminados con hidrocarburos</t>
  </si>
  <si>
    <t>Trapos o material impregnado con hidrocarburos</t>
  </si>
  <si>
    <t>Tratamiento / disposición</t>
  </si>
  <si>
    <t>liquido</t>
  </si>
  <si>
    <t>Y9. Agua contaminada con hidrocarburos</t>
  </si>
  <si>
    <t xml:space="preserve">Llantas usadas </t>
  </si>
  <si>
    <t>ASCRUDOS S.A.S</t>
  </si>
  <si>
    <t>CRUDESAN S.A</t>
  </si>
  <si>
    <t>DESTRULLANTAS</t>
  </si>
  <si>
    <t>DAVIDUS S.A.S</t>
  </si>
  <si>
    <t>EURO GNV S.A.S</t>
  </si>
  <si>
    <t>SOLUCIONES AUTOMOTRICES JA</t>
  </si>
  <si>
    <t>Cartón</t>
  </si>
  <si>
    <t>Papel</t>
  </si>
  <si>
    <t>Cartón reciclable</t>
  </si>
  <si>
    <t>Chatarra metálica</t>
  </si>
  <si>
    <t>Lámparas usadas</t>
  </si>
  <si>
    <t>Aceite automotor usado</t>
  </si>
  <si>
    <t>Llantas posconsumo</t>
  </si>
  <si>
    <t>Posconsumo</t>
  </si>
  <si>
    <t>Reciclaje</t>
  </si>
  <si>
    <t>UNIDADES</t>
  </si>
  <si>
    <t>No aplica (NO RESPEL)</t>
  </si>
  <si>
    <t xml:space="preserve">Carton </t>
  </si>
  <si>
    <t xml:space="preserve">Chatarra </t>
  </si>
  <si>
    <t>Llantas automotrices usadas</t>
  </si>
  <si>
    <t>Y29. Desechos que contienen mercurio</t>
  </si>
  <si>
    <t xml:space="preserve">Iluminarias </t>
  </si>
  <si>
    <t xml:space="preserve">Y31 </t>
  </si>
  <si>
    <t>Lodos generados en la limpieza de la planta de tratamiento de aguas contaminados con aceites</t>
  </si>
  <si>
    <t>Lodos contaminados con aceites</t>
  </si>
  <si>
    <t>Y9 – Residuos contaminados con hidrocarburos</t>
  </si>
  <si>
    <t>Estopas y trapos contaminados generados en mantenimiento de vehículos</t>
  </si>
  <si>
    <t>Material absorbente contaminado (estopas, trapos, filtros)</t>
  </si>
  <si>
    <t>Contaminados generados en mantenimiento de vehículos</t>
  </si>
  <si>
    <t>Cambio de aceites en mantenimientos periódicos de vehículos</t>
  </si>
  <si>
    <t>Cambio de baterías a los vehículos en mantenimientos</t>
  </si>
  <si>
    <t>Lodos generados en la limpieza de  la Planta de Tratamiento de       aguas</t>
  </si>
  <si>
    <t>Envases, recipientes y bidones contaminados con hidrocarburos</t>
  </si>
  <si>
    <t>Envases contaminados generados en el lavado de vehículos</t>
  </si>
  <si>
    <t>Residuos metálicos generados en mantenimiento</t>
  </si>
  <si>
    <t>Cartón generado por embalajes y almacenamiento</t>
  </si>
  <si>
    <t>Papel reciclable</t>
  </si>
  <si>
    <t>Papel generado en actividades administrativas</t>
  </si>
  <si>
    <t>Llantas usadas generadas en mantenimiento de vehículos</t>
  </si>
  <si>
    <t>Aguas contaminadas con hidrocarburos</t>
  </si>
  <si>
    <t>Aguas residuales contaminadas generadas en el lavado y mantenimiento de vehículos</t>
  </si>
  <si>
    <t xml:space="preserve">KILOS </t>
  </si>
  <si>
    <t>Y29.Desechos que contienen mercurio</t>
  </si>
  <si>
    <t>Y9 . Residuos contaminados con hidrocarburos</t>
  </si>
  <si>
    <t xml:space="preserve">Y31 . Desechos que contengan constituyentes de plomo </t>
  </si>
  <si>
    <t>Y8.  Desechos de aceites minerales no aptos para el uso al que estaban destinados</t>
  </si>
  <si>
    <t>Y9.  Residuos contaminados con hidrocarburos</t>
  </si>
  <si>
    <t>Y8 . Desechos de aceites minerales no aptos para el uso al que estaban destinados</t>
  </si>
  <si>
    <t>Lámparas usadas generadas en actividades operativas o administrativas que contienen mercurio</t>
  </si>
  <si>
    <t>Aceite  lubricante usado</t>
  </si>
  <si>
    <t>Lámparas fluorescentes usadas / bombillas con mercurio</t>
  </si>
  <si>
    <t>FECHA ENTREGA RESIDUO</t>
  </si>
  <si>
    <t>ECOMETALES</t>
  </si>
  <si>
    <t>ASEMAR</t>
  </si>
  <si>
    <t>TECNOMANTENIMIENTOS PR SAS,</t>
  </si>
  <si>
    <t>FUNDIMETALES</t>
  </si>
  <si>
    <t>ACUMULADORES DE ORIENTE</t>
  </si>
  <si>
    <t>LLANTAS Y BATERIAS SAN TOMAS</t>
  </si>
  <si>
    <t>CRUDENSA</t>
  </si>
  <si>
    <t>JHON ALEXANDER APARICIO</t>
  </si>
  <si>
    <t>Lodos contaminados con Hidrocarburos</t>
  </si>
  <si>
    <t>BIOCIRCULAR</t>
  </si>
  <si>
    <t>GREEN DELTA</t>
  </si>
  <si>
    <t>ene</t>
  </si>
  <si>
    <t>feb</t>
  </si>
  <si>
    <t>mar</t>
  </si>
  <si>
    <t>Suma de GENERACIÓN DE RESIDUOS O DESECHOS PELIGROSOS =Valor total calculado según el registro en el manejo residuos)</t>
  </si>
  <si>
    <t>EMPRESTUR Y PROVEEDORES</t>
  </si>
  <si>
    <t>REGISTRO DE RESIDUOS MANTENIMIENTO EN IDEAM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</si>
</sst>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4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0" fillId="0" borderId="6" xfId="0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" fillId="7" borderId="7" xfId="0" applyFont="1" applyFill="1" applyBorder="1"/>
    <xf numFmtId="0" fontId="0" fillId="8" borderId="0" xfId="0" applyFill="1"/>
    <xf numFmtId="0" fontId="1" fillId="8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7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9" borderId="0" xfId="0" applyFill="1"/>
    <xf numFmtId="0" fontId="1" fillId="9" borderId="1" xfId="0" applyFont="1" applyFill="1" applyBorder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9" borderId="0" xfId="0" applyNumberFormat="1" applyFill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horizontal="center" vertical="center"/>
    </xf>
    <xf numFmtId="14" fontId="0" fillId="0" borderId="1" xfId="0" applyNumberFormat="1" applyBorder="1"/>
    <xf numFmtId="0" fontId="0" fillId="10" borderId="0" xfId="0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0" fontId="1" fillId="0" borderId="1" xfId="0" applyFont="1" applyBorder="1"/>
    <xf numFmtId="0" fontId="1" fillId="8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1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7" xfId="0" applyBorder="1"/>
    <xf numFmtId="14" fontId="0" fillId="0" borderId="1" xfId="0" applyNumberForma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4"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a Betancur" refreshedDate="45746.753538194447" createdVersion="8" refreshedVersion="8" minRefreshableVersion="3" recordCount="20" xr:uid="{72A2CD52-97FB-45AE-B2E9-B13C4E7A7BF8}">
  <cacheSource type="worksheet">
    <worksheetSource ref="A1:N21" sheet="REPORTE DAVIDUS 2024"/>
  </cacheSource>
  <cacheFields count="14">
    <cacheField name="FECHA" numFmtId="14">
      <sharedItems containsSemiMixedTypes="0" containsNonDate="0" containsDate="1" containsString="0" minDate="2024-01-05T00:00:00" maxDate="2024-10-01T00:00:00"/>
    </cacheField>
    <cacheField name="MES " numFmtId="0">
      <sharedItems containsSemiMixedTypes="0" containsString="0" containsNumber="1" containsInteger="1" minValue="1" maxValue="9" count="5">
        <n v="1"/>
        <n v="2"/>
        <n v="3"/>
        <n v="5"/>
        <n v="9"/>
      </sharedItems>
    </cacheField>
    <cacheField name="EMPRESA UNIDAD DE NEGOCIO" numFmtId="0">
      <sharedItems/>
    </cacheField>
    <cacheField name="RESIDUO " numFmtId="0">
      <sharedItems count="8">
        <s v="Otros Filtros"/>
        <s v="Aceites"/>
        <s v="Filtros de aire acondicionado"/>
        <s v="Solidos contaminados"/>
        <s v="Llantas"/>
        <s v="Estopas y trapos contaminados con aceites"/>
        <s v="Tarros contaminados"/>
        <s v="Baterías"/>
      </sharedItems>
    </cacheField>
    <cacheField name="CANTIDAD " numFmtId="0">
      <sharedItems containsSemiMixedTypes="0" containsString="0" containsNumber="1" containsInteger="1" minValue="7" maxValue="922"/>
    </cacheField>
    <cacheField name="UNIDAD MEDIDA" numFmtId="0">
      <sharedItems count="2">
        <s v="Kilogramos"/>
        <s v="Unidades "/>
      </sharedItems>
    </cacheField>
    <cacheField name="DISPOSICION " numFmtId="0">
      <sharedItems/>
    </cacheField>
    <cacheField name="CORRIENTE " numFmtId="0">
      <sharedItems/>
    </cacheField>
    <cacheField name="SUB CORRIENTE" numFmtId="0">
      <sharedItems containsBlank="1"/>
    </cacheField>
    <cacheField name="MANEJO DE RESIDUOS O DESECHOS PELIGROSOS (Almacenamiento, aprovechamiento, tratamiento, disposición final)" numFmtId="0">
      <sharedItems/>
    </cacheField>
    <cacheField name="DESCRIPCIÓN DEL PROCESO O MANEJO DEL RESIDUO" numFmtId="0">
      <sharedItems/>
    </cacheField>
    <cacheField name="GESTOR QUE RECIBE RESIDUOS" numFmtId="0">
      <sharedItems/>
    </cacheField>
    <cacheField name="CÓDIGO DE CERTIFICADO" numFmtId="0">
      <sharedItems containsMixedTypes="1" containsNumber="1" containsInteger="1" minValue="6095" maxValue="7161"/>
    </cacheField>
    <cacheField name="FECHA DEL CERTIFICADO" numFmtId="14">
      <sharedItems containsSemiMixedTypes="0" containsNonDate="0" containsDate="1" containsString="0" minDate="2024-01-16T00:00:00" maxDate="2024-10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a Betancur" refreshedDate="46206.647348495368" createdVersion="8" refreshedVersion="8" minRefreshableVersion="3" recordCount="92" xr:uid="{C7065F09-D0ED-4E92-9459-64E953A80A00}">
  <cacheSource type="worksheet">
    <worksheetSource ref="A1:L93" sheet="REPORTE 2025"/>
  </cacheSource>
  <cacheFields count="14">
    <cacheField name="FECHA ENTREGA RESIDUO" numFmtId="14">
      <sharedItems containsSemiMixedTypes="0" containsNonDate="0" containsDate="1" containsString="0" minDate="2025-01-02T00:00:00" maxDate="2025-10-31T00:00:00" count="48">
        <d v="2025-01-02T00:00:00"/>
        <d v="2025-01-09T00:00:00"/>
        <d v="2025-01-16T00:00:00"/>
        <d v="2025-01-23T00:00:00"/>
        <d v="2025-01-30T00:00:00"/>
        <d v="2025-02-06T00:00:00"/>
        <d v="2025-02-07T00:00:00"/>
        <d v="2025-02-13T00:00:00"/>
        <d v="2025-02-20T00:00:00"/>
        <d v="2025-02-25T00:00:00"/>
        <d v="2025-03-03T00:00:00"/>
        <d v="2025-03-05T00:00:00"/>
        <d v="2025-03-07T00:00:00"/>
        <d v="2025-03-13T00:00:00"/>
        <d v="2025-03-20T00:00:00"/>
        <d v="2025-03-27T00:00:00"/>
        <d v="2025-05-08T00:00:00"/>
        <d v="2025-05-10T00:00:00"/>
        <d v="2025-05-15T00:00:00"/>
        <d v="2025-05-16T00:00:00"/>
        <d v="2025-05-21T00:00:00"/>
        <d v="2025-05-22T00:00:00"/>
        <d v="2025-05-28T00:00:00"/>
        <d v="2025-05-29T00:00:00"/>
        <d v="2025-06-05T00:00:00"/>
        <d v="2025-06-12T00:00:00"/>
        <d v="2025-06-19T00:00:00"/>
        <d v="2025-06-25T00:00:00"/>
        <d v="2025-07-03T00:00:00"/>
        <d v="2025-07-10T00:00:00"/>
        <d v="2025-07-16T00:00:00"/>
        <d v="2025-07-17T00:00:00"/>
        <d v="2025-07-24T00:00:00"/>
        <d v="2025-07-29T00:00:00"/>
        <d v="2025-08-04T00:00:00"/>
        <d v="2025-08-05T00:00:00"/>
        <d v="2025-08-19T00:00:00"/>
        <d v="2025-08-20T00:00:00"/>
        <d v="2025-09-03T00:00:00"/>
        <d v="2025-09-04T00:00:00"/>
        <d v="2025-09-12T00:00:00"/>
        <d v="2025-09-19T00:00:00"/>
        <d v="2025-09-24T00:00:00"/>
        <d v="2025-09-25T00:00:00"/>
        <d v="2025-10-07T00:00:00"/>
        <d v="2025-10-15T00:00:00"/>
        <d v="2025-10-28T00:00:00"/>
        <d v="2025-10-30T00:00:00"/>
      </sharedItems>
      <fieldGroup par="13"/>
    </cacheField>
    <cacheField name="GESTOR DEL RESIDUO" numFmtId="0">
      <sharedItems/>
    </cacheField>
    <cacheField name="EMPRESA" numFmtId="0">
      <sharedItems count="9">
        <s v="AYURA MOTOR S.A"/>
        <s v="EMPRESTUR S.A.S"/>
        <s v="DAVIDUS S.A.S"/>
        <s v="SOLUCIONES AUTOMOTRICES JA"/>
        <s v="ISAGEN S.A E.S.P"/>
        <s v="TECNOMANTENIMIENTOS PR SAS,"/>
        <s v="EURO GNV S.A.S"/>
        <s v="LLANTAS Y BATERIAS SAN TOMAS"/>
        <s v="JHON ALEXANDER APARICIO"/>
      </sharedItems>
    </cacheField>
    <cacheField name="RESIDUO" numFmtId="0">
      <sharedItems count="12">
        <s v="Aceites"/>
        <s v="Material contaminado HC"/>
        <s v="Baterías usadas"/>
        <s v="Aguas contaminadas"/>
        <s v="Llantas usadas "/>
        <s v="Sólidos contaminados HC"/>
        <s v="Filtros contaminados"/>
        <s v="Estopas y trapos contaminados con aceites"/>
        <s v="Chatarra"/>
        <s v="Lámparas fluorescentes usadas / bombillas con mercurio"/>
        <s v="Envases contaminados"/>
        <s v="Cartón"/>
      </sharedItems>
    </cacheField>
    <cacheField name="Corriente de Residuo o Desecho Peligroso VER LISTA DESPLEGABLE" numFmtId="0">
      <sharedItems/>
    </cacheField>
    <cacheField name="DESCRIPCIÓN DE LA CORRIENTE" numFmtId="0">
      <sharedItems count="13">
        <s v="Y8.1 Desechos de aceites minerales no aptos para el uso"/>
        <s v="Residuos contaminados"/>
        <s v="Y31 "/>
        <s v="Aguas contaminadas"/>
        <s v="Materiales contaminados con hidrocarburos"/>
        <s v="Llantas en desuso"/>
        <s v="Mezclas de agua con hidrocarburos"/>
        <s v="Residuos contaminados HC"/>
        <s v="Material contaminado HC"/>
        <s v="Residuos metálicos generados en mantenimiento"/>
        <s v="Lámparas usadas"/>
        <s v="Envases contaminados"/>
        <s v="Cartón reciclable"/>
      </sharedItems>
    </cacheField>
    <cacheField name="Desagregación de la corriente VER LISTA DESPLEGABLE" numFmtId="0">
      <sharedItems/>
    </cacheField>
    <cacheField name="Descripción del residuo o desecho peligroso y tipo de gestión" numFmtId="0">
      <sharedItems/>
    </cacheField>
    <cacheField name="Estado de la Materia (Gaseoso - liquido -Solido o semisolidos)" numFmtId="0">
      <sharedItems/>
    </cacheField>
    <cacheField name="UNIDAD DE MEDIDA" numFmtId="0">
      <sharedItems/>
    </cacheField>
    <cacheField name="MANEJO DE RESIDUOS O DESECHOS PELIGROSOS (Almacenamiento, aprovechamiento, tratamiento, disposición final)" numFmtId="0">
      <sharedItems/>
    </cacheField>
    <cacheField name="GENERACIÓN DE RESIDUOS O DESECHOS PELIGROSOS =Valor total calculado según el registro en el manejo residuos)" numFmtId="0">
      <sharedItems containsMixedTypes="1" containsNumber="1" minValue="2" maxValue="627.20000000000005" count="60">
        <n v="235"/>
        <n v="20"/>
        <n v="55"/>
        <n v="48"/>
        <n v="198"/>
        <n v="92"/>
        <n v="165"/>
        <n v="33"/>
        <n v="74"/>
        <s v="_x0009_33"/>
        <n v="220"/>
        <n v="56"/>
        <n v="21"/>
        <n v="192.5"/>
        <n v="25.5"/>
        <n v="154"/>
        <n v="37"/>
        <n v="110"/>
        <n v="38"/>
        <n v="23"/>
        <n v="18"/>
        <n v="4"/>
        <n v="181.5"/>
        <n v="49.5"/>
        <n v="230"/>
        <n v="25"/>
        <n v="137.5"/>
        <n v="16"/>
        <n v="161"/>
        <n v="170"/>
        <n v="34"/>
        <n v="45"/>
        <n v="62"/>
        <n v="265"/>
        <n v="29.6"/>
        <n v="151"/>
        <n v="143"/>
        <n v="82.5"/>
        <n v="63"/>
        <n v="10"/>
        <n v="15"/>
        <n v="502"/>
        <n v="32"/>
        <n v="70"/>
        <n v="257"/>
        <n v="34.5"/>
        <n v="5.0999999999999996"/>
        <n v="29"/>
        <n v="135"/>
        <n v="46"/>
        <n v="627.20000000000005"/>
        <n v="310"/>
        <n v="2"/>
        <n v="5"/>
        <n v="13"/>
        <n v="11"/>
        <n v="271.2"/>
        <n v="58"/>
        <n v="24"/>
        <n v="459"/>
      </sharedItems>
    </cacheField>
    <cacheField name="Días (FECHA ENTREGA RESIDUO)" numFmtId="0" databaseField="0">
      <fieldGroup base="0">
        <rangePr groupBy="days" startDate="2025-01-02T00:00:00" endDate="2025-10-31T00:00:00"/>
        <groupItems count="368">
          <s v="&lt;2/01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10/2025"/>
        </groupItems>
      </fieldGroup>
    </cacheField>
    <cacheField name="Meses (FECHA ENTREGA RESIDUO)" numFmtId="0" databaseField="0">
      <fieldGroup base="0">
        <rangePr groupBy="months" startDate="2025-01-02T00:00:00" endDate="2025-10-31T00:00:00"/>
        <groupItems count="14">
          <s v="&lt;2/0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4-01-09T00:00:00"/>
    <x v="0"/>
    <s v="DAVIDUS S.A"/>
    <x v="0"/>
    <n v="51"/>
    <x v="0"/>
    <s v="Aprovechamiento"/>
    <s v="Y8"/>
    <s v="Y8.2 - Elementos o materiales contaminados con aceite lubricante usado (ej. EPP, estopas, trapos, filtros, otros)"/>
    <s v="Aprovechamiento"/>
    <s v="R4 :: Reciclado o recuperación de metales y compuestos metálicos (ej. refinación, pirometalurgi"/>
    <s v="ASCRUDOS"/>
    <s v="AS50387"/>
    <d v="2024-01-16T00:00:00"/>
  </r>
  <r>
    <d v="2024-01-09T00:00:00"/>
    <x v="0"/>
    <s v="DAVIDUS S.A"/>
    <x v="1"/>
    <n v="583"/>
    <x v="0"/>
    <s v="Aprovechamiento"/>
    <s v="Y8"/>
    <s v="Y8.1 - Aceite lubricante usado (ej. aceite lubricante mineral, sintético, hidráulico usados"/>
    <s v="Aprovechamiento"/>
    <s v="Procesos de deshidratación, filtrado y recuperación_x000a_D9 :: Físico-químico (ej: evaporación, secado, neutralización, precipitación)"/>
    <s v="ASCRUDOS"/>
    <s v="AS50387"/>
    <d v="2024-01-16T00:00:00"/>
  </r>
  <r>
    <d v="2024-01-09T00:00:00"/>
    <x v="0"/>
    <s v="DAVIDUS S.A"/>
    <x v="2"/>
    <n v="68"/>
    <x v="0"/>
    <s v="Celdas de seguridad"/>
    <s v="Y8"/>
    <s v="Y8.2 - Elementos o materiales contaminados con aceite lubricante usado (ej. EPP, estopas, trapos, filtros, otros)"/>
    <s v="Tratamiento"/>
    <s v="R4 :: Reciclado o recuperación de metales y compuestos metálicos (ej. refinación, pirometalurgi"/>
    <s v="ASCRUDOS"/>
    <s v="AS50387"/>
    <d v="2024-01-16T00:00:00"/>
  </r>
  <r>
    <d v="2024-01-09T00:00:00"/>
    <x v="0"/>
    <s v="DAVIDUS S.A"/>
    <x v="3"/>
    <n v="58"/>
    <x v="0"/>
    <s v="Celdas de seguridad"/>
    <s v="Y9"/>
    <m/>
    <s v="Disposición final"/>
    <s v="incineración o Bioremediación"/>
    <s v="ASCRUDOS"/>
    <s v="AS50387"/>
    <d v="2024-01-16T00:00:00"/>
  </r>
  <r>
    <d v="2024-01-05T00:00:00"/>
    <x v="0"/>
    <s v="DAVIDUS S.A"/>
    <x v="4"/>
    <n v="28"/>
    <x v="1"/>
    <s v="Aprovechamiento"/>
    <s v="N/A"/>
    <s v="N/A"/>
    <s v="Aprovechamiento"/>
    <s v="RECICLAJE"/>
    <s v="DESTRULLANTAS DE COLOMBIA S.A.S."/>
    <n v="6095"/>
    <d v="2024-01-25T00:00:00"/>
  </r>
  <r>
    <d v="2024-01-05T00:00:00"/>
    <x v="0"/>
    <s v="DAVIDUS S.A"/>
    <x v="4"/>
    <n v="502"/>
    <x v="0"/>
    <s v="Aprovechamiento"/>
    <s v="N/A"/>
    <s v="N/A"/>
    <s v="Aprovechamiento"/>
    <s v="RECICLAJE"/>
    <s v="DESTRULLANTAS DE COLOMBIA S.A.S."/>
    <n v="6095"/>
    <d v="2024-01-25T00:00:00"/>
  </r>
  <r>
    <d v="2024-02-15T00:00:00"/>
    <x v="1"/>
    <s v="DAVIDUS S.A"/>
    <x v="1"/>
    <n v="746"/>
    <x v="0"/>
    <s v="Aprovechamiento"/>
    <s v="Y8"/>
    <s v="Y8.1 - Aceite lubricante usado (ej. aceite lubricante mineral, sintético, hidráulico usados"/>
    <s v="Aprovechamiento"/>
    <s v="Procesos de deshidratación, filtrado y recuperación_x000a_D9 :: Físico-químico (ej: evaporación, secado, neutralización, precipitación)"/>
    <s v="ASCRUDOS"/>
    <s v="AS51727"/>
    <d v="2024-02-18T00:00:00"/>
  </r>
  <r>
    <d v="2024-02-15T00:00:00"/>
    <x v="1"/>
    <s v="DAVIDUS S.A"/>
    <x v="5"/>
    <n v="68"/>
    <x v="0"/>
    <s v="Celdas de seguridad"/>
    <s v="Y8"/>
    <s v="Y8.2 - Elementos o materiales contaminados con aceite lubricante usado (ej. EPP, estopas, trapos, filtros, otros)"/>
    <s v="Tratamiento"/>
    <s v="R4 :: Reciclado o recuperación de metales y compuestos metálicos (ej. refinación, pirometalurgi"/>
    <s v="ASCRUDOS"/>
    <s v="AS51727"/>
    <d v="2024-02-18T00:00:00"/>
  </r>
  <r>
    <d v="2024-02-15T00:00:00"/>
    <x v="1"/>
    <s v="DAVIDUS S.A"/>
    <x v="6"/>
    <n v="7"/>
    <x v="0"/>
    <s v="Celdas de seguridad"/>
    <s v="Y8"/>
    <s v="Y8.2 - Elementos o materiales contaminados con aceite lubricante usado (ej. EPP, estopas, trapos, filtros, otros)"/>
    <s v="Tratamiento"/>
    <s v="R4 :: Reciclado o recuperación de metales y compuestos metálicos (ej. refinación, pirometalurgi"/>
    <s v="ASCRUDOS"/>
    <s v="AS51727"/>
    <d v="2024-02-18T00:00:00"/>
  </r>
  <r>
    <d v="2024-02-15T00:00:00"/>
    <x v="1"/>
    <s v="DAVIDUS S.A"/>
    <x v="2"/>
    <n v="71"/>
    <x v="0"/>
    <s v="Celdas de seguridad"/>
    <s v="Y8"/>
    <s v="Y8.2 - Elementos o materiales contaminados con aceite lubricante usado (ej. EPP, estopas, trapos, filtros, otros)"/>
    <s v="Tratamiento"/>
    <s v="R4 :: Reciclado o recuperación de metales y compuestos metálicos (ej. refinación, pirometalurgi"/>
    <s v="ASCRUDOS"/>
    <s v="AS51727"/>
    <d v="2024-02-18T00:00:00"/>
  </r>
  <r>
    <d v="2024-01-05T00:00:00"/>
    <x v="0"/>
    <s v="DAVIDUS S.A"/>
    <x v="4"/>
    <n v="24"/>
    <x v="1"/>
    <s v="Aprovechamiento"/>
    <s v="N/A"/>
    <s v="N/A"/>
    <s v="Aprovechamiento"/>
    <s v="RECICLAJE"/>
    <s v="DESTRULLANTAS DE COLOMBIA S.A.S."/>
    <n v="7161"/>
    <d v="2024-02-14T00:00:00"/>
  </r>
  <r>
    <d v="2024-01-05T00:00:00"/>
    <x v="0"/>
    <s v="DAVIDUS S.A"/>
    <x v="4"/>
    <n v="388"/>
    <x v="0"/>
    <s v="Aprovechamiento"/>
    <s v="N/A"/>
    <s v="N/A"/>
    <s v="Aprovechamiento"/>
    <s v="RECICLAJE"/>
    <s v="DESTRULLANTAS DE COLOMBIA S.A.S."/>
    <n v="7161"/>
    <d v="2024-02-14T00:00:00"/>
  </r>
  <r>
    <d v="2024-03-15T00:00:00"/>
    <x v="2"/>
    <s v="DAVIDUS S.A"/>
    <x v="1"/>
    <n v="746"/>
    <x v="0"/>
    <s v="Aprovechamiento"/>
    <s v="Y8"/>
    <s v="Y8.1 - Aceite lubricante usado (ej. aceite lubricante mineral, sintético, hidráulico usados"/>
    <s v="Aprovechamiento"/>
    <s v="Procesos de deshidratación, filtrado y recuperación_x000a_D9 :: Físico-químico (ej: evaporación, secado, neutralización, precipitación)"/>
    <s v="ASCRUDOS"/>
    <s v="AS51727"/>
    <d v="2024-03-18T00:00:00"/>
  </r>
  <r>
    <d v="2024-03-15T00:00:00"/>
    <x v="2"/>
    <s v="DAVIDUS S.A"/>
    <x v="5"/>
    <n v="35"/>
    <x v="0"/>
    <s v="Celdas de seguridad"/>
    <s v="Y8"/>
    <s v="Y8.2 - Elementos o materiales contaminados con aceite lubricante usado (ej. EPP, estopas, trapos, filtros, otros)"/>
    <s v="Tratamiento"/>
    <s v="R4 :: Reciclado o recuperación de metales y compuestos metálicos (ej. refinación, pirometalurgi"/>
    <s v="ASCRUDOS"/>
    <s v="AS51727"/>
    <d v="2024-03-18T00:00:00"/>
  </r>
  <r>
    <d v="2024-03-15T00:00:00"/>
    <x v="2"/>
    <s v="DAVIDUS S.A"/>
    <x v="6"/>
    <n v="7"/>
    <x v="0"/>
    <s v="Celdas de seguridad"/>
    <s v="Y8"/>
    <s v="Y8.2 - Elementos o materiales contaminados con aceite lubricante usado (ej. EPP, estopas, trapos, filtros, otros)"/>
    <s v="Tratamiento"/>
    <s v="R4 :: Reciclado o recuperación de metales y compuestos metálicos (ej. refinación, pirometalurgi"/>
    <s v="ASCRUDOS"/>
    <s v="AS51727"/>
    <d v="2024-03-18T00:00:00"/>
  </r>
  <r>
    <d v="2024-03-15T00:00:00"/>
    <x v="2"/>
    <s v="DAVIDUS S.A"/>
    <x v="2"/>
    <n v="71"/>
    <x v="0"/>
    <s v="Celdas de seguridad"/>
    <s v="Y8"/>
    <s v="Y8.2 - Elementos o materiales contaminados con aceite lubricante usado (ej. EPP, estopas, trapos, filtros, otros)"/>
    <s v="Tratamiento"/>
    <s v="R4 :: Reciclado o recuperación de metales y compuestos metálicos (ej. refinación, pirometalurgi"/>
    <s v="ASCRUDOS"/>
    <s v="AS51727"/>
    <d v="2024-03-18T00:00:00"/>
  </r>
  <r>
    <d v="2024-05-21T00:00:00"/>
    <x v="3"/>
    <s v="DAVIDUS S.A"/>
    <x v="7"/>
    <n v="15"/>
    <x v="1"/>
    <s v="Celdas de seguridad"/>
    <s v="Y31"/>
    <s v="Y31 - Desechos que tengan como constituyentes: Plomo, compuestos de plomo"/>
    <s v="Disposición final"/>
    <s v="D5 :: Rellenos especialmente disenados (ej: relleno de seguridad o celda de segurid_x000a_kilogramo (kg)"/>
    <s v="ACUMULADORES DEL ORIENTE"/>
    <s v="AC-24-17207"/>
    <d v="2024-05-27T00:00:00"/>
  </r>
  <r>
    <d v="2024-05-21T00:00:00"/>
    <x v="3"/>
    <s v="DAVIDUS S.A"/>
    <x v="7"/>
    <n v="205"/>
    <x v="0"/>
    <s v="Celdas de seguridad"/>
    <s v="Y31"/>
    <s v="Y31 - Desechos que tengan como constituyentes: Plomo, compuestos de plomo"/>
    <s v="Disposición final"/>
    <s v="D5 :: Rellenos especialmente disenados (ej: relleno de seguridad o celda de segurid_x000a_kilogramo (kg)"/>
    <s v="ACUMULADORES DEL ORIENTE"/>
    <s v="AC-24-17207"/>
    <d v="2024-05-27T00:00:00"/>
  </r>
  <r>
    <d v="2024-09-30T00:00:00"/>
    <x v="4"/>
    <s v="DAVIDUS S.A"/>
    <x v="1"/>
    <n v="922"/>
    <x v="0"/>
    <s v="Aprovechamiento"/>
    <s v="Y8"/>
    <s v="Y8.1 - Aceite lubricante usado (ej. aceite lubricante mineral, sintético, hidráulico usados"/>
    <s v="Aprovechamiento"/>
    <s v="Procesos de deshidratación, filtrado y recuperación_x000a_D9 :: Físico-químico (ej: evaporación, secado, neutralización, precipitación)"/>
    <s v="ASCRUDOS"/>
    <s v="AS55308"/>
    <d v="2024-10-01T00:00:00"/>
  </r>
  <r>
    <d v="2024-09-30T00:00:00"/>
    <x v="4"/>
    <s v="DAVIDUS S.A"/>
    <x v="3"/>
    <n v="33"/>
    <x v="0"/>
    <s v="Celdas de seguridad"/>
    <s v="Y9"/>
    <m/>
    <s v="Disposición final"/>
    <s v="incineración o Bioremediación"/>
    <s v="ASCRUDOS"/>
    <s v="AS55308"/>
    <d v="2024-10-0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s v="ECOTRANSA S.A.S"/>
    <x v="0"/>
    <x v="0"/>
    <s v="Cambio de aceites en mantenimientos periódicos de vehículos"/>
    <x v="0"/>
    <s v="Y8 - Desechos de aceites minerales no aptos para el uso a que estaban destinados"/>
    <s v="Aceite lubricante usado"/>
    <s v="Líquido"/>
    <s v="GALONES"/>
    <s v="Aprovechamiento / tratamiento"/>
    <x v="0"/>
  </r>
  <r>
    <x v="0"/>
    <s v="ECOTRANSA S.A.S"/>
    <x v="0"/>
    <x v="1"/>
    <s v="Estopas y trapos contaminados generados en mantenimiento de vehículos"/>
    <x v="1"/>
    <s v="Y9.  Residuos contaminados con hidrocarburos"/>
    <s v="Estopas contaminadas"/>
    <s v="Sólido"/>
    <s v="KILOS"/>
    <s v="Disposición"/>
    <x v="1"/>
  </r>
  <r>
    <x v="1"/>
    <s v="ECOTRANSA S.A.S"/>
    <x v="0"/>
    <x v="0"/>
    <s v="Cambio de aceites en mantenimientos periódicos de vehículos"/>
    <x v="0"/>
    <s v="Y8 - Desechos de aceites minerales no aptos para el uso a que estaban destinados"/>
    <s v="Aceite lubricante usado"/>
    <s v="Líquido"/>
    <s v="GALONES"/>
    <s v="Aprovechamiento / tratamiento"/>
    <x v="2"/>
  </r>
  <r>
    <x v="1"/>
    <s v="ECOTRANSA S.A.S"/>
    <x v="0"/>
    <x v="1"/>
    <s v="Estopas y trapos contaminados generados en mantenimiento de vehículos"/>
    <x v="1"/>
    <s v="Y9.  Residuos contaminados con hidrocarburos"/>
    <s v="Estopas contaminadas"/>
    <s v="Sólido"/>
    <s v="KILOS"/>
    <s v="Disposición"/>
    <x v="3"/>
  </r>
  <r>
    <x v="2"/>
    <s v="ECOTRANSA S.A.S"/>
    <x v="0"/>
    <x v="0"/>
    <s v="Cambio de aceites en mantenimientos periódicos de vehículos"/>
    <x v="0"/>
    <s v="Y8 - Desechos de aceites minerales no aptos para el uso a que estaban destinados"/>
    <s v="Aceite lubricante usado"/>
    <s v="Líquido"/>
    <s v="GALONES"/>
    <s v="Aprovechamiento / tratamiento"/>
    <x v="4"/>
  </r>
  <r>
    <x v="2"/>
    <s v="ECOTRANSA S.A.S"/>
    <x v="0"/>
    <x v="1"/>
    <s v="Estopas y trapos contaminados generados en mantenimiento de vehículos"/>
    <x v="1"/>
    <s v="Y9.  Residuos contaminados con hidrocarburos"/>
    <s v="Estopas contaminadas"/>
    <s v="Sólido"/>
    <s v="KILOS"/>
    <s v="Disposición"/>
    <x v="5"/>
  </r>
  <r>
    <x v="3"/>
    <s v="ECOTRANSA S.A.S"/>
    <x v="0"/>
    <x v="0"/>
    <s v="Cambio de aceites en mantenimientos periódicos de vehículos"/>
    <x v="0"/>
    <s v="Y8 - Desechos de aceites minerales no aptos para el uso a que estaban destinados"/>
    <s v="Aceite lubricante usado"/>
    <s v="Líquido"/>
    <s v="GALONES"/>
    <s v="Aprovechamiento / tratamiento"/>
    <x v="6"/>
  </r>
  <r>
    <x v="3"/>
    <s v="ECOTRANSA S.A.S"/>
    <x v="0"/>
    <x v="1"/>
    <s v="Estopas y trapos contaminados generados en mantenimiento de vehículos"/>
    <x v="1"/>
    <s v="Y9.  Residuos contaminados con hidrocarburos"/>
    <s v="Estopas contaminadas"/>
    <s v="Sólido"/>
    <s v="KILOS"/>
    <s v="Disposición"/>
    <x v="7"/>
  </r>
  <r>
    <x v="3"/>
    <s v="ECOTRANSA S.A.S"/>
    <x v="0"/>
    <x v="1"/>
    <s v="Estopas y trapos contaminados generados en mantenimiento de vehículos"/>
    <x v="1"/>
    <s v="Y9.  Residuos contaminados con hidrocarburos"/>
    <s v="Estopas contaminadas"/>
    <s v="Sólido"/>
    <s v="KILOS"/>
    <s v="Disposición"/>
    <x v="7"/>
  </r>
  <r>
    <x v="4"/>
    <s v="CLARIOS ANDINA S.A.S"/>
    <x v="1"/>
    <x v="2"/>
    <s v="Cambio de baterías a los vehículos en mantenimientos"/>
    <x v="2"/>
    <s v="Y31 - Desechos que tengan contituyentes de plomo "/>
    <s v="Baterías automotrices usadas"/>
    <s v="Sólido"/>
    <s v="KILOS"/>
    <s v="Aprovechamiento"/>
    <x v="8"/>
  </r>
  <r>
    <x v="4"/>
    <s v="ECOTRANSA S.A.S"/>
    <x v="0"/>
    <x v="0"/>
    <s v="Cambio de aceites en mantenimientos periódicos de vehículos"/>
    <x v="0"/>
    <s v="Y8 - Desechos de aceites minerales no aptos para el uso a que estaban destinados"/>
    <s v="Aceite lubricante usado"/>
    <s v="Líquido"/>
    <s v="GALONES"/>
    <s v="Aprovechamiento / tratamiento"/>
    <x v="9"/>
  </r>
  <r>
    <x v="5"/>
    <s v="ECOTRANSA S.A.S"/>
    <x v="0"/>
    <x v="0"/>
    <s v="Cambio de aceites en mantenimientos periódicos de vehículos"/>
    <x v="0"/>
    <s v="Y8 - Desechos de aceites minerales no aptos para el uso a que estaban destinados"/>
    <s v="Desechos de aceites minerales no aptos para el uso"/>
    <s v="liquido"/>
    <s v="GALONES"/>
    <s v="Aprovechamiento / tratamiento"/>
    <x v="10"/>
  </r>
  <r>
    <x v="5"/>
    <s v="ECOTRANSA S.A.S"/>
    <x v="0"/>
    <x v="3"/>
    <s v="Aguas residuales contaminadas generadas en el lavado y mantenimiento de vehículos"/>
    <x v="3"/>
    <s v="Y9. Agua contaminada con hidrocarburos"/>
    <s v="Aguas contaminadas"/>
    <s v="liquido"/>
    <s v="GALONES"/>
    <s v="Tratamiento / disposición"/>
    <x v="2"/>
  </r>
  <r>
    <x v="5"/>
    <s v="ECOTRANSA S.A.S"/>
    <x v="0"/>
    <x v="1"/>
    <s v="Contaminados generados en mantenimiento de vehículos"/>
    <x v="4"/>
    <s v="Y9 . Residuos contaminados con hidrocarburos"/>
    <s v="Materiales contaminados con hidrocarburos"/>
    <s v="Sólido"/>
    <s v="KILOS "/>
    <s v="Tratamiento / disposición"/>
    <x v="11"/>
  </r>
  <r>
    <x v="6"/>
    <s v="DESTRULLANTAS"/>
    <x v="1"/>
    <x v="4"/>
    <s v="Llantas usadas generadas en mantenimiento de vehículos"/>
    <x v="5"/>
    <s v="No aplica (NO RESPEL)"/>
    <s v="Llantas posconsumo"/>
    <s v="Sólido"/>
    <s v="UNIDADES"/>
    <s v="Reciclaje"/>
    <x v="12"/>
  </r>
  <r>
    <x v="7"/>
    <s v="ECOTRANSA S.A.S"/>
    <x v="0"/>
    <x v="0"/>
    <s v="Cambio de aceites en mantenimientos periódicos de vehículos"/>
    <x v="0"/>
    <s v="Y8 - Desechos de aceites minerales no aptos para el uso a que estaban destinados"/>
    <s v="Desechos de aceites minerales no aptos para el uso"/>
    <s v="liquido"/>
    <s v="GALONES"/>
    <s v="Aprovechamiento / tratamiento"/>
    <x v="13"/>
  </r>
  <r>
    <x v="7"/>
    <s v="ECOTRANSA S.A.S"/>
    <x v="0"/>
    <x v="1"/>
    <s v="Contaminados generados en mantenimiento de vehículos"/>
    <x v="4"/>
    <s v="Y9 . Residuos contaminados con hidrocarburos"/>
    <s v="Materiales contaminados con hidrocarburos"/>
    <s v="Sólido"/>
    <s v="KILOS "/>
    <s v="Tratamiento / disposición"/>
    <x v="14"/>
  </r>
  <r>
    <x v="8"/>
    <s v="ECOTRANSA S.A.S"/>
    <x v="0"/>
    <x v="0"/>
    <s v="Cambio de aceites en mantenimientos periódicos de vehículos"/>
    <x v="0"/>
    <s v="Y8 - Desechos de aceites minerales no aptos para el uso a que estaban destinados"/>
    <s v="Desechos de aceites minerales no aptos para el uso"/>
    <s v="liquido"/>
    <s v="GALONES"/>
    <s v="Aprovechamiento / tratamiento"/>
    <x v="15"/>
  </r>
  <r>
    <x v="8"/>
    <s v="ECOTRANSA S.A.S"/>
    <x v="0"/>
    <x v="1"/>
    <s v="Contaminados generados en mantenimiento de vehículos"/>
    <x v="4"/>
    <s v="Y9 . Residuos contaminados con hidrocarburos"/>
    <s v="Materiales contaminados con hidrocarburos"/>
    <s v="Sólido"/>
    <s v="KILOS "/>
    <s v="Tratamiento / disposición"/>
    <x v="16"/>
  </r>
  <r>
    <x v="9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17"/>
  </r>
  <r>
    <x v="9"/>
    <s v="ECOTRANSA S.A.S"/>
    <x v="0"/>
    <x v="3"/>
    <s v="Aguas residuales contaminadas generadas en el lavado y mantenimiento de vehículos"/>
    <x v="6"/>
    <s v="Y9. Agua contaminada con hidrocarburos"/>
    <s v="Agua contaminada con hidrocarburos"/>
    <s v="Líquido"/>
    <s v="GALONES"/>
    <s v="Tratamiento"/>
    <x v="7"/>
  </r>
  <r>
    <x v="9"/>
    <s v="ECOTRANSA S.A.S"/>
    <x v="0"/>
    <x v="1"/>
    <s v="Contaminados generados en mantenimiento de vehículos"/>
    <x v="4"/>
    <s v="Y9 . Residuos contaminados con hidrocarburos"/>
    <s v="Trapos o material impregnado con hidrocarburos"/>
    <s v="Sólido"/>
    <s v="KILOS"/>
    <s v="Tratamiento / disposición"/>
    <x v="18"/>
  </r>
  <r>
    <x v="10"/>
    <s v="DESTRULLANTAS"/>
    <x v="1"/>
    <x v="4"/>
    <s v="Llantas usadas generadas en mantenimiento de vehículos"/>
    <x v="5"/>
    <s v="No aplica (NO RESPEL)"/>
    <s v="Llantas posconsumo"/>
    <s v="Sólido"/>
    <s v="UNIDADES"/>
    <s v="Reciclaje"/>
    <x v="19"/>
  </r>
  <r>
    <x v="11"/>
    <s v="ASCRUDOS S.A.S"/>
    <x v="2"/>
    <x v="5"/>
    <s v="Contaminados generados en mantenimiento de vehículos"/>
    <x v="7"/>
    <s v="Y9 . Residuos contaminados con hidrocarburos"/>
    <s v="Material absorbente"/>
    <s v="Sólido"/>
    <s v="KILOS"/>
    <s v="Celda seguridad"/>
    <x v="20"/>
  </r>
  <r>
    <x v="11"/>
    <s v="ASCRUDOS S.A.S"/>
    <x v="2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10"/>
  </r>
  <r>
    <x v="11"/>
    <s v="ASCRUDOS S.A.S"/>
    <x v="2"/>
    <x v="6"/>
    <s v="Contaminados generados en mantenimiento de vehículos"/>
    <x v="8"/>
    <s v="Y9 . Residuos contaminados con hidrocarburos"/>
    <s v="Filtros contaminados"/>
    <s v="Sólido"/>
    <s v="KILOS"/>
    <s v="Celda seguridad"/>
    <x v="16"/>
  </r>
  <r>
    <x v="11"/>
    <s v="ASCRUDOS S.A.S"/>
    <x v="2"/>
    <x v="7"/>
    <s v="Contaminados generados en mantenimiento de vehículos"/>
    <x v="7"/>
    <s v="Y9 . Residuos contaminados con hidrocarburos"/>
    <s v="Material absorbente"/>
    <s v="Sólido"/>
    <s v="KILOS"/>
    <s v="Celda seguridad"/>
    <x v="21"/>
  </r>
  <r>
    <x v="12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22"/>
  </r>
  <r>
    <x v="12"/>
    <s v="ECOTRANSA S.A.S"/>
    <x v="0"/>
    <x v="1"/>
    <s v="Contaminados generados en mantenimiento de vehículos"/>
    <x v="4"/>
    <s v="Y9 . Residuos contaminados con hidrocarburos"/>
    <s v="Trapos o material impregnado con hidrocarburos"/>
    <s v="Sólido"/>
    <s v="KILOS"/>
    <s v="Tratamiento / disposición"/>
    <x v="23"/>
  </r>
  <r>
    <x v="13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24"/>
  </r>
  <r>
    <x v="13"/>
    <s v="ECOTRANSA S.A.S"/>
    <x v="0"/>
    <x v="6"/>
    <s v="Contaminados generados en mantenimiento de vehículos"/>
    <x v="8"/>
    <s v="Y9 . Residuos contaminados con hidrocarburos"/>
    <s v="Filtros contaminados"/>
    <s v="Sólido"/>
    <s v="KILOS"/>
    <s v="Celda seguridad"/>
    <x v="25"/>
  </r>
  <r>
    <x v="13"/>
    <s v="ECOTRANSA S.A.S"/>
    <x v="0"/>
    <x v="1"/>
    <s v="Contaminados generados en mantenimiento de vehículos"/>
    <x v="4"/>
    <s v="Y9 . Residuos contaminados con hidrocarburos"/>
    <s v="Trapos o material impregnado con hidrocarburos"/>
    <s v="Sólido"/>
    <s v="KILOS"/>
    <s v="Tratamiento / disposición"/>
    <x v="18"/>
  </r>
  <r>
    <x v="14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26"/>
  </r>
  <r>
    <x v="14"/>
    <s v="ECOTRANSA S.A.S"/>
    <x v="0"/>
    <x v="3"/>
    <s v="Aguas residuales contaminadas generadas en el lavado y mantenimiento de vehículos"/>
    <x v="6"/>
    <s v="Y9. Agua contaminada con hidrocarburos"/>
    <s v="Agua contaminada con hidrocarburos"/>
    <s v="Líquido"/>
    <s v="GALONES"/>
    <s v="Tratamiento"/>
    <x v="7"/>
  </r>
  <r>
    <x v="14"/>
    <s v="ECOTRANSA S.A.S"/>
    <x v="0"/>
    <x v="1"/>
    <s v="Contaminados generados en mantenimiento de vehículos"/>
    <x v="4"/>
    <s v="Y9 . Residuos contaminados con hidrocarburos"/>
    <s v="Trapos o material impregnado con hidrocarburos"/>
    <s v="Sólido"/>
    <s v="KILOS"/>
    <s v="Tratamiento / disposición"/>
    <x v="27"/>
  </r>
  <r>
    <x v="15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6"/>
  </r>
  <r>
    <x v="15"/>
    <s v="ECOTRANSA S.A.S"/>
    <x v="0"/>
    <x v="3"/>
    <s v="Aguas residuales contaminadas generadas en el lavado y mantenimiento de vehículos"/>
    <x v="6"/>
    <s v="Y9. Agua contaminada con hidrocarburos"/>
    <s v="Agua contaminada con hidrocarburos"/>
    <s v="Líquido"/>
    <s v="GALONES"/>
    <s v="Tratamiento"/>
    <x v="17"/>
  </r>
  <r>
    <x v="15"/>
    <s v="ECOTRANSA S.A.S"/>
    <x v="0"/>
    <x v="1"/>
    <s v="Contaminados generados en mantenimiento de vehículos"/>
    <x v="4"/>
    <s v="Y9 . Residuos contaminados con hidrocarburos"/>
    <s v="Trapos o material impregnado con hidrocarburos"/>
    <s v="Sólido"/>
    <s v="KILOS"/>
    <s v="Tratamiento / disposición"/>
    <x v="28"/>
  </r>
  <r>
    <x v="16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29"/>
  </r>
  <r>
    <x v="16"/>
    <s v="DESTRULLANTAS"/>
    <x v="2"/>
    <x v="4"/>
    <s v="Llantas usadas generadas en mantenimiento de vehículos"/>
    <x v="5"/>
    <s v="No aplica (NO RESPEL)"/>
    <s v="Llantas posconsumo"/>
    <s v="Sólido"/>
    <s v="UNIDADES"/>
    <s v="Reciclaje"/>
    <x v="30"/>
  </r>
  <r>
    <x v="17"/>
    <s v="ECOMETALES"/>
    <x v="3"/>
    <x v="8"/>
    <s v="Residuos metálicos generados en mantenimiento"/>
    <x v="9"/>
    <s v="No aplica (NO RESPEL)"/>
    <s v="Residuos metálicos generados en mantenimiento"/>
    <s v="Sólido"/>
    <s v="UNIDADES"/>
    <s v="Reciclaje"/>
    <x v="31"/>
  </r>
  <r>
    <x v="18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26"/>
  </r>
  <r>
    <x v="19"/>
    <s v="BIOCIRCULAR"/>
    <x v="2"/>
    <x v="5"/>
    <s v="Lodos generados en la limpieza de la planta de tratamiento de aguas contaminados con aceites"/>
    <x v="4"/>
    <s v="Y9 . Residuos contaminados con hidrocarburos"/>
    <s v="Lodos contaminados con Hidrocarburos"/>
    <s v="Sólido"/>
    <s v="KILOS"/>
    <s v="Tratamiento"/>
    <x v="32"/>
  </r>
  <r>
    <x v="20"/>
    <s v="DESTRULLANTAS"/>
    <x v="4"/>
    <x v="4"/>
    <s v="Llantas usadas generadas en mantenimiento de vehículos"/>
    <x v="5"/>
    <s v="No aplica (NO RESPEL)"/>
    <s v="Llantas posconsumo"/>
    <s v="Sólido"/>
    <s v="UNIDADES"/>
    <s v="Reciclaje"/>
    <x v="21"/>
  </r>
  <r>
    <x v="21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6"/>
  </r>
  <r>
    <x v="21"/>
    <s v="DESTRULLANTAS"/>
    <x v="2"/>
    <x v="4"/>
    <s v="Llantas usadas generadas en mantenimiento de vehículos"/>
    <x v="5"/>
    <s v="No aplica (NO RESPEL)"/>
    <s v="Llantas posconsumo"/>
    <s v="Sólido"/>
    <s v="UNIDADES"/>
    <s v="Reciclaje"/>
    <x v="7"/>
  </r>
  <r>
    <x v="22"/>
    <s v="ECOTRANSA SAS"/>
    <x v="2"/>
    <x v="0"/>
    <s v="Cambio de aceites en mantenimientos periódicos de vehículos"/>
    <x v="0"/>
    <s v="Y8.  Desechos de aceites minerales no aptos para el uso al que estaban destinados"/>
    <s v="Aceite lubricante usado"/>
    <s v="Líquido"/>
    <s v="GALONES"/>
    <s v="Aprovechamiento"/>
    <x v="22"/>
  </r>
  <r>
    <x v="23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33"/>
  </r>
  <r>
    <x v="23"/>
    <s v="ECOTRANSA S.A.S"/>
    <x v="0"/>
    <x v="1"/>
    <s v="Contaminados generados en mantenimiento de vehículos"/>
    <x v="4"/>
    <s v="Y9 . Residuos contaminados con hidrocarburos"/>
    <s v="Trapos o material impregnado con hidrocarburos"/>
    <s v="Sólido"/>
    <s v="KILOS"/>
    <s v="Tratamiento / disposición"/>
    <x v="34"/>
  </r>
  <r>
    <x v="23"/>
    <s v="BIOCIRCULAR"/>
    <x v="2"/>
    <x v="5"/>
    <s v="Lodos generados en la limpieza de la planta de tratamiento de aguas contaminados con aceites"/>
    <x v="4"/>
    <s v="Y9 . Residuos contaminados con hidrocarburos"/>
    <s v="Lodos contaminados con Hidrocarburos"/>
    <s v="Sólido"/>
    <s v="KILOS"/>
    <s v="Tratamiento"/>
    <x v="35"/>
  </r>
  <r>
    <x v="24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36"/>
  </r>
  <r>
    <x v="25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37"/>
  </r>
  <r>
    <x v="26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33"/>
  </r>
  <r>
    <x v="26"/>
    <s v="BIOCIRCULAR"/>
    <x v="2"/>
    <x v="5"/>
    <s v="Lodos generados en la limpieza de la planta de tratamiento de aguas contaminados con aceites"/>
    <x v="4"/>
    <s v="Y9 . Residuos contaminados con hidrocarburos"/>
    <s v="Lodos contaminados con Hidrocarburos"/>
    <s v="Sólido"/>
    <s v="KILOS"/>
    <s v="Tratamiento"/>
    <x v="20"/>
  </r>
  <r>
    <x v="27"/>
    <s v="DESTRULLANTAS"/>
    <x v="2"/>
    <x v="4"/>
    <s v="Llantas usadas generadas en mantenimiento de vehículos"/>
    <x v="5"/>
    <s v="No aplica (NO RESPEL)"/>
    <s v="Llantas posconsumo"/>
    <s v="Sólido"/>
    <s v="UNIDADES"/>
    <s v="Reciclaje"/>
    <x v="38"/>
  </r>
  <r>
    <x v="28"/>
    <s v="ECOTRANSA S.A.S"/>
    <x v="0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6"/>
  </r>
  <r>
    <x v="29"/>
    <s v="BIOCIRCULAR"/>
    <x v="2"/>
    <x v="5"/>
    <s v="Lodos generados en la limpieza de la planta de tratamiento de aguas contaminados con aceites"/>
    <x v="4"/>
    <s v="Y9 . Residuos contaminados con hidrocarburos"/>
    <s v="Lodos contaminados con Hidrocarburos"/>
    <s v="Sólido"/>
    <s v="KILOS"/>
    <s v="Tratamiento"/>
    <x v="17"/>
  </r>
  <r>
    <x v="30"/>
    <s v="ECOTRANSA S.A.S"/>
    <x v="5"/>
    <x v="0"/>
    <s v="Cambio de aceites en mantenimientos periódicos de vehículos"/>
    <x v="0"/>
    <s v="Y8 . Desechos de aceites minerales no aptos para el uso al que estaban destinados"/>
    <s v="Aceite lubricante usado"/>
    <s v="Líquido"/>
    <s v="GALONES"/>
    <s v="Tratamiento / disposición"/>
    <x v="2"/>
  </r>
  <r>
    <x v="30"/>
    <s v="ECOTRANSA S.A.S"/>
    <x v="5"/>
    <x v="6"/>
    <s v="Contaminados generados en mantenimiento de vehículos"/>
    <x v="8"/>
    <s v="Y9 . Residuos contaminados con hidrocarburos"/>
    <s v="Filtros contaminados"/>
    <s v="Sólido"/>
    <s v="KILOS"/>
    <s v="Celda seguridad"/>
    <x v="39"/>
  </r>
  <r>
    <x v="31"/>
    <s v="BIOCIRCULAR"/>
    <x v="2"/>
    <x v="5"/>
    <s v="Lodos generados en la limpieza de la planta de tratamiento de aguas contaminados con aceites"/>
    <x v="4"/>
    <s v="Y9 . Residuos contaminados con hidrocarburos"/>
    <s v="Lodos contaminados con Hidrocarburos"/>
    <s v="Sólido"/>
    <s v="KILOS"/>
    <s v="Tratamiento"/>
    <x v="40"/>
  </r>
  <r>
    <x v="31"/>
    <s v="DESTRULLANTAS"/>
    <x v="2"/>
    <x v="4"/>
    <s v="Llantas usadas generadas en mantenimiento de vehículos"/>
    <x v="5"/>
    <s v="No aplica (NO RESPEL)"/>
    <s v="Llantas posconsumo"/>
    <s v="Sólido"/>
    <s v="UNIDADES"/>
    <s v="Reciclaje"/>
    <x v="19"/>
  </r>
  <r>
    <x v="32"/>
    <s v="BIOCIRCULAR"/>
    <x v="2"/>
    <x v="5"/>
    <s v="Lodos generados en la limpieza de la planta de tratamiento de aguas contaminados con aceites"/>
    <x v="4"/>
    <s v="Y9 . Residuos contaminados con hidrocarburos"/>
    <s v="Lodos contaminados con Hidrocarburos"/>
    <s v="Sólido"/>
    <s v="KILOS"/>
    <s v="Tratamiento"/>
    <x v="7"/>
  </r>
  <r>
    <x v="33"/>
    <s v="ASEMAR"/>
    <x v="2"/>
    <x v="8"/>
    <s v="Residuos metálicos generados en mantenimiento"/>
    <x v="9"/>
    <s v="No aplica (NO RESPEL)"/>
    <s v="Residuos metálicos generados en mantenimiento"/>
    <s v="Sólido"/>
    <s v="UNIDADES"/>
    <s v="Reciclaje"/>
    <x v="41"/>
  </r>
  <r>
    <x v="34"/>
    <s v="DESTRULLANTAS"/>
    <x v="2"/>
    <x v="4"/>
    <s v="Llantas usadas generadas en mantenimiento de vehículos"/>
    <x v="5"/>
    <s v="No aplica (NO RESPEL)"/>
    <s v="Llantas posconsumo"/>
    <s v="Sólido"/>
    <s v="UNIDADES"/>
    <s v="Reciclaje"/>
    <x v="42"/>
  </r>
  <r>
    <x v="34"/>
    <s v="DESTRULLANTAS"/>
    <x v="4"/>
    <x v="4"/>
    <s v="Llantas usadas generadas en mantenimiento de vehículos"/>
    <x v="5"/>
    <s v="No aplica (NO RESPEL)"/>
    <s v="Llantas posconsumo"/>
    <s v="Sólido"/>
    <s v="UNIDADES"/>
    <s v="Reciclaje"/>
    <x v="21"/>
  </r>
  <r>
    <x v="35"/>
    <s v="FUNDIMETALES"/>
    <x v="2"/>
    <x v="2"/>
    <s v="Cambio de baterías a los vehículos en mantenimientos"/>
    <x v="2"/>
    <s v="Y31 - Desechos que tengan contituyentes de plomo "/>
    <s v="Baterías automotrices usadas"/>
    <s v="Sólido"/>
    <s v="KILOS"/>
    <s v="Aprovechamiento"/>
    <x v="43"/>
  </r>
  <r>
    <x v="36"/>
    <s v="ASCRUDOS S.A.S"/>
    <x v="6"/>
    <x v="0"/>
    <s v="Cambio de aceites en mantenimientos periódicos de vehículos"/>
    <x v="0"/>
    <s v="Y8.  Desechos de aceites minerales no aptos para el uso al que estaban destinados"/>
    <s v="Aceite  lubricante usado"/>
    <s v="Líquido"/>
    <s v="GALONES"/>
    <s v="Aprovechamiento"/>
    <x v="44"/>
  </r>
  <r>
    <x v="36"/>
    <s v="ASCRUDOS S.A.S"/>
    <x v="6"/>
    <x v="6"/>
    <s v="Contaminados generados en mantenimiento de vehículos"/>
    <x v="8"/>
    <s v="Y9 . Residuos contaminados con hidrocarburos"/>
    <s v="Filtros contaminados"/>
    <s v="Sólido"/>
    <s v="KILOS"/>
    <s v="Celda seguridad"/>
    <x v="45"/>
  </r>
  <r>
    <x v="36"/>
    <s v="ASCRUDOS S.A.S"/>
    <x v="6"/>
    <x v="1"/>
    <s v="Contaminados generados en mantenimiento de vehículos"/>
    <x v="4"/>
    <s v="Y9 . Residuos contaminados con hidrocarburos"/>
    <s v="Trapos o material impregnado con hidrocarburos"/>
    <s v="Sólido"/>
    <s v="KILOS"/>
    <s v="Tratamiento / disposición"/>
    <x v="46"/>
  </r>
  <r>
    <x v="37"/>
    <s v="DESTRULLANTAS"/>
    <x v="2"/>
    <x v="4"/>
    <s v="Llantas usadas generadas en mantenimiento de vehículos"/>
    <x v="5"/>
    <s v="No aplica (NO RESPEL)"/>
    <s v="Llantas posconsumo"/>
    <s v="Sólido"/>
    <s v="UNIDADES"/>
    <s v="Reciclaje"/>
    <x v="47"/>
  </r>
  <r>
    <x v="38"/>
    <s v="ACUMULADORES DE ORIENTE"/>
    <x v="7"/>
    <x v="2"/>
    <s v="Cambio de baterías a los vehículos en mantenimientos"/>
    <x v="2"/>
    <s v="Y31 - Desechos que tengan contituyentes de plomo "/>
    <s v="Baterías automotrices usadas"/>
    <s v="Sólido"/>
    <s v="KILOS"/>
    <s v="Aprovechamiento"/>
    <x v="48"/>
  </r>
  <r>
    <x v="39"/>
    <s v="DESTRULLANTAS"/>
    <x v="2"/>
    <x v="4"/>
    <s v="Llantas usadas generadas en mantenimiento de vehículos"/>
    <x v="5"/>
    <s v="No aplica (NO RESPEL)"/>
    <s v="Llantas posconsumo"/>
    <s v="Sólido"/>
    <s v="UNIDADES"/>
    <s v="Reciclaje"/>
    <x v="49"/>
  </r>
  <r>
    <x v="40"/>
    <s v="ASCRUDOS S.A.S"/>
    <x v="2"/>
    <x v="5"/>
    <s v="Lodos generados en la limpieza de la planta de tratamiento de aguas contaminados con aceites"/>
    <x v="4"/>
    <s v="Y9 . Residuos contaminados con hidrocarburos"/>
    <s v="Lodos contaminados con Hidrocarburos"/>
    <s v="Sólido"/>
    <s v="KILOS"/>
    <s v="Tratamiento"/>
    <x v="50"/>
  </r>
  <r>
    <x v="40"/>
    <s v="ASCRUDOS S.A.S"/>
    <x v="2"/>
    <x v="5"/>
    <s v="Lodos generados en la limpieza de la planta de tratamiento de aguas contaminados con aceites"/>
    <x v="4"/>
    <s v="Y9 . Residuos contaminados con hidrocarburos"/>
    <s v="Lodos contaminados con Hidrocarburos"/>
    <s v="Sólido"/>
    <s v="KILOS"/>
    <s v="Tratamiento"/>
    <x v="50"/>
  </r>
  <r>
    <x v="41"/>
    <s v="DESTRULLANTAS"/>
    <x v="2"/>
    <x v="4"/>
    <s v="Llantas usadas generadas en mantenimiento de vehículos"/>
    <x v="5"/>
    <s v="No aplica (NO RESPEL)"/>
    <s v="Llantas posconsumo"/>
    <s v="Sólido"/>
    <s v="UNIDADES"/>
    <s v="Reciclaje"/>
    <x v="3"/>
  </r>
  <r>
    <x v="42"/>
    <s v="ASCRUDOS S.A.S"/>
    <x v="2"/>
    <x v="0"/>
    <s v="Cambio de aceites en mantenimientos periódicos de vehículos"/>
    <x v="0"/>
    <s v="Y8.  Desechos de aceites minerales no aptos para el uso al que estaban destinados"/>
    <s v="Aceite  lubricante usado"/>
    <s v="Líquido"/>
    <s v="GALONES"/>
    <s v="Aprovechamiento"/>
    <x v="51"/>
  </r>
  <r>
    <x v="42"/>
    <s v="ASCRUDOS S.A.S"/>
    <x v="2"/>
    <x v="0"/>
    <s v="Cambio de aceites en mantenimientos periódicos de vehículos"/>
    <x v="0"/>
    <s v="Y8 - Desechos de aceites minerales no aptos para el uso a que estaban destinados"/>
    <s v="Aceite lubricante usado"/>
    <s v="Líquido"/>
    <s v="GALONES"/>
    <s v="Aprovechamiento / tratamiento"/>
    <x v="51"/>
  </r>
  <r>
    <x v="43"/>
    <s v="ASCRUDOS S.A.S"/>
    <x v="6"/>
    <x v="9"/>
    <s v="Lámparas usadas generadas en actividades operativas o administrativas que contienen mercurio"/>
    <x v="10"/>
    <s v="Y29.Desechos que contienen mercurio"/>
    <s v="Lámparas usadas"/>
    <s v="Sólido"/>
    <s v="KILOS"/>
    <s v="Posconsumo"/>
    <x v="52"/>
  </r>
  <r>
    <x v="43"/>
    <s v="ASCRUDOS S.A.S"/>
    <x v="6"/>
    <x v="10"/>
    <s v="Contaminados generados en mantenimiento de vehículos"/>
    <x v="11"/>
    <s v="Y9.  Residuos contaminados con hidrocarburos"/>
    <s v="Envases contaminados"/>
    <s v="Sólido"/>
    <s v="KILOS"/>
    <s v="Celda de seguridad"/>
    <x v="53"/>
  </r>
  <r>
    <x v="43"/>
    <s v="ASCRUDOS S.A.S"/>
    <x v="6"/>
    <x v="11"/>
    <s v="Cartón generado por embalajes y almacenamiento"/>
    <x v="12"/>
    <s v="No aplica (NO RESPEL)"/>
    <s v="Cartón reciclable"/>
    <s v="Sólido"/>
    <s v="KILOS"/>
    <s v="Aprovechamiento"/>
    <x v="54"/>
  </r>
  <r>
    <x v="43"/>
    <s v="ASCRUDOS S.A.S"/>
    <x v="6"/>
    <x v="6"/>
    <s v="Contaminados generados en mantenimiento de vehículos"/>
    <x v="8"/>
    <s v="Y9 . Residuos contaminados con hidrocarburos"/>
    <s v="Filtros contaminados"/>
    <s v="Sólido"/>
    <s v="KILOS"/>
    <s v="Celda seguridad"/>
    <x v="55"/>
  </r>
  <r>
    <x v="43"/>
    <s v="ASCRUDOS S.A.S"/>
    <x v="6"/>
    <x v="0"/>
    <s v="Cambio de aceites en mantenimientos periódicos de vehículos"/>
    <x v="0"/>
    <s v="Y8.  Desechos de aceites minerales no aptos para el uso al que estaban destinados"/>
    <s v="Aceite  lubricante usado"/>
    <s v="Líquido"/>
    <s v="GALONES"/>
    <s v="Aprovechamiento"/>
    <x v="56"/>
  </r>
  <r>
    <x v="43"/>
    <s v="ASCRUDOS S.A.S"/>
    <x v="6"/>
    <x v="0"/>
    <s v="Cambio de aceites en mantenimientos periódicos de vehículos"/>
    <x v="0"/>
    <s v="Y8 - Desechos de aceites minerales no aptos para el uso a que estaban destinados"/>
    <s v="Aceite lubricante usado"/>
    <s v="Líquido"/>
    <s v="GALONES"/>
    <s v="Aprovechamiento / tratamiento"/>
    <x v="56"/>
  </r>
  <r>
    <x v="43"/>
    <s v="ASCRUDOS S.A.S"/>
    <x v="6"/>
    <x v="9"/>
    <s v="Lámparas usadas generadas en actividades operativas o administrativas que contienen mercurio"/>
    <x v="10"/>
    <s v="Y29.Desechos que contienen mercurio"/>
    <s v="Lámparas usadas"/>
    <s v="Sólido"/>
    <s v="KILOS"/>
    <s v="Posconsumo"/>
    <x v="52"/>
  </r>
  <r>
    <x v="43"/>
    <s v="ASCRUDOS S.A.S"/>
    <x v="6"/>
    <x v="10"/>
    <s v="Contaminados generados en mantenimiento de vehículos"/>
    <x v="11"/>
    <s v="Y9.  Residuos contaminados con hidrocarburos"/>
    <s v="Envases contaminados"/>
    <s v="Sólido"/>
    <s v="KILOS"/>
    <s v="Celda de seguridad"/>
    <x v="53"/>
  </r>
  <r>
    <x v="43"/>
    <s v="ASCRUDOS S.A.S"/>
    <x v="6"/>
    <x v="11"/>
    <s v="Cartón generado por embalajes y almacenamiento"/>
    <x v="12"/>
    <s v="No aplica (NO RESPEL)"/>
    <s v="Cartón reciclable"/>
    <s v="Sólido"/>
    <s v="KILOS"/>
    <s v="Aprovechamiento"/>
    <x v="54"/>
  </r>
  <r>
    <x v="43"/>
    <s v="ASCRUDOS S.A.S"/>
    <x v="6"/>
    <x v="6"/>
    <s v="Contaminados generados en mantenimiento de vehículos"/>
    <x v="8"/>
    <s v="Y9 . Residuos contaminados con hidrocarburos"/>
    <s v="Filtros contaminados"/>
    <s v="Sólido"/>
    <s v="KILOS"/>
    <s v="Celda seguridad"/>
    <x v="55"/>
  </r>
  <r>
    <x v="44"/>
    <s v="GREEN DELTA"/>
    <x v="2"/>
    <x v="4"/>
    <s v="Llantas usadas generadas en mantenimiento de vehículos"/>
    <x v="5"/>
    <s v="No aplica (NO RESPEL)"/>
    <s v="Llantas posconsumo"/>
    <s v="Sólido"/>
    <s v="UNIDADES"/>
    <s v="Reciclaje"/>
    <x v="25"/>
  </r>
  <r>
    <x v="45"/>
    <s v="CRUDENSA"/>
    <x v="8"/>
    <x v="0"/>
    <s v="Cambio de aceites en mantenimientos periódicos de vehículos"/>
    <x v="0"/>
    <s v="Y8.  Desechos de aceites minerales no aptos para el uso al que estaban destinados"/>
    <s v="Aceite  lubricante usado"/>
    <s v="Líquido"/>
    <s v="GALONES"/>
    <s v="Aprovechamiento"/>
    <x v="57"/>
  </r>
  <r>
    <x v="45"/>
    <s v="CRUDESAN S.A"/>
    <x v="3"/>
    <x v="0"/>
    <s v="Cambio de aceites en mantenimientos periódicos de vehículos"/>
    <x v="0"/>
    <s v="Y8.  Desechos de aceites minerales no aptos para el uso al que estaban destinados"/>
    <s v="Aceite automotor usado"/>
    <s v="Líquido"/>
    <s v="GALONES"/>
    <s v="Aprovechamiento"/>
    <x v="57"/>
  </r>
  <r>
    <x v="46"/>
    <s v="GREEN DELTA"/>
    <x v="2"/>
    <x v="4"/>
    <s v="Llantas usadas generadas en mantenimiento de vehículos"/>
    <x v="5"/>
    <s v="No aplica (NO RESPEL)"/>
    <s v="Llantas posconsumo"/>
    <s v="Sólido"/>
    <s v="UNIDADES"/>
    <s v="Reciclaje"/>
    <x v="58"/>
  </r>
  <r>
    <x v="47"/>
    <s v="ASEMAR"/>
    <x v="2"/>
    <x v="8"/>
    <s v="Residuos metálicos generados en mantenimiento"/>
    <x v="9"/>
    <s v="No aplica (NO RESPEL)"/>
    <s v="Residuos metálicos generados en mantenimiento"/>
    <s v="Sólido"/>
    <s v="UNIDADES"/>
    <s v="Reciclaje"/>
    <x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34EB3-F9E7-422D-A395-F2856630E415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9" firstHeaderRow="1" firstDataRow="2" firstDataCol="1" rowPageCount="1" colPageCount="1"/>
  <pivotFields count="14">
    <pivotField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axis="axisPage" multipleItemSelectionAllowed="1" showAll="0">
      <items count="10">
        <item h="1" x="0"/>
        <item h="1" x="2"/>
        <item x="1"/>
        <item h="1" x="6"/>
        <item h="1" x="4"/>
        <item h="1" x="8"/>
        <item h="1" x="7"/>
        <item h="1" x="3"/>
        <item h="1" x="5"/>
        <item t="default"/>
      </items>
    </pivotField>
    <pivotField axis="axisRow" showAll="0">
      <items count="13">
        <item x="0"/>
        <item x="3"/>
        <item x="2"/>
        <item x="11"/>
        <item x="8"/>
        <item x="10"/>
        <item x="7"/>
        <item x="6"/>
        <item x="9"/>
        <item x="4"/>
        <item x="1"/>
        <item x="5"/>
        <item t="default"/>
      </items>
    </pivotField>
    <pivotField showAll="0"/>
    <pivotField axis="axisRow" showAll="0">
      <items count="14">
        <item x="3"/>
        <item x="12"/>
        <item x="11"/>
        <item x="10"/>
        <item x="5"/>
        <item x="8"/>
        <item x="4"/>
        <item x="6"/>
        <item x="1"/>
        <item x="7"/>
        <item x="9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>
      <items count="61">
        <item x="52"/>
        <item x="21"/>
        <item x="53"/>
        <item x="46"/>
        <item x="39"/>
        <item x="55"/>
        <item x="54"/>
        <item x="40"/>
        <item x="27"/>
        <item x="20"/>
        <item x="1"/>
        <item x="12"/>
        <item x="19"/>
        <item x="58"/>
        <item x="25"/>
        <item x="14"/>
        <item x="47"/>
        <item x="34"/>
        <item x="42"/>
        <item x="7"/>
        <item x="30"/>
        <item x="45"/>
        <item x="16"/>
        <item x="18"/>
        <item x="31"/>
        <item x="49"/>
        <item x="3"/>
        <item x="23"/>
        <item x="2"/>
        <item x="11"/>
        <item x="57"/>
        <item x="32"/>
        <item x="38"/>
        <item x="43"/>
        <item x="8"/>
        <item x="37"/>
        <item x="5"/>
        <item x="17"/>
        <item x="48"/>
        <item x="26"/>
        <item x="36"/>
        <item x="35"/>
        <item x="15"/>
        <item x="28"/>
        <item x="6"/>
        <item x="29"/>
        <item x="22"/>
        <item x="13"/>
        <item x="4"/>
        <item x="10"/>
        <item x="24"/>
        <item x="0"/>
        <item x="44"/>
        <item x="33"/>
        <item x="56"/>
        <item x="51"/>
        <item x="59"/>
        <item x="41"/>
        <item x="50"/>
        <item x="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5"/>
  </rowFields>
  <rowItems count="5">
    <i>
      <x v="2"/>
    </i>
    <i r="1">
      <x v="11"/>
    </i>
    <i>
      <x v="9"/>
    </i>
    <i r="1">
      <x v="4"/>
    </i>
    <i t="grand">
      <x/>
    </i>
  </rowItems>
  <colFields count="1">
    <field x="13"/>
  </colFields>
  <colItems count="4">
    <i>
      <x v="1"/>
    </i>
    <i>
      <x v="2"/>
    </i>
    <i>
      <x v="3"/>
    </i>
    <i t="grand">
      <x/>
    </i>
  </colItems>
  <pageFields count="1">
    <pageField fld="2" hier="-1"/>
  </pageFields>
  <dataFields count="1">
    <dataField name="Suma de GENERACIÓN DE RESIDUOS O DESECHOS PELIGROSOS =Valor total calculado según el registro en el manejo residuos)" fld="11" baseField="5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FDE43-6F9D-4863-85B9-0AF0F9B066F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23" firstHeaderRow="1" firstDataRow="2" firstDataCol="1"/>
  <pivotFields count="14">
    <pivotField numFmtId="14"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9">
        <item x="1"/>
        <item x="7"/>
        <item x="5"/>
        <item x="2"/>
        <item x="4"/>
        <item x="0"/>
        <item x="3"/>
        <item x="6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2">
    <field x="3"/>
    <field x="5"/>
  </rowFields>
  <rowItems count="19">
    <i>
      <x/>
    </i>
    <i r="1">
      <x/>
    </i>
    <i>
      <x v="1"/>
    </i>
    <i r="1">
      <x/>
    </i>
    <i r="1">
      <x v="1"/>
    </i>
    <i>
      <x v="2"/>
    </i>
    <i r="1">
      <x/>
    </i>
    <i>
      <x v="3"/>
    </i>
    <i r="1">
      <x/>
    </i>
    <i>
      <x v="4"/>
    </i>
    <i r="1">
      <x/>
    </i>
    <i r="1">
      <x v="1"/>
    </i>
    <i>
      <x v="5"/>
    </i>
    <i r="1">
      <x/>
    </i>
    <i>
      <x v="6"/>
    </i>
    <i r="1">
      <x/>
    </i>
    <i>
      <x v="7"/>
    </i>
    <i r="1">
      <x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CANTIDAD " fld="4" baseField="0" baseItem="0"/>
  </dataFields>
  <formats count="4">
    <format dxfId="3">
      <pivotArea outline="0" collapsedLevelsAreSubtotals="1" fieldPosition="0">
        <references count="1">
          <reference field="1" count="0" selected="0"/>
        </references>
      </pivotArea>
    </format>
    <format dxfId="2">
      <pivotArea field="1" type="button" dataOnly="0" labelOnly="1" outline="0" axis="axisCol" fieldPosition="0"/>
    </format>
    <format dxfId="1">
      <pivotArea type="topRight" dataOnly="0" labelOnly="1" outline="0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E051-76DC-4EBA-B1FC-C8918C0D753A}">
  <sheetPr>
    <tabColor rgb="FF92D050"/>
  </sheetPr>
  <dimension ref="A1:M93"/>
  <sheetViews>
    <sheetView tabSelected="1" zoomScale="85" zoomScaleNormal="85" workbookViewId="0">
      <pane ySplit="1" topLeftCell="A2" activePane="bottomLeft" state="frozen"/>
      <selection pane="bottomLeft" activeCell="C5" sqref="C5"/>
    </sheetView>
  </sheetViews>
  <sheetFormatPr baseColWidth="10" defaultRowHeight="15" x14ac:dyDescent="0.25"/>
  <cols>
    <col min="1" max="1" width="17.140625" style="11" customWidth="1"/>
    <col min="2" max="2" width="32.7109375" style="11" customWidth="1"/>
    <col min="3" max="3" width="27.7109375" style="11" customWidth="1"/>
    <col min="4" max="4" width="22" style="11" customWidth="1"/>
    <col min="5" max="5" width="25.7109375" style="11" customWidth="1"/>
    <col min="6" max="6" width="36.5703125" style="11" customWidth="1"/>
    <col min="7" max="7" width="23.7109375" style="11" customWidth="1"/>
    <col min="8" max="8" width="21.28515625" customWidth="1"/>
    <col min="9" max="9" width="20.28515625" customWidth="1"/>
    <col min="10" max="10" width="16.42578125" customWidth="1"/>
    <col min="11" max="11" width="21.5703125" customWidth="1"/>
    <col min="12" max="12" width="24.5703125" customWidth="1"/>
    <col min="13" max="13" width="23.85546875" customWidth="1"/>
  </cols>
  <sheetData>
    <row r="1" spans="1:13" ht="157.9" customHeight="1" x14ac:dyDescent="0.25">
      <c r="A1" s="82" t="s">
        <v>328</v>
      </c>
      <c r="B1" s="82" t="s">
        <v>193</v>
      </c>
      <c r="C1" s="82" t="s">
        <v>124</v>
      </c>
      <c r="D1" s="82" t="s">
        <v>125</v>
      </c>
      <c r="E1" s="82" t="s">
        <v>126</v>
      </c>
      <c r="F1" s="82" t="s">
        <v>127</v>
      </c>
      <c r="G1" s="82" t="s">
        <v>128</v>
      </c>
      <c r="H1" s="82" t="s">
        <v>129</v>
      </c>
      <c r="I1" s="82" t="s">
        <v>131</v>
      </c>
      <c r="J1" s="82" t="s">
        <v>130</v>
      </c>
      <c r="K1" s="82" t="s">
        <v>136</v>
      </c>
      <c r="L1" s="82" t="s">
        <v>137</v>
      </c>
      <c r="M1" s="73"/>
    </row>
    <row r="2" spans="1:13" s="104" customFormat="1" x14ac:dyDescent="0.25">
      <c r="A2" s="100"/>
      <c r="B2" s="101"/>
      <c r="C2" s="101"/>
      <c r="D2" s="102"/>
      <c r="E2" s="102"/>
      <c r="F2" s="101"/>
      <c r="G2" s="102"/>
      <c r="H2" s="101"/>
      <c r="I2" s="101"/>
      <c r="J2" s="101"/>
      <c r="K2" s="101"/>
      <c r="L2" s="101"/>
      <c r="M2" s="103"/>
    </row>
    <row r="3" spans="1:13" x14ac:dyDescent="0.25">
      <c r="A3" s="91"/>
      <c r="B3" s="14"/>
      <c r="C3" s="14"/>
      <c r="D3" s="83"/>
      <c r="E3" s="83"/>
      <c r="F3" s="14"/>
      <c r="G3" s="83"/>
      <c r="H3" s="14"/>
      <c r="I3" s="14"/>
      <c r="J3" s="14"/>
      <c r="K3" s="14"/>
      <c r="L3" s="14"/>
      <c r="M3" s="73"/>
    </row>
    <row r="4" spans="1:13" x14ac:dyDescent="0.25">
      <c r="A4" s="91"/>
      <c r="B4" s="14"/>
      <c r="C4" s="14"/>
      <c r="D4" s="83"/>
      <c r="E4" s="83"/>
      <c r="F4" s="14"/>
      <c r="G4" s="83"/>
      <c r="H4" s="14"/>
      <c r="I4" s="14"/>
      <c r="J4" s="14"/>
      <c r="K4" s="14"/>
      <c r="L4" s="14"/>
    </row>
    <row r="5" spans="1:13" x14ac:dyDescent="0.25">
      <c r="A5" s="91"/>
      <c r="B5" s="14"/>
      <c r="C5" s="14"/>
      <c r="D5" s="83"/>
      <c r="E5" s="83"/>
      <c r="F5" s="14"/>
      <c r="G5" s="83"/>
      <c r="H5" s="14"/>
      <c r="I5" s="14"/>
      <c r="J5" s="14"/>
      <c r="K5" s="14"/>
      <c r="L5" s="14"/>
      <c r="M5" s="89"/>
    </row>
    <row r="6" spans="1:13" x14ac:dyDescent="0.25">
      <c r="A6" s="91"/>
      <c r="B6" s="14"/>
      <c r="C6" s="14"/>
      <c r="D6" s="83"/>
      <c r="E6" s="83"/>
      <c r="F6" s="14"/>
      <c r="G6" s="83"/>
      <c r="H6" s="14"/>
      <c r="I6" s="14"/>
      <c r="J6" s="14"/>
      <c r="K6" s="14"/>
      <c r="L6" s="14"/>
      <c r="M6" s="90"/>
    </row>
    <row r="7" spans="1:13" x14ac:dyDescent="0.25">
      <c r="A7" s="91"/>
      <c r="B7" s="14"/>
      <c r="C7" s="14"/>
      <c r="D7" s="83"/>
      <c r="E7" s="83"/>
      <c r="F7" s="14"/>
      <c r="G7" s="83"/>
      <c r="H7" s="14"/>
      <c r="I7" s="14"/>
      <c r="J7" s="14"/>
      <c r="K7" s="14"/>
      <c r="L7" s="14"/>
    </row>
    <row r="8" spans="1:13" x14ac:dyDescent="0.25">
      <c r="A8" s="91"/>
      <c r="B8" s="14"/>
      <c r="C8" s="14"/>
      <c r="D8" s="83"/>
      <c r="E8" s="83"/>
      <c r="F8" s="14"/>
      <c r="G8" s="83"/>
      <c r="H8" s="14"/>
      <c r="I8" s="14"/>
      <c r="J8" s="14"/>
      <c r="K8" s="14"/>
      <c r="L8" s="14"/>
    </row>
    <row r="9" spans="1:13" x14ac:dyDescent="0.25">
      <c r="A9" s="91"/>
      <c r="B9" s="14"/>
      <c r="C9" s="14"/>
      <c r="D9" s="83"/>
      <c r="E9" s="83"/>
      <c r="F9" s="14"/>
      <c r="G9" s="83"/>
      <c r="H9" s="14"/>
      <c r="I9" s="14"/>
      <c r="J9" s="14"/>
      <c r="K9" s="14"/>
      <c r="L9" s="14"/>
    </row>
    <row r="10" spans="1:13" x14ac:dyDescent="0.25">
      <c r="A10" s="91"/>
      <c r="B10" s="14"/>
      <c r="C10" s="14"/>
      <c r="D10" s="83"/>
      <c r="E10" s="83"/>
      <c r="F10" s="14"/>
      <c r="G10" s="83"/>
      <c r="H10" s="14"/>
      <c r="I10" s="14"/>
      <c r="J10" s="14"/>
      <c r="K10" s="14"/>
      <c r="L10" s="14"/>
    </row>
    <row r="11" spans="1:13" x14ac:dyDescent="0.25">
      <c r="A11" s="91"/>
      <c r="B11" s="91"/>
      <c r="C11" s="14"/>
      <c r="D11" s="83"/>
      <c r="E11" s="83"/>
      <c r="F11" s="14"/>
      <c r="G11" s="83"/>
      <c r="H11" s="14"/>
      <c r="I11" s="14"/>
      <c r="J11" s="14"/>
      <c r="K11" s="14"/>
      <c r="L11" s="14"/>
    </row>
    <row r="12" spans="1:13" x14ac:dyDescent="0.25">
      <c r="A12" s="91"/>
      <c r="B12" s="14"/>
      <c r="C12" s="14"/>
      <c r="D12" s="83"/>
      <c r="E12" s="83"/>
      <c r="F12" s="14"/>
      <c r="G12" s="83"/>
      <c r="H12" s="14"/>
      <c r="I12" s="14"/>
      <c r="J12" s="14"/>
      <c r="K12" s="14"/>
      <c r="L12" s="14"/>
    </row>
    <row r="13" spans="1:13" x14ac:dyDescent="0.25">
      <c r="A13" s="91"/>
      <c r="B13" s="14"/>
      <c r="C13" s="14"/>
      <c r="D13" s="83"/>
      <c r="E13" s="83"/>
      <c r="F13" s="14"/>
      <c r="G13" s="83"/>
      <c r="H13" s="14"/>
      <c r="I13" s="14"/>
      <c r="J13" s="14"/>
      <c r="K13" s="14"/>
      <c r="L13" s="14"/>
    </row>
    <row r="14" spans="1:13" x14ac:dyDescent="0.25">
      <c r="A14" s="91"/>
      <c r="B14" s="14"/>
      <c r="C14" s="14"/>
      <c r="D14" s="83"/>
      <c r="E14" s="83"/>
      <c r="F14" s="14"/>
      <c r="G14" s="83"/>
      <c r="H14" s="14"/>
      <c r="I14" s="14"/>
      <c r="J14" s="14"/>
      <c r="K14" s="14"/>
      <c r="L14" s="14"/>
    </row>
    <row r="15" spans="1:13" x14ac:dyDescent="0.25">
      <c r="A15" s="91"/>
      <c r="B15" s="14"/>
      <c r="C15" s="14"/>
      <c r="D15" s="83"/>
      <c r="E15" s="83"/>
      <c r="F15" s="14"/>
      <c r="G15" s="83"/>
      <c r="H15" s="14"/>
      <c r="I15" s="14"/>
      <c r="J15" s="14"/>
      <c r="K15" s="14"/>
      <c r="L15" s="14"/>
    </row>
    <row r="16" spans="1:13" x14ac:dyDescent="0.25">
      <c r="A16" s="91"/>
      <c r="B16" s="14"/>
      <c r="C16" s="14"/>
      <c r="D16" s="83"/>
      <c r="E16" s="83"/>
      <c r="F16" s="14"/>
      <c r="G16" s="83"/>
      <c r="H16" s="14"/>
      <c r="I16" s="14"/>
      <c r="J16" s="14"/>
      <c r="K16" s="14"/>
      <c r="L16" s="14"/>
    </row>
    <row r="17" spans="1:12" x14ac:dyDescent="0.25">
      <c r="A17" s="91"/>
      <c r="B17" s="14"/>
      <c r="C17" s="14"/>
      <c r="D17" s="83"/>
      <c r="E17" s="83"/>
      <c r="F17" s="14"/>
      <c r="G17" s="83"/>
      <c r="H17" s="14"/>
      <c r="I17" s="14"/>
      <c r="J17" s="14"/>
      <c r="K17" s="14"/>
      <c r="L17" s="14"/>
    </row>
    <row r="18" spans="1:12" x14ac:dyDescent="0.25">
      <c r="A18" s="91"/>
      <c r="B18" s="14"/>
      <c r="C18" s="14"/>
      <c r="D18" s="83"/>
      <c r="E18" s="83"/>
      <c r="F18" s="14"/>
      <c r="G18" s="83"/>
      <c r="H18" s="14"/>
      <c r="I18" s="14"/>
      <c r="J18" s="14"/>
      <c r="K18" s="14"/>
      <c r="L18" s="14"/>
    </row>
    <row r="19" spans="1:12" x14ac:dyDescent="0.25">
      <c r="A19" s="91"/>
      <c r="B19" s="14"/>
      <c r="C19" s="14"/>
      <c r="D19" s="83"/>
      <c r="E19" s="83"/>
      <c r="F19" s="14"/>
      <c r="G19" s="83"/>
      <c r="H19" s="14"/>
      <c r="I19" s="14"/>
      <c r="J19" s="14"/>
      <c r="K19" s="14"/>
      <c r="L19" s="14"/>
    </row>
    <row r="20" spans="1:12" x14ac:dyDescent="0.25">
      <c r="A20" s="91"/>
      <c r="B20" s="14"/>
      <c r="C20" s="14"/>
      <c r="D20" s="83"/>
      <c r="E20" s="83"/>
      <c r="F20" s="14"/>
      <c r="G20" s="83"/>
      <c r="H20" s="14"/>
      <c r="I20" s="14"/>
      <c r="J20" s="14"/>
      <c r="K20" s="14"/>
      <c r="L20" s="14"/>
    </row>
    <row r="21" spans="1:12" x14ac:dyDescent="0.25">
      <c r="A21" s="91"/>
      <c r="B21" s="14"/>
      <c r="C21" s="14"/>
      <c r="D21" s="83"/>
      <c r="E21" s="83"/>
      <c r="F21" s="14"/>
      <c r="G21" s="83"/>
      <c r="H21" s="14"/>
      <c r="I21" s="14"/>
      <c r="J21" s="14"/>
      <c r="K21" s="14"/>
      <c r="L21" s="14"/>
    </row>
    <row r="22" spans="1:12" x14ac:dyDescent="0.25">
      <c r="A22" s="91"/>
      <c r="B22" s="14"/>
      <c r="C22" s="14"/>
      <c r="D22" s="83"/>
      <c r="E22" s="83"/>
      <c r="F22" s="14"/>
      <c r="G22" s="83"/>
      <c r="H22" s="14"/>
      <c r="I22" s="14"/>
      <c r="J22" s="14"/>
      <c r="K22" s="14"/>
      <c r="L22" s="14"/>
    </row>
    <row r="23" spans="1:12" x14ac:dyDescent="0.25">
      <c r="A23" s="91"/>
      <c r="B23" s="14"/>
      <c r="C23" s="14"/>
      <c r="D23" s="83"/>
      <c r="E23" s="83"/>
      <c r="F23" s="14"/>
      <c r="G23" s="83"/>
      <c r="H23" s="14"/>
      <c r="I23" s="14"/>
      <c r="J23" s="14"/>
      <c r="K23" s="14"/>
      <c r="L23" s="14"/>
    </row>
    <row r="24" spans="1:12" x14ac:dyDescent="0.25">
      <c r="A24" s="91"/>
      <c r="B24" s="14"/>
      <c r="C24" s="14"/>
      <c r="D24" s="83"/>
      <c r="E24" s="83"/>
      <c r="F24" s="14"/>
      <c r="G24" s="83"/>
      <c r="H24" s="14"/>
      <c r="I24" s="14"/>
      <c r="J24" s="14"/>
      <c r="K24" s="14"/>
      <c r="L24" s="14"/>
    </row>
    <row r="25" spans="1:12" x14ac:dyDescent="0.25">
      <c r="A25" s="91"/>
      <c r="B25" s="14"/>
      <c r="C25" s="14"/>
      <c r="D25" s="83"/>
      <c r="E25" s="83"/>
      <c r="F25" s="14"/>
      <c r="G25" s="83"/>
      <c r="H25" s="14"/>
      <c r="I25" s="14"/>
      <c r="J25" s="14"/>
      <c r="K25" s="14"/>
      <c r="L25" s="14"/>
    </row>
    <row r="26" spans="1:12" x14ac:dyDescent="0.25">
      <c r="A26" s="91"/>
      <c r="B26" s="14"/>
      <c r="C26" s="14"/>
      <c r="D26" s="83"/>
      <c r="E26" s="83"/>
      <c r="F26" s="14"/>
      <c r="G26" s="83"/>
      <c r="H26" s="14"/>
      <c r="I26" s="14"/>
      <c r="J26" s="14"/>
      <c r="K26" s="14"/>
      <c r="L26" s="14"/>
    </row>
    <row r="27" spans="1:12" x14ac:dyDescent="0.25">
      <c r="A27" s="91"/>
      <c r="B27" s="14"/>
      <c r="C27" s="14"/>
      <c r="D27" s="83"/>
      <c r="E27" s="83"/>
      <c r="F27" s="14"/>
      <c r="G27" s="83"/>
      <c r="H27" s="14"/>
      <c r="I27" s="14"/>
      <c r="J27" s="14"/>
      <c r="K27" s="14"/>
      <c r="L27" s="14"/>
    </row>
    <row r="28" spans="1:12" x14ac:dyDescent="0.25">
      <c r="A28" s="91"/>
      <c r="B28" s="14"/>
      <c r="C28" s="14"/>
      <c r="D28" s="83"/>
      <c r="E28" s="83"/>
      <c r="F28" s="14"/>
      <c r="G28" s="83"/>
      <c r="H28" s="14"/>
      <c r="I28" s="14"/>
      <c r="J28" s="14"/>
      <c r="K28" s="14"/>
      <c r="L28" s="14"/>
    </row>
    <row r="29" spans="1:12" x14ac:dyDescent="0.25">
      <c r="A29" s="91"/>
      <c r="B29" s="14"/>
      <c r="C29" s="14"/>
      <c r="D29" s="83"/>
      <c r="E29" s="83"/>
      <c r="F29" s="14"/>
      <c r="G29" s="83"/>
      <c r="H29" s="14"/>
      <c r="I29" s="14"/>
      <c r="J29" s="14"/>
      <c r="K29" s="14"/>
      <c r="L29" s="14"/>
    </row>
    <row r="30" spans="1:12" x14ac:dyDescent="0.25">
      <c r="A30" s="91"/>
      <c r="B30" s="14"/>
      <c r="C30" s="14"/>
      <c r="D30" s="83"/>
      <c r="E30" s="83"/>
      <c r="F30" s="14"/>
      <c r="G30" s="83"/>
      <c r="H30" s="14"/>
      <c r="I30" s="14"/>
      <c r="J30" s="14"/>
      <c r="K30" s="14"/>
      <c r="L30" s="14"/>
    </row>
    <row r="31" spans="1:12" x14ac:dyDescent="0.25">
      <c r="A31" s="91"/>
      <c r="B31" s="14"/>
      <c r="C31" s="14"/>
      <c r="D31" s="83"/>
      <c r="E31" s="83"/>
      <c r="F31" s="14"/>
      <c r="G31" s="83"/>
      <c r="H31" s="14"/>
      <c r="I31" s="14"/>
      <c r="J31" s="14"/>
      <c r="K31" s="14"/>
      <c r="L31" s="14"/>
    </row>
    <row r="32" spans="1:12" x14ac:dyDescent="0.25">
      <c r="A32" s="91"/>
      <c r="B32" s="14"/>
      <c r="C32" s="14"/>
      <c r="D32" s="83"/>
      <c r="E32" s="83"/>
      <c r="F32" s="14"/>
      <c r="G32" s="83"/>
      <c r="H32" s="14"/>
      <c r="I32" s="14"/>
      <c r="J32" s="14"/>
      <c r="K32" s="14"/>
      <c r="L32" s="14"/>
    </row>
    <row r="33" spans="1:12" x14ac:dyDescent="0.25">
      <c r="A33" s="91"/>
      <c r="B33" s="14"/>
      <c r="C33" s="14"/>
      <c r="D33" s="83"/>
      <c r="E33" s="83"/>
      <c r="F33" s="14"/>
      <c r="G33" s="83"/>
      <c r="H33" s="14"/>
      <c r="I33" s="14"/>
      <c r="J33" s="14"/>
      <c r="K33" s="14"/>
      <c r="L33" s="14"/>
    </row>
    <row r="34" spans="1:12" x14ac:dyDescent="0.25">
      <c r="A34" s="91"/>
      <c r="B34" s="14"/>
      <c r="C34" s="14"/>
      <c r="D34" s="83"/>
      <c r="E34" s="83"/>
      <c r="F34" s="14"/>
      <c r="G34" s="83"/>
      <c r="H34" s="14"/>
      <c r="I34" s="14"/>
      <c r="J34" s="14"/>
      <c r="K34" s="14"/>
      <c r="L34" s="14"/>
    </row>
    <row r="35" spans="1:12" x14ac:dyDescent="0.25">
      <c r="A35" s="91"/>
      <c r="B35" s="14"/>
      <c r="C35" s="14"/>
      <c r="D35" s="83"/>
      <c r="E35" s="83"/>
      <c r="F35" s="14"/>
      <c r="G35" s="83"/>
      <c r="H35" s="14"/>
      <c r="I35" s="14"/>
      <c r="J35" s="14"/>
      <c r="K35" s="14"/>
      <c r="L35" s="14"/>
    </row>
    <row r="36" spans="1:12" x14ac:dyDescent="0.25">
      <c r="A36" s="91"/>
      <c r="B36" s="14"/>
      <c r="C36" s="14"/>
      <c r="D36" s="83"/>
      <c r="E36" s="83"/>
      <c r="F36" s="14"/>
      <c r="G36" s="83"/>
      <c r="H36" s="14"/>
      <c r="I36" s="14"/>
      <c r="J36" s="14"/>
      <c r="K36" s="14"/>
      <c r="L36" s="14"/>
    </row>
    <row r="37" spans="1:12" x14ac:dyDescent="0.25">
      <c r="A37" s="91"/>
      <c r="B37" s="14"/>
      <c r="C37" s="14"/>
      <c r="D37" s="83"/>
      <c r="E37" s="83"/>
      <c r="F37" s="14"/>
      <c r="G37" s="83"/>
      <c r="H37" s="14"/>
      <c r="I37" s="14"/>
      <c r="J37" s="14"/>
      <c r="K37" s="14"/>
      <c r="L37" s="14"/>
    </row>
    <row r="38" spans="1:12" x14ac:dyDescent="0.25">
      <c r="A38" s="91"/>
      <c r="B38" s="14"/>
      <c r="C38" s="14"/>
      <c r="D38" s="83"/>
      <c r="E38" s="83"/>
      <c r="F38" s="14"/>
      <c r="G38" s="83"/>
      <c r="H38" s="14"/>
      <c r="I38" s="14"/>
      <c r="J38" s="14"/>
      <c r="K38" s="14"/>
      <c r="L38" s="14"/>
    </row>
    <row r="39" spans="1:12" x14ac:dyDescent="0.25">
      <c r="A39" s="91"/>
      <c r="B39" s="14"/>
      <c r="C39" s="14"/>
      <c r="D39" s="83"/>
      <c r="E39" s="83"/>
      <c r="F39" s="14"/>
      <c r="G39" s="83"/>
      <c r="H39" s="14"/>
      <c r="I39" s="14"/>
      <c r="J39" s="14"/>
      <c r="K39" s="14"/>
      <c r="L39" s="14"/>
    </row>
    <row r="40" spans="1:12" x14ac:dyDescent="0.25">
      <c r="A40" s="91"/>
      <c r="B40" s="14"/>
      <c r="C40" s="14"/>
      <c r="D40" s="83"/>
      <c r="E40" s="83"/>
      <c r="F40" s="14"/>
      <c r="G40" s="83"/>
      <c r="H40" s="14"/>
      <c r="I40" s="14"/>
      <c r="J40" s="14"/>
      <c r="K40" s="14"/>
      <c r="L40" s="14"/>
    </row>
    <row r="41" spans="1:12" x14ac:dyDescent="0.25">
      <c r="A41" s="91"/>
      <c r="B41" s="14"/>
      <c r="C41" s="14"/>
      <c r="D41" s="83"/>
      <c r="E41" s="83"/>
      <c r="F41" s="14"/>
      <c r="G41" s="83"/>
      <c r="H41" s="14"/>
      <c r="I41" s="14"/>
      <c r="J41" s="14"/>
      <c r="K41" s="14"/>
      <c r="L41" s="14"/>
    </row>
    <row r="42" spans="1:12" x14ac:dyDescent="0.25">
      <c r="A42" s="91"/>
      <c r="B42" s="14"/>
      <c r="C42" s="14"/>
      <c r="D42" s="83"/>
      <c r="E42" s="83"/>
      <c r="F42" s="14"/>
      <c r="G42" s="83"/>
      <c r="H42" s="14"/>
      <c r="I42" s="14"/>
      <c r="J42" s="14"/>
      <c r="K42" s="14"/>
      <c r="L42" s="14"/>
    </row>
    <row r="43" spans="1:12" x14ac:dyDescent="0.25">
      <c r="A43" s="91"/>
      <c r="B43" s="14"/>
      <c r="C43" s="14"/>
      <c r="D43" s="83"/>
      <c r="E43" s="83"/>
      <c r="F43" s="14"/>
      <c r="G43" s="83"/>
      <c r="H43" s="14"/>
      <c r="I43" s="14"/>
      <c r="J43" s="14"/>
      <c r="K43" s="14"/>
      <c r="L43" s="14"/>
    </row>
    <row r="44" spans="1:12" x14ac:dyDescent="0.25">
      <c r="A44" s="91"/>
      <c r="B44" s="14"/>
      <c r="C44" s="14"/>
      <c r="D44" s="83"/>
      <c r="E44" s="83"/>
      <c r="F44" s="14"/>
      <c r="G44" s="83"/>
      <c r="H44" s="14"/>
      <c r="I44" s="14"/>
      <c r="J44" s="14"/>
      <c r="K44" s="14"/>
      <c r="L44" s="14"/>
    </row>
    <row r="45" spans="1:12" x14ac:dyDescent="0.25">
      <c r="A45" s="91"/>
      <c r="B45" s="14"/>
      <c r="C45" s="14"/>
      <c r="D45" s="83"/>
      <c r="E45" s="83"/>
      <c r="F45" s="14"/>
      <c r="G45" s="83"/>
      <c r="H45" s="14"/>
      <c r="I45" s="14"/>
      <c r="J45" s="14"/>
      <c r="K45" s="14"/>
      <c r="L45" s="14"/>
    </row>
    <row r="46" spans="1:12" x14ac:dyDescent="0.25">
      <c r="A46" s="91"/>
      <c r="B46" s="14"/>
      <c r="C46" s="14"/>
      <c r="D46" s="83"/>
      <c r="E46" s="83"/>
      <c r="F46" s="14"/>
      <c r="G46" s="83"/>
      <c r="H46" s="14"/>
      <c r="I46" s="14"/>
      <c r="J46" s="14"/>
      <c r="K46" s="14"/>
      <c r="L46" s="14"/>
    </row>
    <row r="47" spans="1:12" x14ac:dyDescent="0.25">
      <c r="A47" s="91"/>
      <c r="B47" s="14"/>
      <c r="C47" s="14"/>
      <c r="D47" s="83"/>
      <c r="E47" s="83"/>
      <c r="F47" s="14"/>
      <c r="G47" s="83"/>
      <c r="H47" s="14"/>
      <c r="I47" s="14"/>
      <c r="J47" s="14"/>
      <c r="K47" s="14"/>
      <c r="L47" s="14"/>
    </row>
    <row r="48" spans="1:12" x14ac:dyDescent="0.25">
      <c r="A48" s="91"/>
      <c r="B48" s="14"/>
      <c r="C48" s="14"/>
      <c r="D48" s="83"/>
      <c r="E48" s="83"/>
      <c r="F48" s="14"/>
      <c r="G48" s="83"/>
      <c r="H48" s="14"/>
      <c r="I48" s="14"/>
      <c r="J48" s="14"/>
      <c r="K48" s="14"/>
      <c r="L48" s="14"/>
    </row>
    <row r="49" spans="1:13" x14ac:dyDescent="0.25">
      <c r="A49" s="91"/>
      <c r="B49" s="14"/>
      <c r="C49" s="14"/>
      <c r="D49" s="83"/>
      <c r="E49" s="83"/>
      <c r="F49" s="14"/>
      <c r="G49" s="83"/>
      <c r="H49" s="14"/>
      <c r="I49" s="14"/>
      <c r="J49" s="14"/>
      <c r="K49" s="14"/>
      <c r="L49" s="14"/>
    </row>
    <row r="50" spans="1:13" x14ac:dyDescent="0.25">
      <c r="A50" s="91"/>
      <c r="B50" s="14"/>
      <c r="C50" s="14"/>
      <c r="D50" s="83"/>
      <c r="E50" s="83"/>
      <c r="F50" s="14"/>
      <c r="G50" s="83"/>
      <c r="H50" s="14"/>
      <c r="I50" s="14"/>
      <c r="J50" s="14"/>
      <c r="K50" s="14"/>
      <c r="L50" s="14"/>
    </row>
    <row r="51" spans="1:13" x14ac:dyDescent="0.25">
      <c r="A51" s="91"/>
      <c r="B51" s="14"/>
      <c r="C51" s="14"/>
      <c r="D51" s="83"/>
      <c r="E51" s="83"/>
      <c r="F51" s="14"/>
      <c r="G51" s="83"/>
      <c r="H51" s="14"/>
      <c r="I51" s="14"/>
      <c r="J51" s="14"/>
      <c r="K51" s="14"/>
      <c r="L51" s="14"/>
    </row>
    <row r="52" spans="1:13" x14ac:dyDescent="0.25">
      <c r="A52" s="91"/>
      <c r="B52" s="14"/>
      <c r="C52" s="14"/>
      <c r="D52" s="83"/>
      <c r="E52" s="83"/>
      <c r="F52" s="14"/>
      <c r="G52" s="83"/>
      <c r="H52" s="14"/>
      <c r="I52" s="14"/>
      <c r="J52" s="14"/>
      <c r="K52" s="14"/>
      <c r="L52" s="14"/>
      <c r="M52" s="90"/>
    </row>
    <row r="53" spans="1:13" x14ac:dyDescent="0.25">
      <c r="A53" s="91"/>
      <c r="B53" s="14"/>
      <c r="C53" s="14"/>
      <c r="D53" s="83"/>
      <c r="E53" s="83"/>
      <c r="F53" s="14"/>
      <c r="G53" s="83"/>
      <c r="H53" s="14"/>
      <c r="I53" s="14"/>
      <c r="J53" s="14"/>
      <c r="K53" s="14"/>
      <c r="L53" s="14"/>
    </row>
    <row r="54" spans="1:13" x14ac:dyDescent="0.25">
      <c r="A54" s="91"/>
      <c r="B54" s="14"/>
      <c r="C54" s="14"/>
      <c r="D54" s="83"/>
      <c r="E54" s="83"/>
      <c r="F54" s="14"/>
      <c r="G54" s="83"/>
      <c r="H54" s="14"/>
      <c r="I54" s="14"/>
      <c r="J54" s="14"/>
      <c r="K54" s="14"/>
      <c r="L54" s="14"/>
      <c r="M54" s="89"/>
    </row>
    <row r="55" spans="1:13" x14ac:dyDescent="0.25">
      <c r="A55" s="91"/>
      <c r="B55" s="14"/>
      <c r="C55" s="14"/>
      <c r="D55" s="83"/>
      <c r="E55" s="83"/>
      <c r="F55" s="14"/>
      <c r="G55" s="83"/>
      <c r="H55" s="14"/>
      <c r="I55" s="14"/>
      <c r="J55" s="14"/>
      <c r="K55" s="14"/>
      <c r="L55" s="14"/>
    </row>
    <row r="56" spans="1:13" x14ac:dyDescent="0.25">
      <c r="A56" s="91"/>
      <c r="B56" s="14"/>
      <c r="C56" s="14"/>
      <c r="D56" s="83"/>
      <c r="E56" s="83"/>
      <c r="F56" s="14"/>
      <c r="G56" s="83"/>
      <c r="H56" s="14"/>
      <c r="I56" s="14"/>
      <c r="J56" s="14"/>
      <c r="K56" s="14"/>
      <c r="L56" s="14"/>
    </row>
    <row r="57" spans="1:13" x14ac:dyDescent="0.25">
      <c r="A57" s="91"/>
      <c r="B57" s="14"/>
      <c r="C57" s="14"/>
      <c r="D57" s="83"/>
      <c r="E57" s="83"/>
      <c r="F57" s="14"/>
      <c r="G57" s="83"/>
      <c r="H57" s="14"/>
      <c r="I57" s="14"/>
      <c r="J57" s="14"/>
      <c r="K57" s="14"/>
      <c r="L57" s="14"/>
    </row>
    <row r="58" spans="1:13" x14ac:dyDescent="0.25">
      <c r="A58" s="91"/>
      <c r="B58" s="14"/>
      <c r="C58" s="14"/>
      <c r="D58" s="83"/>
      <c r="E58" s="83"/>
      <c r="F58" s="14"/>
      <c r="G58" s="83"/>
      <c r="H58" s="14"/>
      <c r="I58" s="14"/>
      <c r="J58" s="14"/>
      <c r="K58" s="14"/>
      <c r="L58" s="14"/>
    </row>
    <row r="59" spans="1:13" x14ac:dyDescent="0.25">
      <c r="A59" s="91"/>
      <c r="B59" s="14"/>
      <c r="C59" s="14"/>
      <c r="D59" s="83"/>
      <c r="E59" s="83"/>
      <c r="F59" s="14"/>
      <c r="G59" s="83"/>
      <c r="H59" s="14"/>
      <c r="I59" s="14"/>
      <c r="J59" s="14"/>
      <c r="K59" s="14"/>
      <c r="L59" s="14"/>
      <c r="M59" s="90"/>
    </row>
    <row r="60" spans="1:13" x14ac:dyDescent="0.25">
      <c r="A60" s="91"/>
      <c r="B60" s="14"/>
      <c r="C60" s="14"/>
      <c r="D60" s="83"/>
      <c r="E60" s="83"/>
      <c r="F60" s="14"/>
      <c r="G60" s="83"/>
      <c r="H60" s="14"/>
      <c r="I60" s="14"/>
      <c r="J60" s="14"/>
      <c r="K60" s="14"/>
      <c r="L60" s="14"/>
    </row>
    <row r="61" spans="1:13" x14ac:dyDescent="0.25">
      <c r="A61" s="91"/>
      <c r="B61" s="14"/>
      <c r="C61" s="14"/>
      <c r="D61" s="83"/>
      <c r="E61" s="83"/>
      <c r="F61" s="14"/>
      <c r="G61" s="83"/>
      <c r="H61" s="14"/>
      <c r="I61" s="14"/>
      <c r="J61" s="14"/>
      <c r="K61" s="14"/>
      <c r="L61" s="14"/>
    </row>
    <row r="62" spans="1:13" x14ac:dyDescent="0.25">
      <c r="A62" s="91"/>
      <c r="B62" s="14"/>
      <c r="C62" s="14"/>
      <c r="D62" s="83"/>
      <c r="E62" s="83"/>
      <c r="F62" s="14"/>
      <c r="G62" s="83"/>
      <c r="H62" s="14"/>
      <c r="I62" s="14"/>
      <c r="J62" s="14"/>
      <c r="K62" s="14"/>
      <c r="L62" s="14"/>
    </row>
    <row r="63" spans="1:13" x14ac:dyDescent="0.25">
      <c r="A63" s="91"/>
      <c r="B63" s="14"/>
      <c r="C63" s="14"/>
      <c r="D63" s="83"/>
      <c r="E63" s="83"/>
      <c r="F63" s="14"/>
      <c r="G63" s="83"/>
      <c r="H63" s="14"/>
      <c r="I63" s="14"/>
      <c r="J63" s="14"/>
      <c r="K63" s="14"/>
      <c r="L63" s="14"/>
    </row>
    <row r="64" spans="1:13" x14ac:dyDescent="0.25">
      <c r="A64" s="91"/>
      <c r="B64" s="14"/>
      <c r="C64" s="14"/>
      <c r="D64" s="83"/>
      <c r="E64" s="83"/>
      <c r="F64" s="14"/>
      <c r="G64" s="83"/>
      <c r="H64" s="14"/>
      <c r="I64" s="14"/>
      <c r="J64" s="14"/>
      <c r="K64" s="14"/>
      <c r="L64" s="14"/>
    </row>
    <row r="65" spans="1:13" x14ac:dyDescent="0.25">
      <c r="A65" s="91"/>
      <c r="B65" s="14"/>
      <c r="C65" s="14"/>
      <c r="D65" s="83"/>
      <c r="E65" s="83"/>
      <c r="F65" s="14"/>
      <c r="G65" s="83"/>
      <c r="H65" s="14"/>
      <c r="I65" s="14"/>
      <c r="J65" s="14"/>
      <c r="K65" s="14"/>
      <c r="L65" s="14"/>
    </row>
    <row r="66" spans="1:13" x14ac:dyDescent="0.25">
      <c r="A66" s="91"/>
      <c r="B66" s="14"/>
      <c r="C66" s="14"/>
      <c r="D66" s="83"/>
      <c r="E66" s="83"/>
      <c r="F66" s="14"/>
      <c r="G66" s="83"/>
      <c r="H66" s="14"/>
      <c r="I66" s="14"/>
      <c r="J66" s="14"/>
      <c r="K66" s="14"/>
      <c r="L66" s="14"/>
      <c r="M66" s="89"/>
    </row>
    <row r="67" spans="1:13" x14ac:dyDescent="0.25">
      <c r="A67" s="91"/>
      <c r="B67" s="91"/>
      <c r="C67" s="14"/>
      <c r="D67" s="83"/>
      <c r="E67" s="83"/>
      <c r="F67" s="14"/>
      <c r="G67" s="83"/>
      <c r="H67" s="14"/>
      <c r="I67" s="14"/>
      <c r="J67" s="14"/>
      <c r="K67" s="14"/>
      <c r="L67" s="14"/>
    </row>
    <row r="68" spans="1:13" x14ac:dyDescent="0.25">
      <c r="A68" s="91"/>
      <c r="B68" s="14"/>
      <c r="C68" s="14"/>
      <c r="D68" s="83"/>
      <c r="E68" s="83"/>
      <c r="F68" s="14"/>
      <c r="G68" s="83"/>
      <c r="H68" s="14"/>
      <c r="I68" s="14"/>
      <c r="J68" s="14"/>
      <c r="K68" s="14"/>
      <c r="L68" s="14"/>
    </row>
    <row r="69" spans="1:13" x14ac:dyDescent="0.25">
      <c r="A69" s="91"/>
      <c r="B69" s="14"/>
      <c r="C69" s="14"/>
      <c r="D69" s="83"/>
      <c r="E69" s="83"/>
      <c r="F69" s="14"/>
      <c r="G69" s="83"/>
      <c r="H69" s="14"/>
      <c r="I69" s="14"/>
      <c r="J69" s="14"/>
      <c r="K69" s="14"/>
      <c r="L69" s="14"/>
    </row>
    <row r="70" spans="1:13" x14ac:dyDescent="0.25">
      <c r="A70" s="91"/>
      <c r="B70" s="14"/>
      <c r="C70" s="14"/>
      <c r="D70" s="83"/>
      <c r="E70" s="83"/>
      <c r="F70" s="14"/>
      <c r="G70" s="83"/>
      <c r="H70" s="14"/>
      <c r="I70" s="14"/>
      <c r="J70" s="14"/>
      <c r="K70" s="14"/>
      <c r="L70" s="14"/>
    </row>
    <row r="71" spans="1:13" x14ac:dyDescent="0.25">
      <c r="A71" s="91"/>
      <c r="B71" s="14"/>
      <c r="C71" s="14"/>
      <c r="D71" s="83"/>
      <c r="E71" s="83"/>
      <c r="F71" s="14"/>
      <c r="G71" s="83"/>
      <c r="H71" s="14"/>
      <c r="I71" s="14"/>
      <c r="J71" s="14"/>
      <c r="K71" s="14"/>
      <c r="L71" s="14"/>
    </row>
    <row r="72" spans="1:13" x14ac:dyDescent="0.25">
      <c r="A72" s="91"/>
      <c r="B72" s="91"/>
      <c r="C72" s="14"/>
      <c r="D72" s="83"/>
      <c r="E72" s="83"/>
      <c r="F72" s="14"/>
      <c r="G72" s="83"/>
      <c r="H72" s="14"/>
      <c r="I72" s="14"/>
      <c r="J72" s="14"/>
      <c r="K72" s="14"/>
      <c r="L72" s="14"/>
    </row>
    <row r="73" spans="1:13" x14ac:dyDescent="0.25">
      <c r="A73" s="91"/>
      <c r="B73" s="14"/>
      <c r="C73" s="14"/>
      <c r="D73" s="83"/>
      <c r="E73" s="83"/>
      <c r="F73" s="14"/>
      <c r="G73" s="83"/>
      <c r="H73" s="14"/>
      <c r="I73" s="14"/>
      <c r="J73" s="14"/>
      <c r="K73" s="14"/>
      <c r="L73" s="14"/>
    </row>
    <row r="74" spans="1:13" x14ac:dyDescent="0.25">
      <c r="A74" s="91"/>
      <c r="B74" s="14"/>
      <c r="C74" s="14"/>
      <c r="D74" s="83"/>
      <c r="E74" s="83"/>
      <c r="F74" s="14"/>
      <c r="G74" s="83"/>
      <c r="H74" s="14"/>
      <c r="I74" s="14"/>
      <c r="J74" s="14"/>
      <c r="K74" s="14"/>
      <c r="L74" s="14"/>
    </row>
    <row r="75" spans="1:13" x14ac:dyDescent="0.25">
      <c r="A75" s="91"/>
      <c r="B75" s="14"/>
      <c r="C75" s="14"/>
      <c r="D75" s="83"/>
      <c r="E75" s="83"/>
      <c r="F75" s="14"/>
      <c r="G75" s="83"/>
      <c r="H75" s="14"/>
      <c r="I75" s="14"/>
      <c r="J75" s="14"/>
      <c r="K75" s="14"/>
      <c r="L75" s="14"/>
    </row>
    <row r="76" spans="1:13" x14ac:dyDescent="0.25">
      <c r="A76" s="91"/>
      <c r="B76" s="14"/>
      <c r="C76" s="14"/>
      <c r="D76" s="83"/>
      <c r="E76" s="83"/>
      <c r="F76" s="14"/>
      <c r="G76" s="83"/>
      <c r="H76" s="14"/>
      <c r="I76" s="14"/>
      <c r="J76" s="14"/>
      <c r="K76" s="14"/>
      <c r="L76" s="14"/>
      <c r="M76" s="73"/>
    </row>
    <row r="77" spans="1:13" x14ac:dyDescent="0.25">
      <c r="A77" s="91"/>
      <c r="B77" s="14"/>
      <c r="C77" s="14"/>
      <c r="D77" s="83"/>
      <c r="E77" s="83"/>
      <c r="F77" s="14"/>
      <c r="G77" s="83"/>
      <c r="H77" s="14"/>
      <c r="I77" s="14"/>
      <c r="J77" s="14"/>
      <c r="K77" s="14"/>
      <c r="L77" s="14"/>
      <c r="M77" s="73"/>
    </row>
    <row r="78" spans="1:13" x14ac:dyDescent="0.25">
      <c r="A78" s="91"/>
      <c r="B78" s="14"/>
      <c r="C78" s="14"/>
      <c r="D78" s="83"/>
      <c r="E78" s="83"/>
      <c r="F78" s="14"/>
      <c r="G78" s="83"/>
      <c r="H78" s="14"/>
      <c r="I78" s="14"/>
      <c r="J78" s="14"/>
      <c r="K78" s="14"/>
      <c r="L78" s="14"/>
    </row>
    <row r="79" spans="1:13" x14ac:dyDescent="0.25">
      <c r="A79" s="91"/>
      <c r="B79" s="14"/>
      <c r="C79" s="14"/>
      <c r="D79" s="83"/>
      <c r="E79" s="83"/>
      <c r="F79" s="14"/>
      <c r="G79" s="83"/>
      <c r="H79" s="14"/>
      <c r="I79" s="14"/>
      <c r="J79" s="14"/>
      <c r="K79" s="14"/>
      <c r="L79" s="14"/>
      <c r="M79" s="73"/>
    </row>
    <row r="80" spans="1:13" x14ac:dyDescent="0.25">
      <c r="A80" s="91"/>
      <c r="B80" s="14"/>
      <c r="C80" s="14"/>
      <c r="D80" s="83"/>
      <c r="E80" s="83"/>
      <c r="F80" s="14"/>
      <c r="G80" s="83"/>
      <c r="H80" s="14"/>
      <c r="I80" s="14"/>
      <c r="J80" s="14"/>
      <c r="K80" s="14"/>
      <c r="L80" s="14"/>
      <c r="M80" s="73"/>
    </row>
    <row r="81" spans="1:13" x14ac:dyDescent="0.25">
      <c r="A81" s="91"/>
      <c r="B81" s="14"/>
      <c r="C81" s="14"/>
      <c r="D81" s="83"/>
      <c r="E81" s="83"/>
      <c r="F81" s="14"/>
      <c r="G81" s="83"/>
      <c r="H81" s="14"/>
      <c r="I81" s="14"/>
      <c r="J81" s="14"/>
      <c r="K81" s="14"/>
      <c r="L81" s="14"/>
      <c r="M81" s="73"/>
    </row>
    <row r="82" spans="1:13" x14ac:dyDescent="0.25">
      <c r="A82" s="91"/>
      <c r="B82" s="14"/>
      <c r="C82" s="14"/>
      <c r="D82" s="83"/>
      <c r="E82" s="83"/>
      <c r="F82" s="14"/>
      <c r="G82" s="83"/>
      <c r="H82" s="14"/>
      <c r="I82" s="14"/>
      <c r="J82" s="14"/>
      <c r="K82" s="14"/>
      <c r="L82" s="14"/>
      <c r="M82" s="73"/>
    </row>
    <row r="83" spans="1:13" x14ac:dyDescent="0.25">
      <c r="A83" s="91"/>
      <c r="B83" s="14"/>
      <c r="C83" s="14"/>
      <c r="D83" s="83"/>
      <c r="E83" s="83"/>
      <c r="F83" s="14"/>
      <c r="G83" s="83"/>
      <c r="H83" s="14"/>
      <c r="I83" s="14"/>
      <c r="J83" s="14"/>
      <c r="K83" s="14"/>
      <c r="L83" s="14"/>
      <c r="M83" s="73"/>
    </row>
    <row r="84" spans="1:13" x14ac:dyDescent="0.25">
      <c r="A84" s="91"/>
      <c r="B84" s="14"/>
      <c r="C84" s="14"/>
      <c r="D84" s="83"/>
      <c r="E84" s="83"/>
      <c r="F84" s="14"/>
      <c r="G84" s="83"/>
      <c r="H84" s="14"/>
      <c r="I84" s="14"/>
      <c r="J84" s="14"/>
      <c r="K84" s="14"/>
      <c r="L84" s="14"/>
    </row>
    <row r="85" spans="1:13" x14ac:dyDescent="0.25">
      <c r="A85" s="91"/>
      <c r="B85" s="14"/>
      <c r="C85" s="14"/>
      <c r="D85" s="83"/>
      <c r="E85" s="83"/>
      <c r="F85" s="14"/>
      <c r="G85" s="83"/>
      <c r="H85" s="14"/>
      <c r="I85" s="14"/>
      <c r="J85" s="14"/>
      <c r="K85" s="14"/>
      <c r="L85" s="14"/>
    </row>
    <row r="86" spans="1:13" x14ac:dyDescent="0.25">
      <c r="A86" s="91"/>
      <c r="B86" s="14"/>
      <c r="C86" s="14"/>
      <c r="D86" s="83"/>
      <c r="E86" s="83"/>
      <c r="F86" s="14"/>
      <c r="G86" s="83"/>
      <c r="H86" s="14"/>
      <c r="I86" s="14"/>
      <c r="J86" s="14"/>
      <c r="K86" s="14"/>
      <c r="L86" s="14"/>
    </row>
    <row r="87" spans="1:13" x14ac:dyDescent="0.25">
      <c r="A87" s="91"/>
      <c r="B87" s="14"/>
      <c r="C87" s="14"/>
      <c r="D87" s="83"/>
      <c r="E87" s="83"/>
      <c r="F87" s="14"/>
      <c r="G87" s="83"/>
      <c r="H87" s="14"/>
      <c r="I87" s="14"/>
      <c r="J87" s="14"/>
      <c r="K87" s="14"/>
      <c r="L87" s="14"/>
    </row>
    <row r="88" spans="1:13" x14ac:dyDescent="0.25">
      <c r="A88" s="91"/>
      <c r="B88" s="14"/>
      <c r="C88" s="14"/>
      <c r="D88" s="83"/>
      <c r="E88" s="83"/>
      <c r="F88" s="14"/>
      <c r="G88" s="83"/>
      <c r="H88" s="14"/>
      <c r="I88" s="14"/>
      <c r="J88" s="14"/>
      <c r="K88" s="14"/>
      <c r="L88" s="14"/>
    </row>
    <row r="89" spans="1:13" x14ac:dyDescent="0.25">
      <c r="A89" s="91"/>
      <c r="B89" s="14"/>
      <c r="C89" s="14"/>
      <c r="D89" s="83"/>
      <c r="E89" s="83"/>
      <c r="F89" s="14"/>
      <c r="G89" s="83"/>
      <c r="H89" s="14"/>
      <c r="I89" s="14"/>
      <c r="J89" s="14"/>
      <c r="K89" s="14"/>
      <c r="L89" s="14"/>
    </row>
    <row r="90" spans="1:13" x14ac:dyDescent="0.25">
      <c r="A90" s="91"/>
      <c r="B90" s="14"/>
      <c r="C90" s="14"/>
      <c r="D90" s="83"/>
      <c r="E90" s="83"/>
      <c r="F90" s="14"/>
      <c r="G90" s="83"/>
      <c r="H90" s="14"/>
      <c r="I90" s="14"/>
      <c r="J90" s="14"/>
      <c r="K90" s="14"/>
      <c r="L90" s="14"/>
    </row>
    <row r="91" spans="1:13" x14ac:dyDescent="0.25">
      <c r="A91" s="91"/>
      <c r="B91" s="14"/>
      <c r="C91" s="5"/>
      <c r="D91" s="83"/>
      <c r="E91" s="83"/>
      <c r="F91" s="14"/>
      <c r="G91" s="83"/>
      <c r="H91" s="14"/>
      <c r="I91" s="14"/>
      <c r="J91" s="14"/>
      <c r="K91" s="14"/>
      <c r="L91" s="14"/>
    </row>
    <row r="92" spans="1:13" x14ac:dyDescent="0.25">
      <c r="A92" s="91"/>
      <c r="B92" s="14"/>
      <c r="C92" s="14"/>
      <c r="D92" s="83"/>
      <c r="E92" s="83"/>
      <c r="F92" s="14"/>
      <c r="G92" s="83"/>
      <c r="H92" s="14"/>
      <c r="I92" s="14"/>
      <c r="J92" s="14"/>
      <c r="K92" s="14"/>
      <c r="L92" s="14"/>
    </row>
    <row r="93" spans="1:13" x14ac:dyDescent="0.25">
      <c r="A93" s="91"/>
      <c r="B93" s="14"/>
      <c r="C93" s="14"/>
      <c r="D93" s="83"/>
      <c r="E93" s="83"/>
      <c r="F93" s="14"/>
      <c r="G93" s="83"/>
      <c r="H93" s="14"/>
      <c r="I93" s="14"/>
      <c r="J93" s="14"/>
      <c r="K93" s="14"/>
      <c r="L93" s="14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98899DF-A356-460F-94E4-7738B0A841E6}">
          <x14:formula1>
            <xm:f>'INFORMACIÓN BASE 2025'!$C$2:$C$26</xm:f>
          </x14:formula1>
          <xm:sqref>G74:G86 G89:G93 G5:G66</xm:sqref>
        </x14:dataValidation>
        <x14:dataValidation type="list" allowBlank="1" showInputMessage="1" showErrorMessage="1" xr:uid="{B51B1F88-7CD8-4538-9AA5-F6643BB41787}">
          <x14:formula1>
            <xm:f>'INFORMACIÓN BASE 2025'!$B$2:$B$26</xm:f>
          </x14:formula1>
          <xm:sqref>E74:E86 E89:E93 E5:E66</xm:sqref>
        </x14:dataValidation>
        <x14:dataValidation type="list" allowBlank="1" showInputMessage="1" showErrorMessage="1" xr:uid="{FE53D762-4DFD-4031-A3D7-851D6F7E98E3}">
          <x14:formula1>
            <xm:f>'INFORMACIÓN BASE 2025'!$H$2:$H$15</xm:f>
          </x14:formula1>
          <xm:sqref>D74:D86 D89:D93 D5:D66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909C-9B9C-4054-BB1A-6C1A33294382}">
  <dimension ref="A1:R55"/>
  <sheetViews>
    <sheetView topLeftCell="B1" workbookViewId="0">
      <selection activeCell="B1" sqref="B1:Q1"/>
    </sheetView>
  </sheetViews>
  <sheetFormatPr baseColWidth="10" defaultColWidth="0" defaultRowHeight="15" x14ac:dyDescent="0.25"/>
  <cols>
    <col min="1" max="1" width="11.42578125" hidden="1" customWidth="1"/>
    <col min="2" max="2" width="22.5703125" customWidth="1"/>
    <col min="3" max="3" width="11.42578125" customWidth="1"/>
    <col min="4" max="4" width="21.85546875" customWidth="1"/>
    <col min="5" max="16" width="11.42578125" customWidth="1"/>
    <col min="17" max="17" width="14.85546875" customWidth="1"/>
    <col min="18" max="18" width="0" hidden="1" customWidth="1"/>
    <col min="19" max="16384" width="11.42578125" hidden="1"/>
  </cols>
  <sheetData>
    <row r="1" spans="1:18" ht="37.5" customHeight="1" x14ac:dyDescent="0.25">
      <c r="B1" s="94" t="s">
        <v>345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</row>
    <row r="2" spans="1:18" ht="26.25" x14ac:dyDescent="0.4">
      <c r="B2" s="92" t="s">
        <v>344</v>
      </c>
      <c r="C2" s="92"/>
      <c r="D2" s="92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t="s">
        <v>121</v>
      </c>
    </row>
    <row r="3" spans="1:18" x14ac:dyDescent="0.25">
      <c r="B3" s="30" t="s">
        <v>117</v>
      </c>
      <c r="C3" s="30"/>
      <c r="D3" s="30" t="s">
        <v>116</v>
      </c>
      <c r="E3" s="41">
        <v>45292</v>
      </c>
      <c r="F3" s="41">
        <v>45323</v>
      </c>
      <c r="G3" s="41">
        <v>45352</v>
      </c>
      <c r="H3" s="41">
        <v>45383</v>
      </c>
      <c r="I3" s="41">
        <v>45413</v>
      </c>
      <c r="J3" s="41">
        <v>45444</v>
      </c>
      <c r="K3" s="41">
        <v>45474</v>
      </c>
      <c r="L3" s="41">
        <v>45505</v>
      </c>
      <c r="M3" s="41">
        <v>45536</v>
      </c>
      <c r="N3" s="41">
        <v>45566</v>
      </c>
      <c r="O3" s="41">
        <v>45597</v>
      </c>
      <c r="P3" s="41">
        <v>45627</v>
      </c>
      <c r="Q3" s="1" t="s">
        <v>47</v>
      </c>
    </row>
    <row r="4" spans="1:18" s="46" customFormat="1" x14ac:dyDescent="0.25">
      <c r="A4" s="46">
        <v>3</v>
      </c>
      <c r="B4" s="47" t="s">
        <v>11</v>
      </c>
      <c r="C4" s="47" t="s">
        <v>10</v>
      </c>
      <c r="D4" s="47" t="s">
        <v>114</v>
      </c>
      <c r="E4" s="48"/>
      <c r="F4" s="48"/>
      <c r="G4" s="48">
        <v>53</v>
      </c>
      <c r="H4" s="48"/>
      <c r="I4" s="48"/>
      <c r="J4" s="48"/>
      <c r="K4" s="48"/>
      <c r="L4" s="48"/>
      <c r="M4" s="48">
        <v>225</v>
      </c>
      <c r="N4" s="48"/>
      <c r="O4" s="48"/>
      <c r="P4" s="48">
        <v>225</v>
      </c>
      <c r="Q4" s="49">
        <f>SUM(E4:P4)</f>
        <v>503</v>
      </c>
    </row>
    <row r="5" spans="1:18" s="46" customFormat="1" x14ac:dyDescent="0.25">
      <c r="A5" s="46">
        <v>1</v>
      </c>
      <c r="B5" s="47" t="s">
        <v>106</v>
      </c>
      <c r="C5" s="47" t="s">
        <v>20</v>
      </c>
      <c r="D5" s="47" t="s">
        <v>114</v>
      </c>
      <c r="E5" s="48">
        <f t="shared" ref="E5:P5" si="0">E11*1/20</f>
        <v>3.1</v>
      </c>
      <c r="F5" s="48">
        <f t="shared" si="0"/>
        <v>3.45</v>
      </c>
      <c r="G5" s="48">
        <f t="shared" si="0"/>
        <v>4.2</v>
      </c>
      <c r="H5" s="48">
        <f t="shared" si="0"/>
        <v>4.9000000000000004</v>
      </c>
      <c r="I5" s="48">
        <f t="shared" si="0"/>
        <v>3.35</v>
      </c>
      <c r="J5" s="48">
        <f t="shared" si="0"/>
        <v>2.4500000000000002</v>
      </c>
      <c r="K5" s="48">
        <f t="shared" si="0"/>
        <v>3.8</v>
      </c>
      <c r="L5" s="48">
        <f t="shared" si="0"/>
        <v>3.95</v>
      </c>
      <c r="M5" s="48">
        <f t="shared" si="0"/>
        <v>2.85</v>
      </c>
      <c r="N5" s="48">
        <f t="shared" si="0"/>
        <v>2.95</v>
      </c>
      <c r="O5" s="48">
        <f t="shared" si="0"/>
        <v>3.2</v>
      </c>
      <c r="P5" s="48">
        <f t="shared" si="0"/>
        <v>1.85</v>
      </c>
      <c r="Q5" s="49">
        <f>SUM(E5:P5)</f>
        <v>40.050000000000004</v>
      </c>
      <c r="R5" s="50"/>
    </row>
    <row r="6" spans="1:18" s="46" customFormat="1" x14ac:dyDescent="0.25">
      <c r="A6" s="46">
        <v>5</v>
      </c>
      <c r="B6" s="47" t="s">
        <v>107</v>
      </c>
      <c r="C6" s="47" t="s">
        <v>41</v>
      </c>
      <c r="D6" s="47" t="s">
        <v>114</v>
      </c>
      <c r="E6" s="48">
        <v>12</v>
      </c>
      <c r="F6" s="48">
        <v>5</v>
      </c>
      <c r="G6" s="48">
        <v>11</v>
      </c>
      <c r="H6" s="48">
        <v>12</v>
      </c>
      <c r="I6" s="48">
        <v>13</v>
      </c>
      <c r="J6" s="48">
        <v>5</v>
      </c>
      <c r="K6" s="48"/>
      <c r="L6" s="48">
        <v>4</v>
      </c>
      <c r="M6" s="48">
        <v>4</v>
      </c>
      <c r="N6" s="48">
        <v>16</v>
      </c>
      <c r="O6" s="48">
        <v>12</v>
      </c>
      <c r="P6" s="48">
        <v>7</v>
      </c>
      <c r="Q6" s="49">
        <f>SUM(E6:P6)</f>
        <v>101</v>
      </c>
    </row>
    <row r="7" spans="1:18" ht="15.75" customHeight="1" x14ac:dyDescent="0.25">
      <c r="A7">
        <v>2</v>
      </c>
      <c r="B7" s="42" t="s">
        <v>113</v>
      </c>
      <c r="C7" s="42" t="s">
        <v>29</v>
      </c>
      <c r="D7" s="42" t="s">
        <v>114</v>
      </c>
      <c r="E7" s="43">
        <v>324</v>
      </c>
      <c r="F7" s="43">
        <v>380</v>
      </c>
      <c r="G7" s="43">
        <v>262</v>
      </c>
      <c r="H7" s="43">
        <v>378</v>
      </c>
      <c r="I7" s="43">
        <v>343</v>
      </c>
      <c r="J7" s="43">
        <v>303</v>
      </c>
      <c r="K7" s="43">
        <v>275</v>
      </c>
      <c r="L7" s="43">
        <v>374</v>
      </c>
      <c r="M7" s="43">
        <v>292</v>
      </c>
      <c r="N7" s="43">
        <v>374</v>
      </c>
      <c r="O7" s="43">
        <v>354</v>
      </c>
      <c r="P7" s="43">
        <v>135</v>
      </c>
      <c r="Q7" s="44">
        <f t="shared" ref="Q7:Q9" si="1">SUM(E7:P7)</f>
        <v>3794</v>
      </c>
    </row>
    <row r="8" spans="1:18" s="46" customFormat="1" x14ac:dyDescent="0.25">
      <c r="A8" s="46">
        <v>4</v>
      </c>
      <c r="B8" s="47" t="s">
        <v>138</v>
      </c>
      <c r="C8" s="47" t="s">
        <v>118</v>
      </c>
      <c r="D8" s="47" t="s">
        <v>114</v>
      </c>
      <c r="E8" s="48">
        <v>5</v>
      </c>
      <c r="F8" s="48">
        <v>4</v>
      </c>
      <c r="G8" s="48">
        <v>4</v>
      </c>
      <c r="H8" s="48">
        <v>9</v>
      </c>
      <c r="I8" s="48">
        <v>7</v>
      </c>
      <c r="J8" s="48">
        <v>1</v>
      </c>
      <c r="K8" s="48">
        <v>2</v>
      </c>
      <c r="L8" s="48">
        <v>3</v>
      </c>
      <c r="M8" s="48">
        <v>2</v>
      </c>
      <c r="N8" s="48">
        <v>1</v>
      </c>
      <c r="O8" s="48">
        <v>1</v>
      </c>
      <c r="P8" s="48"/>
      <c r="Q8" s="49">
        <f t="shared" si="1"/>
        <v>39</v>
      </c>
    </row>
    <row r="9" spans="1:18" s="46" customFormat="1" x14ac:dyDescent="0.25">
      <c r="A9" s="46">
        <v>4</v>
      </c>
      <c r="B9" s="47" t="s">
        <v>139</v>
      </c>
      <c r="C9" s="47" t="s">
        <v>118</v>
      </c>
      <c r="D9" s="47" t="s">
        <v>114</v>
      </c>
      <c r="E9" s="48">
        <v>5</v>
      </c>
      <c r="F9" s="48">
        <v>4</v>
      </c>
      <c r="G9" s="48">
        <v>4</v>
      </c>
      <c r="H9" s="48">
        <v>9</v>
      </c>
      <c r="I9" s="48">
        <v>7</v>
      </c>
      <c r="J9" s="48">
        <v>1</v>
      </c>
      <c r="K9" s="48">
        <v>2</v>
      </c>
      <c r="L9" s="48">
        <v>3</v>
      </c>
      <c r="M9" s="48">
        <v>2</v>
      </c>
      <c r="N9" s="48">
        <v>1</v>
      </c>
      <c r="O9" s="48">
        <v>1</v>
      </c>
      <c r="P9" s="48"/>
      <c r="Q9" s="49">
        <f t="shared" si="1"/>
        <v>39</v>
      </c>
    </row>
    <row r="10" spans="1:18" s="52" customFormat="1" x14ac:dyDescent="0.25">
      <c r="B10" s="53" t="s">
        <v>109</v>
      </c>
      <c r="C10" s="53"/>
      <c r="D10" s="53" t="s">
        <v>115</v>
      </c>
      <c r="E10" s="54">
        <v>36</v>
      </c>
      <c r="F10" s="54">
        <v>21</v>
      </c>
      <c r="G10" s="54">
        <v>19</v>
      </c>
      <c r="H10" s="54">
        <v>40</v>
      </c>
      <c r="I10" s="54">
        <v>24</v>
      </c>
      <c r="J10" s="54">
        <v>19</v>
      </c>
      <c r="K10" s="54">
        <v>35</v>
      </c>
      <c r="L10" s="54">
        <v>29</v>
      </c>
      <c r="M10" s="54">
        <v>28</v>
      </c>
      <c r="N10" s="54">
        <v>45</v>
      </c>
      <c r="O10" s="54">
        <v>26</v>
      </c>
      <c r="P10" s="54">
        <v>25</v>
      </c>
      <c r="Q10" s="55">
        <f>SUM(E10:P10)</f>
        <v>347</v>
      </c>
    </row>
    <row r="11" spans="1:18" x14ac:dyDescent="0.25">
      <c r="A11">
        <v>1</v>
      </c>
      <c r="B11" s="42" t="s">
        <v>106</v>
      </c>
      <c r="C11" s="42" t="s">
        <v>20</v>
      </c>
      <c r="D11" s="42" t="s">
        <v>112</v>
      </c>
      <c r="E11" s="43">
        <v>62</v>
      </c>
      <c r="F11" s="43">
        <v>69</v>
      </c>
      <c r="G11" s="43">
        <v>84</v>
      </c>
      <c r="H11" s="43">
        <v>98</v>
      </c>
      <c r="I11" s="43">
        <v>67</v>
      </c>
      <c r="J11" s="43">
        <v>49</v>
      </c>
      <c r="K11" s="43">
        <v>76</v>
      </c>
      <c r="L11" s="43">
        <v>79</v>
      </c>
      <c r="M11" s="43">
        <v>57</v>
      </c>
      <c r="N11" s="43">
        <v>59</v>
      </c>
      <c r="O11" s="43">
        <v>64</v>
      </c>
      <c r="P11" s="43">
        <v>37</v>
      </c>
      <c r="Q11" s="44">
        <f>SUM(E11:P11)</f>
        <v>801</v>
      </c>
    </row>
    <row r="12" spans="1:18" x14ac:dyDescent="0.25">
      <c r="D12" s="45" t="s">
        <v>123</v>
      </c>
      <c r="E12" s="7">
        <f>SUM(E4:E8)</f>
        <v>344.1</v>
      </c>
      <c r="F12" s="7">
        <f t="shared" ref="F12:Q12" si="2">SUM(F4:F8)</f>
        <v>392.45</v>
      </c>
      <c r="G12" s="7">
        <f t="shared" si="2"/>
        <v>334.2</v>
      </c>
      <c r="H12" s="7">
        <f t="shared" si="2"/>
        <v>403.9</v>
      </c>
      <c r="I12" s="7">
        <f t="shared" si="2"/>
        <v>366.35</v>
      </c>
      <c r="J12" s="7">
        <f t="shared" si="2"/>
        <v>311.45</v>
      </c>
      <c r="K12" s="7">
        <f t="shared" si="2"/>
        <v>280.8</v>
      </c>
      <c r="L12" s="7">
        <f t="shared" si="2"/>
        <v>384.95</v>
      </c>
      <c r="M12" s="7">
        <f t="shared" si="2"/>
        <v>525.85</v>
      </c>
      <c r="N12" s="7">
        <f t="shared" si="2"/>
        <v>393.95</v>
      </c>
      <c r="O12" s="7">
        <f t="shared" si="2"/>
        <v>370.2</v>
      </c>
      <c r="P12" s="7">
        <f>SUM(P4:P8)</f>
        <v>368.85</v>
      </c>
      <c r="Q12">
        <f t="shared" si="2"/>
        <v>4477.05</v>
      </c>
    </row>
    <row r="14" spans="1:18" hidden="1" x14ac:dyDescent="0.25"/>
    <row r="15" spans="1:18" hidden="1" x14ac:dyDescent="0.25">
      <c r="E15">
        <v>344.1</v>
      </c>
      <c r="F15">
        <v>392.45</v>
      </c>
      <c r="G15">
        <v>334.2</v>
      </c>
      <c r="H15">
        <v>403.9</v>
      </c>
      <c r="I15">
        <v>366.35</v>
      </c>
      <c r="J15">
        <v>311.45</v>
      </c>
      <c r="K15">
        <v>280.8</v>
      </c>
      <c r="L15">
        <v>384.95</v>
      </c>
      <c r="M15">
        <v>525.85</v>
      </c>
      <c r="N15">
        <v>393.95</v>
      </c>
      <c r="O15">
        <v>370.2</v>
      </c>
      <c r="P15">
        <v>368.85</v>
      </c>
      <c r="R15">
        <f>683+39</f>
        <v>722</v>
      </c>
    </row>
    <row r="16" spans="1:18" hidden="1" x14ac:dyDescent="0.25"/>
    <row r="17" spans="2:17" hidden="1" x14ac:dyDescent="0.25">
      <c r="E17">
        <f>SUM(E4+E5+E6+E8+E9)</f>
        <v>25.1</v>
      </c>
      <c r="F17">
        <f t="shared" ref="F17:Q17" si="3">SUM(F4+F5+F6+F8+F9)</f>
        <v>16.45</v>
      </c>
      <c r="G17">
        <f t="shared" si="3"/>
        <v>76.2</v>
      </c>
      <c r="H17">
        <f t="shared" si="3"/>
        <v>34.9</v>
      </c>
      <c r="I17">
        <f t="shared" si="3"/>
        <v>30.35</v>
      </c>
      <c r="J17">
        <f t="shared" si="3"/>
        <v>9.4499999999999993</v>
      </c>
      <c r="K17">
        <f t="shared" si="3"/>
        <v>7.8</v>
      </c>
      <c r="L17">
        <f t="shared" si="3"/>
        <v>13.95</v>
      </c>
      <c r="M17">
        <f t="shared" si="3"/>
        <v>235.85</v>
      </c>
      <c r="N17">
        <f t="shared" si="3"/>
        <v>20.95</v>
      </c>
      <c r="O17">
        <f t="shared" si="3"/>
        <v>17.2</v>
      </c>
      <c r="P17">
        <f t="shared" si="3"/>
        <v>233.85</v>
      </c>
      <c r="Q17">
        <f t="shared" si="3"/>
        <v>722.05</v>
      </c>
    </row>
    <row r="18" spans="2:17" hidden="1" x14ac:dyDescent="0.25"/>
    <row r="19" spans="2:17" hidden="1" x14ac:dyDescent="0.25"/>
    <row r="20" spans="2:17" hidden="1" x14ac:dyDescent="0.25">
      <c r="E20" t="s">
        <v>140</v>
      </c>
      <c r="F20" t="s">
        <v>141</v>
      </c>
      <c r="G20" t="s">
        <v>142</v>
      </c>
      <c r="H20" t="s">
        <v>143</v>
      </c>
      <c r="I20" t="s">
        <v>144</v>
      </c>
      <c r="J20" t="s">
        <v>145</v>
      </c>
      <c r="K20" t="s">
        <v>146</v>
      </c>
      <c r="L20" t="s">
        <v>147</v>
      </c>
      <c r="M20" t="s">
        <v>148</v>
      </c>
      <c r="N20" t="s">
        <v>149</v>
      </c>
      <c r="O20" t="s">
        <v>150</v>
      </c>
      <c r="P20" t="s">
        <v>151</v>
      </c>
    </row>
    <row r="21" spans="2:17" hidden="1" x14ac:dyDescent="0.25"/>
    <row r="22" spans="2:17" hidden="1" x14ac:dyDescent="0.25">
      <c r="E22" t="s">
        <v>140</v>
      </c>
      <c r="F22" t="s">
        <v>141</v>
      </c>
      <c r="G22" t="s">
        <v>142</v>
      </c>
      <c r="H22" t="s">
        <v>143</v>
      </c>
      <c r="I22" t="s">
        <v>144</v>
      </c>
      <c r="J22" t="s">
        <v>145</v>
      </c>
      <c r="K22" t="s">
        <v>146</v>
      </c>
      <c r="L22" t="s">
        <v>147</v>
      </c>
      <c r="M22" t="s">
        <v>148</v>
      </c>
      <c r="N22" t="s">
        <v>149</v>
      </c>
      <c r="O22" t="s">
        <v>150</v>
      </c>
      <c r="P22" t="s">
        <v>151</v>
      </c>
    </row>
    <row r="23" spans="2:17" hidden="1" x14ac:dyDescent="0.25"/>
    <row r="24" spans="2:17" hidden="1" x14ac:dyDescent="0.25"/>
    <row r="25" spans="2:17" hidden="1" x14ac:dyDescent="0.25"/>
    <row r="26" spans="2:17" hidden="1" x14ac:dyDescent="0.25"/>
    <row r="27" spans="2:17" hidden="1" x14ac:dyDescent="0.25">
      <c r="B27" s="52" t="s">
        <v>11</v>
      </c>
      <c r="C27" s="52" t="s">
        <v>10</v>
      </c>
      <c r="D27" s="52" t="s">
        <v>114</v>
      </c>
      <c r="E27" s="52"/>
      <c r="F27" s="52"/>
      <c r="G27" s="52">
        <v>53</v>
      </c>
      <c r="H27" s="52"/>
      <c r="I27" s="52"/>
      <c r="J27" s="52"/>
      <c r="K27" s="52"/>
      <c r="L27" s="52"/>
      <c r="M27" s="52">
        <v>225</v>
      </c>
      <c r="N27" s="52"/>
      <c r="O27" s="52"/>
      <c r="P27" s="52">
        <v>225</v>
      </c>
      <c r="Q27" s="52">
        <v>503</v>
      </c>
    </row>
    <row r="28" spans="2:17" hidden="1" x14ac:dyDescent="0.25">
      <c r="B28" s="52" t="s">
        <v>106</v>
      </c>
      <c r="C28" s="52" t="s">
        <v>20</v>
      </c>
      <c r="D28" s="52" t="s">
        <v>114</v>
      </c>
      <c r="E28" s="58">
        <v>3.1</v>
      </c>
      <c r="F28" s="58">
        <v>3.45</v>
      </c>
      <c r="G28" s="58">
        <v>4.2</v>
      </c>
      <c r="H28" s="58">
        <v>4.9000000000000004</v>
      </c>
      <c r="I28" s="58">
        <v>3.35</v>
      </c>
      <c r="J28" s="58">
        <v>2.4500000000000002</v>
      </c>
      <c r="K28" s="58">
        <v>3.8</v>
      </c>
      <c r="L28" s="58">
        <v>3.95</v>
      </c>
      <c r="M28" s="58">
        <v>2.85</v>
      </c>
      <c r="N28" s="58">
        <v>2.95</v>
      </c>
      <c r="O28" s="58">
        <v>3.2</v>
      </c>
      <c r="P28" s="58">
        <v>1.85</v>
      </c>
      <c r="Q28" s="58">
        <v>40.050000000000004</v>
      </c>
    </row>
    <row r="29" spans="2:17" hidden="1" x14ac:dyDescent="0.25">
      <c r="B29" s="52" t="s">
        <v>107</v>
      </c>
      <c r="C29" s="52" t="s">
        <v>41</v>
      </c>
      <c r="D29" s="52" t="s">
        <v>114</v>
      </c>
      <c r="E29" s="52">
        <v>12</v>
      </c>
      <c r="F29" s="52">
        <v>5</v>
      </c>
      <c r="G29" s="52">
        <v>11</v>
      </c>
      <c r="H29" s="52">
        <v>12</v>
      </c>
      <c r="I29" s="52">
        <v>13</v>
      </c>
      <c r="J29" s="52">
        <v>5</v>
      </c>
      <c r="K29" s="52"/>
      <c r="L29" s="52">
        <v>4</v>
      </c>
      <c r="M29" s="52">
        <v>4</v>
      </c>
      <c r="N29" s="52">
        <v>16</v>
      </c>
      <c r="O29" s="52">
        <v>12</v>
      </c>
      <c r="P29" s="52">
        <v>7</v>
      </c>
      <c r="Q29" s="52">
        <v>101</v>
      </c>
    </row>
    <row r="30" spans="2:17" hidden="1" x14ac:dyDescent="0.25">
      <c r="B30" s="52" t="s">
        <v>138</v>
      </c>
      <c r="C30" s="52" t="s">
        <v>118</v>
      </c>
      <c r="D30" s="52" t="s">
        <v>114</v>
      </c>
      <c r="E30" s="52">
        <v>5</v>
      </c>
      <c r="F30" s="52">
        <v>4</v>
      </c>
      <c r="G30" s="52">
        <v>4</v>
      </c>
      <c r="H30" s="52">
        <v>9</v>
      </c>
      <c r="I30" s="52">
        <v>7</v>
      </c>
      <c r="J30" s="52">
        <v>1</v>
      </c>
      <c r="K30" s="52">
        <v>2</v>
      </c>
      <c r="L30" s="52">
        <v>3</v>
      </c>
      <c r="M30" s="52">
        <v>2</v>
      </c>
      <c r="N30" s="52">
        <v>1</v>
      </c>
      <c r="O30" s="52">
        <v>1</v>
      </c>
      <c r="P30" s="52"/>
      <c r="Q30" s="52">
        <v>39</v>
      </c>
    </row>
    <row r="31" spans="2:17" hidden="1" x14ac:dyDescent="0.25">
      <c r="B31" s="52" t="s">
        <v>139</v>
      </c>
      <c r="C31" s="52" t="s">
        <v>118</v>
      </c>
      <c r="D31" s="52" t="s">
        <v>114</v>
      </c>
      <c r="E31" s="52">
        <v>5</v>
      </c>
      <c r="F31" s="52">
        <v>4</v>
      </c>
      <c r="G31" s="52">
        <v>4</v>
      </c>
      <c r="H31" s="52">
        <v>9</v>
      </c>
      <c r="I31" s="52">
        <v>7</v>
      </c>
      <c r="J31" s="52">
        <v>1</v>
      </c>
      <c r="K31" s="52">
        <v>2</v>
      </c>
      <c r="L31" s="52">
        <v>3</v>
      </c>
      <c r="M31" s="52">
        <v>2</v>
      </c>
      <c r="N31" s="52">
        <v>1</v>
      </c>
      <c r="O31" s="52">
        <v>1</v>
      </c>
      <c r="P31" s="52"/>
      <c r="Q31" s="52">
        <v>39</v>
      </c>
    </row>
    <row r="32" spans="2:17" hidden="1" x14ac:dyDescent="0.25">
      <c r="Q32" s="56">
        <f>SUM(Q27:Q31)</f>
        <v>722.05</v>
      </c>
    </row>
    <row r="33" spans="2:17" hidden="1" x14ac:dyDescent="0.25">
      <c r="E33" s="57">
        <f>SUM(E27:E31)</f>
        <v>25.1</v>
      </c>
      <c r="F33" s="57">
        <f t="shared" ref="F33:P33" si="4">SUM(F27:F31)</f>
        <v>16.45</v>
      </c>
      <c r="G33" s="57">
        <f t="shared" si="4"/>
        <v>76.2</v>
      </c>
      <c r="H33" s="57">
        <f t="shared" si="4"/>
        <v>34.9</v>
      </c>
      <c r="I33" s="57">
        <f t="shared" si="4"/>
        <v>30.35</v>
      </c>
      <c r="J33" s="57">
        <f t="shared" si="4"/>
        <v>9.4499999999999993</v>
      </c>
      <c r="K33" s="57">
        <f t="shared" si="4"/>
        <v>7.8</v>
      </c>
      <c r="L33" s="57">
        <f t="shared" si="4"/>
        <v>13.95</v>
      </c>
      <c r="M33" s="57">
        <f t="shared" si="4"/>
        <v>235.85</v>
      </c>
      <c r="N33" s="57">
        <f t="shared" si="4"/>
        <v>20.95</v>
      </c>
      <c r="O33" s="57">
        <f t="shared" si="4"/>
        <v>17.2</v>
      </c>
      <c r="P33" s="57">
        <f t="shared" si="4"/>
        <v>233.85</v>
      </c>
    </row>
    <row r="34" spans="2:17" hidden="1" x14ac:dyDescent="0.25"/>
    <row r="35" spans="2:17" hidden="1" x14ac:dyDescent="0.25">
      <c r="E35" s="56">
        <v>25.1</v>
      </c>
      <c r="F35" s="56">
        <v>16.45</v>
      </c>
      <c r="G35" s="56">
        <v>76.2</v>
      </c>
      <c r="H35" s="56">
        <v>34.9</v>
      </c>
      <c r="I35" s="56">
        <v>30.35</v>
      </c>
      <c r="J35" s="56">
        <v>9.4499999999999993</v>
      </c>
      <c r="K35" s="56">
        <v>7.8</v>
      </c>
      <c r="L35" s="56">
        <v>13.95</v>
      </c>
      <c r="M35" s="56">
        <v>235.85</v>
      </c>
      <c r="N35" s="56">
        <v>20.95</v>
      </c>
      <c r="O35" s="56">
        <v>17.2</v>
      </c>
      <c r="P35" s="56">
        <v>233.85</v>
      </c>
    </row>
    <row r="36" spans="2:17" hidden="1" x14ac:dyDescent="0.25"/>
    <row r="37" spans="2:17" hidden="1" x14ac:dyDescent="0.25">
      <c r="E37">
        <v>25</v>
      </c>
      <c r="F37">
        <v>16</v>
      </c>
      <c r="G37">
        <v>76</v>
      </c>
      <c r="H37">
        <v>35</v>
      </c>
      <c r="I37">
        <v>30</v>
      </c>
      <c r="J37">
        <v>9</v>
      </c>
      <c r="K37">
        <v>8</v>
      </c>
      <c r="L37">
        <v>14</v>
      </c>
      <c r="M37">
        <v>236</v>
      </c>
      <c r="N37">
        <v>21</v>
      </c>
      <c r="O37">
        <v>17</v>
      </c>
      <c r="P37">
        <v>234</v>
      </c>
    </row>
    <row r="38" spans="2:17" hidden="1" x14ac:dyDescent="0.25"/>
    <row r="39" spans="2:17" hidden="1" x14ac:dyDescent="0.25"/>
    <row r="40" spans="2:17" hidden="1" x14ac:dyDescent="0.25"/>
    <row r="41" spans="2:17" hidden="1" x14ac:dyDescent="0.25"/>
    <row r="42" spans="2:17" hidden="1" x14ac:dyDescent="0.25"/>
    <row r="43" spans="2:17" hidden="1" x14ac:dyDescent="0.25"/>
    <row r="45" spans="2:17" ht="26.25" x14ac:dyDescent="0.4">
      <c r="B45" s="92" t="s">
        <v>54</v>
      </c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</row>
    <row r="46" spans="2:17" x14ac:dyDescent="0.25">
      <c r="B46" s="30" t="s">
        <v>117</v>
      </c>
      <c r="C46" s="30"/>
      <c r="D46" s="30" t="s">
        <v>116</v>
      </c>
      <c r="E46" s="41">
        <v>45658</v>
      </c>
      <c r="F46" s="41">
        <v>45689</v>
      </c>
      <c r="G46" s="41">
        <v>45717</v>
      </c>
      <c r="H46" s="41">
        <v>45748</v>
      </c>
      <c r="I46" s="41">
        <v>45778</v>
      </c>
      <c r="J46" s="41">
        <v>45809</v>
      </c>
      <c r="K46" s="41">
        <v>45839</v>
      </c>
      <c r="L46" s="41">
        <v>45870</v>
      </c>
      <c r="M46" s="41">
        <v>45901</v>
      </c>
      <c r="N46" s="41">
        <v>45931</v>
      </c>
      <c r="O46" s="41">
        <v>45962</v>
      </c>
      <c r="P46" s="41">
        <v>45992</v>
      </c>
      <c r="Q46" s="1" t="s">
        <v>47</v>
      </c>
    </row>
    <row r="47" spans="2:17" x14ac:dyDescent="0.25">
      <c r="B47" s="47" t="s">
        <v>11</v>
      </c>
      <c r="C47" s="47" t="s">
        <v>10</v>
      </c>
      <c r="D47" s="47" t="s">
        <v>114</v>
      </c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9">
        <f>SUM(E47:P47)</f>
        <v>0</v>
      </c>
    </row>
    <row r="48" spans="2:17" x14ac:dyDescent="0.25">
      <c r="B48" s="47" t="s">
        <v>106</v>
      </c>
      <c r="C48" s="47" t="s">
        <v>20</v>
      </c>
      <c r="D48" s="47" t="s">
        <v>114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9">
        <f>SUM(E48:P48)</f>
        <v>0</v>
      </c>
    </row>
    <row r="49" spans="2:17" x14ac:dyDescent="0.25">
      <c r="B49" s="47" t="s">
        <v>107</v>
      </c>
      <c r="C49" s="47" t="s">
        <v>41</v>
      </c>
      <c r="D49" s="47" t="s">
        <v>114</v>
      </c>
      <c r="E49" s="48">
        <v>74</v>
      </c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9">
        <f>SUM(E49:P49)</f>
        <v>74</v>
      </c>
    </row>
    <row r="50" spans="2:17" x14ac:dyDescent="0.25">
      <c r="B50" s="42" t="s">
        <v>113</v>
      </c>
      <c r="C50" s="42" t="s">
        <v>29</v>
      </c>
      <c r="D50" s="42" t="s">
        <v>114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4">
        <f t="shared" ref="Q50:Q52" si="5">SUM(E50:P50)</f>
        <v>0</v>
      </c>
    </row>
    <row r="51" spans="2:17" x14ac:dyDescent="0.25">
      <c r="B51" s="47" t="s">
        <v>138</v>
      </c>
      <c r="C51" s="47" t="s">
        <v>118</v>
      </c>
      <c r="D51" s="47" t="s">
        <v>114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9">
        <f t="shared" si="5"/>
        <v>0</v>
      </c>
    </row>
    <row r="52" spans="2:17" x14ac:dyDescent="0.25">
      <c r="B52" s="47" t="s">
        <v>139</v>
      </c>
      <c r="C52" s="47" t="s">
        <v>118</v>
      </c>
      <c r="D52" s="47" t="s">
        <v>114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9">
        <f t="shared" si="5"/>
        <v>0</v>
      </c>
    </row>
    <row r="53" spans="2:17" x14ac:dyDescent="0.25">
      <c r="B53" s="53" t="s">
        <v>109</v>
      </c>
      <c r="C53" s="53"/>
      <c r="D53" s="53" t="s">
        <v>115</v>
      </c>
      <c r="E53" s="54"/>
      <c r="F53" s="54">
        <v>21</v>
      </c>
      <c r="G53" s="54">
        <v>23</v>
      </c>
      <c r="H53" s="54"/>
      <c r="I53" s="54"/>
      <c r="J53" s="54"/>
      <c r="K53" s="54"/>
      <c r="L53" s="54"/>
      <c r="M53" s="54"/>
      <c r="N53" s="54"/>
      <c r="O53" s="54"/>
      <c r="P53" s="54"/>
      <c r="Q53" s="55">
        <f>SUM(E53:P53)</f>
        <v>44</v>
      </c>
    </row>
    <row r="54" spans="2:17" x14ac:dyDescent="0.25">
      <c r="B54" s="42" t="s">
        <v>106</v>
      </c>
      <c r="C54" s="42" t="s">
        <v>20</v>
      </c>
      <c r="D54" s="42" t="s">
        <v>112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4">
        <f>SUM(E54:P54)</f>
        <v>0</v>
      </c>
    </row>
    <row r="55" spans="2:17" x14ac:dyDescent="0.25">
      <c r="D55" s="45" t="s">
        <v>123</v>
      </c>
      <c r="E55" s="7">
        <f>SUM(E47:E51)</f>
        <v>74</v>
      </c>
      <c r="F55" s="7">
        <f t="shared" ref="F55:O55" si="6">SUM(F47:F51)</f>
        <v>0</v>
      </c>
      <c r="G55" s="7">
        <f t="shared" si="6"/>
        <v>0</v>
      </c>
      <c r="H55" s="7">
        <f t="shared" si="6"/>
        <v>0</v>
      </c>
      <c r="I55" s="7">
        <f t="shared" si="6"/>
        <v>0</v>
      </c>
      <c r="J55" s="7">
        <f t="shared" si="6"/>
        <v>0</v>
      </c>
      <c r="K55" s="7">
        <f t="shared" si="6"/>
        <v>0</v>
      </c>
      <c r="L55" s="7">
        <f t="shared" si="6"/>
        <v>0</v>
      </c>
      <c r="M55" s="7">
        <f t="shared" si="6"/>
        <v>0</v>
      </c>
      <c r="N55" s="7">
        <f t="shared" si="6"/>
        <v>0</v>
      </c>
      <c r="O55" s="7">
        <f t="shared" si="6"/>
        <v>0</v>
      </c>
      <c r="P55" s="7">
        <f>SUM(P47:P51)</f>
        <v>0</v>
      </c>
      <c r="Q55">
        <f t="shared" ref="Q55" si="7">SUM(Q47:Q51)</f>
        <v>74</v>
      </c>
    </row>
  </sheetData>
  <mergeCells count="3">
    <mergeCell ref="B2:Q2"/>
    <mergeCell ref="B45:Q45"/>
    <mergeCell ref="B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5707-00C0-4840-8E77-B154D5011341}">
  <dimension ref="A1:E9"/>
  <sheetViews>
    <sheetView workbookViewId="0">
      <selection activeCell="A21" sqref="A21"/>
    </sheetView>
  </sheetViews>
  <sheetFormatPr baseColWidth="10" defaultRowHeight="15" x14ac:dyDescent="0.25"/>
  <cols>
    <col min="1" max="1" width="118" bestFit="1" customWidth="1"/>
    <col min="2" max="2" width="22.85546875" bestFit="1" customWidth="1"/>
    <col min="3" max="3" width="4" bestFit="1" customWidth="1"/>
    <col min="4" max="4" width="4.42578125" bestFit="1" customWidth="1"/>
    <col min="5" max="5" width="12.5703125" bestFit="1" customWidth="1"/>
    <col min="6" max="6" width="3.85546875" bestFit="1" customWidth="1"/>
    <col min="7" max="7" width="3.28515625" bestFit="1" customWidth="1"/>
    <col min="8" max="8" width="4.140625" bestFit="1" customWidth="1"/>
    <col min="9" max="9" width="4.28515625" bestFit="1" customWidth="1"/>
    <col min="10" max="10" width="3.85546875" bestFit="1" customWidth="1"/>
    <col min="11" max="11" width="12.5703125" bestFit="1" customWidth="1"/>
  </cols>
  <sheetData>
    <row r="1" spans="1:5" x14ac:dyDescent="0.25">
      <c r="A1" s="69" t="s">
        <v>124</v>
      </c>
      <c r="B1" t="s">
        <v>254</v>
      </c>
    </row>
    <row r="3" spans="1:5" x14ac:dyDescent="0.25">
      <c r="A3" s="69" t="s">
        <v>343</v>
      </c>
      <c r="B3" s="69" t="s">
        <v>183</v>
      </c>
    </row>
    <row r="4" spans="1:5" x14ac:dyDescent="0.25">
      <c r="A4" s="69" t="s">
        <v>181</v>
      </c>
      <c r="B4" t="s">
        <v>340</v>
      </c>
      <c r="C4" t="s">
        <v>341</v>
      </c>
      <c r="D4" t="s">
        <v>342</v>
      </c>
      <c r="E4" t="s">
        <v>182</v>
      </c>
    </row>
    <row r="5" spans="1:5" x14ac:dyDescent="0.25">
      <c r="A5" s="61" t="s">
        <v>241</v>
      </c>
      <c r="B5">
        <v>74</v>
      </c>
      <c r="E5">
        <v>74</v>
      </c>
    </row>
    <row r="6" spans="1:5" x14ac:dyDescent="0.25">
      <c r="A6" s="70" t="s">
        <v>299</v>
      </c>
      <c r="B6">
        <v>74</v>
      </c>
      <c r="E6">
        <v>74</v>
      </c>
    </row>
    <row r="7" spans="1:5" x14ac:dyDescent="0.25">
      <c r="A7" s="61" t="s">
        <v>276</v>
      </c>
      <c r="C7">
        <v>21</v>
      </c>
      <c r="D7">
        <v>23</v>
      </c>
      <c r="E7">
        <v>44</v>
      </c>
    </row>
    <row r="8" spans="1:5" x14ac:dyDescent="0.25">
      <c r="A8" s="70" t="s">
        <v>263</v>
      </c>
      <c r="C8">
        <v>21</v>
      </c>
      <c r="D8">
        <v>23</v>
      </c>
      <c r="E8">
        <v>44</v>
      </c>
    </row>
    <row r="9" spans="1:5" x14ac:dyDescent="0.25">
      <c r="A9" s="61" t="s">
        <v>182</v>
      </c>
      <c r="B9">
        <v>74</v>
      </c>
      <c r="C9">
        <v>21</v>
      </c>
      <c r="D9">
        <v>23</v>
      </c>
      <c r="E9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96B3-F746-4511-A668-682B2CDF18B7}">
  <dimension ref="A1:M93"/>
  <sheetViews>
    <sheetView zoomScale="85" zoomScaleNormal="85" workbookViewId="0">
      <pane ySplit="1" topLeftCell="A87" activePane="bottomLeft" state="frozen"/>
      <selection pane="bottomLeft" activeCell="C89" sqref="C89"/>
    </sheetView>
  </sheetViews>
  <sheetFormatPr baseColWidth="10" defaultRowHeight="15" x14ac:dyDescent="0.25"/>
  <cols>
    <col min="1" max="1" width="17.140625" style="11" customWidth="1"/>
    <col min="2" max="2" width="32.7109375" style="11" customWidth="1"/>
    <col min="3" max="3" width="27.7109375" style="11" customWidth="1"/>
    <col min="4" max="4" width="22" style="11" customWidth="1"/>
    <col min="5" max="5" width="25.7109375" style="11" customWidth="1"/>
    <col min="6" max="6" width="36.5703125" style="11" customWidth="1"/>
    <col min="7" max="7" width="23.7109375" style="11" customWidth="1"/>
    <col min="8" max="8" width="21.28515625" customWidth="1"/>
    <col min="9" max="9" width="20.28515625" customWidth="1"/>
    <col min="10" max="10" width="16.42578125" customWidth="1"/>
    <col min="11" max="11" width="21.5703125" customWidth="1"/>
    <col min="12" max="12" width="24.5703125" customWidth="1"/>
    <col min="13" max="13" width="23.85546875" customWidth="1"/>
  </cols>
  <sheetData>
    <row r="1" spans="1:13" ht="157.9" customHeight="1" x14ac:dyDescent="0.25">
      <c r="A1" s="82" t="s">
        <v>328</v>
      </c>
      <c r="B1" s="82" t="s">
        <v>193</v>
      </c>
      <c r="C1" s="82" t="s">
        <v>124</v>
      </c>
      <c r="D1" s="82" t="s">
        <v>125</v>
      </c>
      <c r="E1" s="82" t="s">
        <v>126</v>
      </c>
      <c r="F1" s="82" t="s">
        <v>127</v>
      </c>
      <c r="G1" s="82" t="s">
        <v>128</v>
      </c>
      <c r="H1" s="82" t="s">
        <v>129</v>
      </c>
      <c r="I1" s="82" t="s">
        <v>131</v>
      </c>
      <c r="J1" s="82" t="s">
        <v>130</v>
      </c>
      <c r="K1" s="82" t="s">
        <v>136</v>
      </c>
      <c r="L1" s="82" t="s">
        <v>137</v>
      </c>
      <c r="M1" s="73"/>
    </row>
    <row r="2" spans="1:13" ht="157.9" customHeight="1" x14ac:dyDescent="0.25">
      <c r="A2" s="91">
        <v>45659</v>
      </c>
      <c r="B2" s="14" t="s">
        <v>256</v>
      </c>
      <c r="C2" s="14" t="s">
        <v>257</v>
      </c>
      <c r="D2" s="83" t="s">
        <v>106</v>
      </c>
      <c r="E2" s="83" t="s">
        <v>306</v>
      </c>
      <c r="F2" s="14" t="s">
        <v>258</v>
      </c>
      <c r="G2" s="83" t="s">
        <v>91</v>
      </c>
      <c r="H2" s="14" t="s">
        <v>213</v>
      </c>
      <c r="I2" s="14" t="s">
        <v>214</v>
      </c>
      <c r="J2" s="14" t="s">
        <v>260</v>
      </c>
      <c r="K2" s="14" t="s">
        <v>259</v>
      </c>
      <c r="L2" s="14">
        <v>235</v>
      </c>
      <c r="M2" s="73"/>
    </row>
    <row r="3" spans="1:13" ht="157.9" customHeight="1" x14ac:dyDescent="0.25">
      <c r="A3" s="91">
        <v>45659</v>
      </c>
      <c r="B3" s="14" t="s">
        <v>256</v>
      </c>
      <c r="C3" s="14" t="s">
        <v>257</v>
      </c>
      <c r="D3" s="83" t="s">
        <v>246</v>
      </c>
      <c r="E3" s="83" t="s">
        <v>303</v>
      </c>
      <c r="F3" s="14" t="s">
        <v>268</v>
      </c>
      <c r="G3" s="83" t="s">
        <v>323</v>
      </c>
      <c r="H3" s="14" t="s">
        <v>250</v>
      </c>
      <c r="I3" s="14" t="s">
        <v>209</v>
      </c>
      <c r="J3" s="14" t="s">
        <v>194</v>
      </c>
      <c r="K3" s="14" t="s">
        <v>251</v>
      </c>
      <c r="L3" s="14">
        <v>20</v>
      </c>
      <c r="M3" s="73"/>
    </row>
    <row r="4" spans="1:13" ht="157.9" customHeight="1" x14ac:dyDescent="0.25">
      <c r="A4" s="91">
        <v>45666</v>
      </c>
      <c r="B4" s="14" t="s">
        <v>256</v>
      </c>
      <c r="C4" s="14" t="s">
        <v>257</v>
      </c>
      <c r="D4" s="83" t="s">
        <v>106</v>
      </c>
      <c r="E4" s="83" t="s">
        <v>306</v>
      </c>
      <c r="F4" s="14" t="s">
        <v>258</v>
      </c>
      <c r="G4" s="83" t="s">
        <v>91</v>
      </c>
      <c r="H4" s="14" t="s">
        <v>213</v>
      </c>
      <c r="I4" s="14" t="s">
        <v>214</v>
      </c>
      <c r="J4" s="14" t="s">
        <v>260</v>
      </c>
      <c r="K4" s="14" t="s">
        <v>259</v>
      </c>
      <c r="L4" s="14">
        <v>55</v>
      </c>
    </row>
    <row r="5" spans="1:13" ht="53.45" customHeight="1" x14ac:dyDescent="0.25">
      <c r="A5" s="91">
        <v>45666</v>
      </c>
      <c r="B5" s="14" t="s">
        <v>256</v>
      </c>
      <c r="C5" s="14" t="s">
        <v>257</v>
      </c>
      <c r="D5" s="83" t="s">
        <v>246</v>
      </c>
      <c r="E5" s="83" t="s">
        <v>303</v>
      </c>
      <c r="F5" s="14" t="s">
        <v>268</v>
      </c>
      <c r="G5" s="83" t="s">
        <v>323</v>
      </c>
      <c r="H5" s="14" t="s">
        <v>250</v>
      </c>
      <c r="I5" s="14" t="s">
        <v>209</v>
      </c>
      <c r="J5" s="14" t="s">
        <v>194</v>
      </c>
      <c r="K5" s="14" t="s">
        <v>251</v>
      </c>
      <c r="L5" s="14">
        <v>48</v>
      </c>
      <c r="M5" s="89"/>
    </row>
    <row r="6" spans="1:13" ht="60" x14ac:dyDescent="0.25">
      <c r="A6" s="91">
        <v>45673</v>
      </c>
      <c r="B6" s="14" t="s">
        <v>256</v>
      </c>
      <c r="C6" s="14" t="s">
        <v>257</v>
      </c>
      <c r="D6" s="83" t="s">
        <v>106</v>
      </c>
      <c r="E6" s="83" t="s">
        <v>306</v>
      </c>
      <c r="F6" s="14" t="s">
        <v>258</v>
      </c>
      <c r="G6" s="83" t="s">
        <v>91</v>
      </c>
      <c r="H6" s="14" t="s">
        <v>213</v>
      </c>
      <c r="I6" s="14" t="s">
        <v>214</v>
      </c>
      <c r="J6" s="14" t="s">
        <v>260</v>
      </c>
      <c r="K6" s="14" t="s">
        <v>259</v>
      </c>
      <c r="L6" s="14">
        <v>198</v>
      </c>
      <c r="M6" s="90"/>
    </row>
    <row r="7" spans="1:13" ht="60" x14ac:dyDescent="0.25">
      <c r="A7" s="91">
        <v>45673</v>
      </c>
      <c r="B7" s="14" t="s">
        <v>256</v>
      </c>
      <c r="C7" s="14" t="s">
        <v>257</v>
      </c>
      <c r="D7" s="83" t="s">
        <v>246</v>
      </c>
      <c r="E7" s="83" t="s">
        <v>303</v>
      </c>
      <c r="F7" s="14" t="s">
        <v>268</v>
      </c>
      <c r="G7" s="83" t="s">
        <v>323</v>
      </c>
      <c r="H7" s="14" t="s">
        <v>250</v>
      </c>
      <c r="I7" s="14" t="s">
        <v>209</v>
      </c>
      <c r="J7" s="14" t="s">
        <v>194</v>
      </c>
      <c r="K7" s="14" t="s">
        <v>251</v>
      </c>
      <c r="L7" s="14">
        <v>92</v>
      </c>
    </row>
    <row r="8" spans="1:13" ht="60" x14ac:dyDescent="0.25">
      <c r="A8" s="91">
        <v>45680</v>
      </c>
      <c r="B8" s="14" t="s">
        <v>256</v>
      </c>
      <c r="C8" s="14" t="s">
        <v>257</v>
      </c>
      <c r="D8" s="83" t="s">
        <v>106</v>
      </c>
      <c r="E8" s="83" t="s">
        <v>306</v>
      </c>
      <c r="F8" s="14" t="s">
        <v>258</v>
      </c>
      <c r="G8" s="83" t="s">
        <v>91</v>
      </c>
      <c r="H8" s="14" t="s">
        <v>213</v>
      </c>
      <c r="I8" s="14" t="s">
        <v>214</v>
      </c>
      <c r="J8" s="14" t="s">
        <v>260</v>
      </c>
      <c r="K8" s="14" t="s">
        <v>259</v>
      </c>
      <c r="L8" s="14">
        <v>165</v>
      </c>
    </row>
    <row r="9" spans="1:13" ht="60" x14ac:dyDescent="0.25">
      <c r="A9" s="91">
        <v>45680</v>
      </c>
      <c r="B9" s="14" t="s">
        <v>256</v>
      </c>
      <c r="C9" s="14" t="s">
        <v>257</v>
      </c>
      <c r="D9" s="83" t="s">
        <v>246</v>
      </c>
      <c r="E9" s="83" t="s">
        <v>303</v>
      </c>
      <c r="F9" s="14" t="s">
        <v>268</v>
      </c>
      <c r="G9" s="83" t="s">
        <v>323</v>
      </c>
      <c r="H9" s="14" t="s">
        <v>250</v>
      </c>
      <c r="I9" s="14" t="s">
        <v>209</v>
      </c>
      <c r="J9" s="14" t="s">
        <v>194</v>
      </c>
      <c r="K9" s="14" t="s">
        <v>251</v>
      </c>
      <c r="L9" s="14">
        <v>33</v>
      </c>
    </row>
    <row r="10" spans="1:13" ht="60" x14ac:dyDescent="0.25">
      <c r="A10" s="91">
        <v>45680</v>
      </c>
      <c r="B10" s="14" t="s">
        <v>256</v>
      </c>
      <c r="C10" s="14" t="s">
        <v>257</v>
      </c>
      <c r="D10" s="83" t="s">
        <v>246</v>
      </c>
      <c r="E10" s="83" t="s">
        <v>303</v>
      </c>
      <c r="F10" s="14" t="s">
        <v>268</v>
      </c>
      <c r="G10" s="83" t="s">
        <v>323</v>
      </c>
      <c r="H10" s="14" t="s">
        <v>250</v>
      </c>
      <c r="I10" s="14" t="s">
        <v>209</v>
      </c>
      <c r="J10" s="14" t="s">
        <v>194</v>
      </c>
      <c r="K10" s="14" t="s">
        <v>251</v>
      </c>
      <c r="L10" s="14">
        <v>33</v>
      </c>
    </row>
    <row r="11" spans="1:13" ht="45" x14ac:dyDescent="0.25">
      <c r="A11" s="91">
        <v>45687</v>
      </c>
      <c r="B11" s="91" t="s">
        <v>253</v>
      </c>
      <c r="C11" s="14" t="s">
        <v>254</v>
      </c>
      <c r="D11" s="83" t="s">
        <v>241</v>
      </c>
      <c r="E11" s="83" t="s">
        <v>307</v>
      </c>
      <c r="F11" s="14" t="s">
        <v>299</v>
      </c>
      <c r="G11" s="83" t="s">
        <v>98</v>
      </c>
      <c r="H11" s="14" t="s">
        <v>255</v>
      </c>
      <c r="I11" s="14" t="s">
        <v>209</v>
      </c>
      <c r="J11" s="14" t="s">
        <v>194</v>
      </c>
      <c r="K11" s="14" t="s">
        <v>24</v>
      </c>
      <c r="L11" s="14">
        <v>74</v>
      </c>
    </row>
    <row r="12" spans="1:13" ht="60" x14ac:dyDescent="0.25">
      <c r="A12" s="91">
        <v>45687</v>
      </c>
      <c r="B12" s="14" t="s">
        <v>256</v>
      </c>
      <c r="C12" s="14" t="s">
        <v>257</v>
      </c>
      <c r="D12" s="83" t="s">
        <v>106</v>
      </c>
      <c r="E12" s="83" t="s">
        <v>306</v>
      </c>
      <c r="F12" s="14" t="s">
        <v>258</v>
      </c>
      <c r="G12" s="83" t="s">
        <v>91</v>
      </c>
      <c r="H12" s="14" t="s">
        <v>213</v>
      </c>
      <c r="I12" s="14" t="s">
        <v>214</v>
      </c>
      <c r="J12" s="14" t="s">
        <v>260</v>
      </c>
      <c r="K12" s="14" t="s">
        <v>259</v>
      </c>
      <c r="L12" s="14" t="s">
        <v>261</v>
      </c>
    </row>
    <row r="13" spans="1:13" ht="60" x14ac:dyDescent="0.25">
      <c r="A13" s="91">
        <v>45694</v>
      </c>
      <c r="B13" s="14" t="s">
        <v>256</v>
      </c>
      <c r="C13" s="14" t="s">
        <v>257</v>
      </c>
      <c r="D13" s="83" t="s">
        <v>106</v>
      </c>
      <c r="E13" s="83" t="s">
        <v>306</v>
      </c>
      <c r="F13" s="14" t="s">
        <v>258</v>
      </c>
      <c r="G13" s="83" t="s">
        <v>91</v>
      </c>
      <c r="H13" s="14" t="s">
        <v>264</v>
      </c>
      <c r="I13" s="14" t="s">
        <v>274</v>
      </c>
      <c r="J13" s="14" t="s">
        <v>260</v>
      </c>
      <c r="K13" s="14" t="s">
        <v>259</v>
      </c>
      <c r="L13" s="14">
        <v>220</v>
      </c>
    </row>
    <row r="14" spans="1:13" ht="75" x14ac:dyDescent="0.25">
      <c r="A14" s="91">
        <v>45694</v>
      </c>
      <c r="B14" s="14" t="s">
        <v>256</v>
      </c>
      <c r="C14" s="14" t="s">
        <v>257</v>
      </c>
      <c r="D14" s="83" t="s">
        <v>269</v>
      </c>
      <c r="E14" s="83" t="s">
        <v>317</v>
      </c>
      <c r="F14" s="14" t="s">
        <v>269</v>
      </c>
      <c r="G14" s="83" t="s">
        <v>275</v>
      </c>
      <c r="H14" s="14" t="s">
        <v>269</v>
      </c>
      <c r="I14" s="14" t="s">
        <v>274</v>
      </c>
      <c r="J14" s="14" t="s">
        <v>260</v>
      </c>
      <c r="K14" s="14" t="s">
        <v>273</v>
      </c>
      <c r="L14" s="14">
        <v>55</v>
      </c>
    </row>
    <row r="15" spans="1:13" ht="45" x14ac:dyDescent="0.25">
      <c r="A15" s="91">
        <v>45694</v>
      </c>
      <c r="B15" s="14" t="s">
        <v>256</v>
      </c>
      <c r="C15" s="14" t="s">
        <v>257</v>
      </c>
      <c r="D15" s="83" t="s">
        <v>246</v>
      </c>
      <c r="E15" s="83" t="s">
        <v>305</v>
      </c>
      <c r="F15" s="14" t="s">
        <v>271</v>
      </c>
      <c r="G15" s="83" t="s">
        <v>320</v>
      </c>
      <c r="H15" s="14" t="s">
        <v>271</v>
      </c>
      <c r="I15" s="14" t="s">
        <v>209</v>
      </c>
      <c r="J15" s="14" t="s">
        <v>318</v>
      </c>
      <c r="K15" s="14" t="s">
        <v>273</v>
      </c>
      <c r="L15" s="14">
        <v>56</v>
      </c>
    </row>
    <row r="16" spans="1:13" ht="45" x14ac:dyDescent="0.25">
      <c r="A16" s="91">
        <v>45695</v>
      </c>
      <c r="B16" s="14" t="s">
        <v>279</v>
      </c>
      <c r="C16" s="14" t="s">
        <v>254</v>
      </c>
      <c r="D16" s="83" t="s">
        <v>276</v>
      </c>
      <c r="E16" s="83" t="s">
        <v>315</v>
      </c>
      <c r="F16" s="14" t="s">
        <v>263</v>
      </c>
      <c r="G16" s="83" t="s">
        <v>293</v>
      </c>
      <c r="H16" s="14" t="s">
        <v>289</v>
      </c>
      <c r="I16" s="14" t="s">
        <v>209</v>
      </c>
      <c r="J16" s="14" t="s">
        <v>292</v>
      </c>
      <c r="K16" s="14" t="s">
        <v>291</v>
      </c>
      <c r="L16" s="14">
        <v>21</v>
      </c>
    </row>
    <row r="17" spans="1:12" ht="60" x14ac:dyDescent="0.25">
      <c r="A17" s="91">
        <v>45701</v>
      </c>
      <c r="B17" s="14" t="s">
        <v>256</v>
      </c>
      <c r="C17" s="14" t="s">
        <v>257</v>
      </c>
      <c r="D17" s="83" t="s">
        <v>106</v>
      </c>
      <c r="E17" s="83" t="s">
        <v>306</v>
      </c>
      <c r="F17" s="14" t="s">
        <v>258</v>
      </c>
      <c r="G17" s="83" t="s">
        <v>91</v>
      </c>
      <c r="H17" s="14" t="s">
        <v>264</v>
      </c>
      <c r="I17" s="14" t="s">
        <v>274</v>
      </c>
      <c r="J17" s="14" t="s">
        <v>260</v>
      </c>
      <c r="K17" s="14" t="s">
        <v>259</v>
      </c>
      <c r="L17" s="14">
        <v>192.5</v>
      </c>
    </row>
    <row r="18" spans="1:12" ht="45" x14ac:dyDescent="0.25">
      <c r="A18" s="91">
        <v>45701</v>
      </c>
      <c r="B18" s="14" t="s">
        <v>256</v>
      </c>
      <c r="C18" s="14" t="s">
        <v>257</v>
      </c>
      <c r="D18" s="83" t="s">
        <v>246</v>
      </c>
      <c r="E18" s="83" t="s">
        <v>305</v>
      </c>
      <c r="F18" s="14" t="s">
        <v>271</v>
      </c>
      <c r="G18" s="83" t="s">
        <v>320</v>
      </c>
      <c r="H18" s="14" t="s">
        <v>271</v>
      </c>
      <c r="I18" s="14" t="s">
        <v>209</v>
      </c>
      <c r="J18" s="14" t="s">
        <v>318</v>
      </c>
      <c r="K18" s="14" t="s">
        <v>273</v>
      </c>
      <c r="L18" s="14">
        <v>25.5</v>
      </c>
    </row>
    <row r="19" spans="1:12" ht="60" x14ac:dyDescent="0.25">
      <c r="A19" s="91">
        <v>45708</v>
      </c>
      <c r="B19" s="14" t="s">
        <v>256</v>
      </c>
      <c r="C19" s="14" t="s">
        <v>257</v>
      </c>
      <c r="D19" s="83" t="s">
        <v>106</v>
      </c>
      <c r="E19" s="83" t="s">
        <v>306</v>
      </c>
      <c r="F19" s="14" t="s">
        <v>258</v>
      </c>
      <c r="G19" s="83" t="s">
        <v>91</v>
      </c>
      <c r="H19" s="14" t="s">
        <v>264</v>
      </c>
      <c r="I19" s="14" t="s">
        <v>274</v>
      </c>
      <c r="J19" s="14" t="s">
        <v>260</v>
      </c>
      <c r="K19" s="14" t="s">
        <v>259</v>
      </c>
      <c r="L19" s="14">
        <v>154</v>
      </c>
    </row>
    <row r="20" spans="1:12" ht="45" x14ac:dyDescent="0.25">
      <c r="A20" s="91">
        <v>45708</v>
      </c>
      <c r="B20" s="14" t="s">
        <v>256</v>
      </c>
      <c r="C20" s="14" t="s">
        <v>257</v>
      </c>
      <c r="D20" s="83" t="s">
        <v>246</v>
      </c>
      <c r="E20" s="83" t="s">
        <v>305</v>
      </c>
      <c r="F20" s="14" t="s">
        <v>271</v>
      </c>
      <c r="G20" s="83" t="s">
        <v>320</v>
      </c>
      <c r="H20" s="14" t="s">
        <v>271</v>
      </c>
      <c r="I20" s="14" t="s">
        <v>209</v>
      </c>
      <c r="J20" s="14" t="s">
        <v>318</v>
      </c>
      <c r="K20" s="14" t="s">
        <v>273</v>
      </c>
      <c r="L20" s="14">
        <v>37</v>
      </c>
    </row>
    <row r="21" spans="1:12" ht="60" x14ac:dyDescent="0.25">
      <c r="A21" s="91">
        <v>45713</v>
      </c>
      <c r="B21" s="14" t="s">
        <v>256</v>
      </c>
      <c r="C21" s="14" t="s">
        <v>257</v>
      </c>
      <c r="D21" s="83" t="s">
        <v>106</v>
      </c>
      <c r="E21" s="83" t="s">
        <v>306</v>
      </c>
      <c r="F21" s="14" t="s">
        <v>258</v>
      </c>
      <c r="G21" s="83" t="s">
        <v>324</v>
      </c>
      <c r="H21" s="14" t="s">
        <v>213</v>
      </c>
      <c r="I21" s="14" t="s">
        <v>214</v>
      </c>
      <c r="J21" s="14" t="s">
        <v>260</v>
      </c>
      <c r="K21" s="14" t="s">
        <v>273</v>
      </c>
      <c r="L21" s="14">
        <v>110</v>
      </c>
    </row>
    <row r="22" spans="1:12" ht="75" x14ac:dyDescent="0.25">
      <c r="A22" s="91">
        <v>45713</v>
      </c>
      <c r="B22" s="14" t="s">
        <v>256</v>
      </c>
      <c r="C22" s="14" t="s">
        <v>257</v>
      </c>
      <c r="D22" s="83" t="s">
        <v>269</v>
      </c>
      <c r="E22" s="83" t="s">
        <v>317</v>
      </c>
      <c r="F22" s="14" t="s">
        <v>270</v>
      </c>
      <c r="G22" s="83" t="s">
        <v>275</v>
      </c>
      <c r="H22" s="14" t="s">
        <v>252</v>
      </c>
      <c r="I22" s="14" t="s">
        <v>214</v>
      </c>
      <c r="J22" s="14" t="s">
        <v>260</v>
      </c>
      <c r="K22" s="14" t="s">
        <v>158</v>
      </c>
      <c r="L22" s="14">
        <v>33</v>
      </c>
    </row>
    <row r="23" spans="1:12" ht="69" customHeight="1" x14ac:dyDescent="0.25">
      <c r="A23" s="91">
        <v>45713</v>
      </c>
      <c r="B23" s="14" t="s">
        <v>256</v>
      </c>
      <c r="C23" s="14" t="s">
        <v>257</v>
      </c>
      <c r="D23" s="83" t="s">
        <v>246</v>
      </c>
      <c r="E23" s="83" t="s">
        <v>305</v>
      </c>
      <c r="F23" s="14" t="s">
        <v>271</v>
      </c>
      <c r="G23" s="83" t="s">
        <v>320</v>
      </c>
      <c r="H23" s="14" t="s">
        <v>272</v>
      </c>
      <c r="I23" s="14" t="s">
        <v>209</v>
      </c>
      <c r="J23" s="14" t="s">
        <v>194</v>
      </c>
      <c r="K23" s="14" t="s">
        <v>273</v>
      </c>
      <c r="L23" s="14">
        <v>38</v>
      </c>
    </row>
    <row r="24" spans="1:12" ht="45" x14ac:dyDescent="0.25">
      <c r="A24" s="91">
        <v>45719</v>
      </c>
      <c r="B24" s="14" t="s">
        <v>279</v>
      </c>
      <c r="C24" s="14" t="s">
        <v>254</v>
      </c>
      <c r="D24" s="83" t="s">
        <v>276</v>
      </c>
      <c r="E24" s="83" t="s">
        <v>315</v>
      </c>
      <c r="F24" s="14" t="s">
        <v>263</v>
      </c>
      <c r="G24" s="83" t="s">
        <v>293</v>
      </c>
      <c r="H24" s="14" t="s">
        <v>289</v>
      </c>
      <c r="I24" s="14" t="s">
        <v>209</v>
      </c>
      <c r="J24" s="14" t="s">
        <v>292</v>
      </c>
      <c r="K24" s="14" t="s">
        <v>291</v>
      </c>
      <c r="L24" s="14">
        <v>23</v>
      </c>
    </row>
    <row r="25" spans="1:12" ht="45" x14ac:dyDescent="0.25">
      <c r="A25" s="91">
        <v>45721</v>
      </c>
      <c r="B25" s="14" t="s">
        <v>277</v>
      </c>
      <c r="C25" s="14" t="s">
        <v>280</v>
      </c>
      <c r="D25" s="83" t="s">
        <v>245</v>
      </c>
      <c r="E25" s="83" t="s">
        <v>305</v>
      </c>
      <c r="F25" s="14" t="s">
        <v>266</v>
      </c>
      <c r="G25" s="83" t="s">
        <v>320</v>
      </c>
      <c r="H25" s="14" t="s">
        <v>267</v>
      </c>
      <c r="I25" s="14" t="s">
        <v>209</v>
      </c>
      <c r="J25" s="14" t="s">
        <v>194</v>
      </c>
      <c r="K25" s="14" t="s">
        <v>265</v>
      </c>
      <c r="L25" s="14">
        <v>18</v>
      </c>
    </row>
    <row r="26" spans="1:12" ht="60" x14ac:dyDescent="0.25">
      <c r="A26" s="91">
        <v>45721</v>
      </c>
      <c r="B26" s="14" t="s">
        <v>277</v>
      </c>
      <c r="C26" s="14" t="s">
        <v>280</v>
      </c>
      <c r="D26" s="83" t="s">
        <v>106</v>
      </c>
      <c r="E26" s="83" t="s">
        <v>306</v>
      </c>
      <c r="F26" s="14" t="s">
        <v>258</v>
      </c>
      <c r="G26" s="83" t="s">
        <v>324</v>
      </c>
      <c r="H26" s="14" t="s">
        <v>213</v>
      </c>
      <c r="I26" s="14" t="s">
        <v>214</v>
      </c>
      <c r="J26" s="14" t="s">
        <v>260</v>
      </c>
      <c r="K26" s="14" t="s">
        <v>273</v>
      </c>
      <c r="L26" s="14">
        <v>220</v>
      </c>
    </row>
    <row r="27" spans="1:12" ht="45" x14ac:dyDescent="0.25">
      <c r="A27" s="91">
        <v>45721</v>
      </c>
      <c r="B27" s="14" t="s">
        <v>277</v>
      </c>
      <c r="C27" s="14" t="s">
        <v>280</v>
      </c>
      <c r="D27" s="83" t="s">
        <v>244</v>
      </c>
      <c r="E27" s="83" t="s">
        <v>305</v>
      </c>
      <c r="F27" s="14" t="s">
        <v>246</v>
      </c>
      <c r="G27" s="83" t="s">
        <v>320</v>
      </c>
      <c r="H27" s="14" t="s">
        <v>244</v>
      </c>
      <c r="I27" s="14" t="s">
        <v>209</v>
      </c>
      <c r="J27" s="14" t="s">
        <v>194</v>
      </c>
      <c r="K27" s="14" t="s">
        <v>265</v>
      </c>
      <c r="L27" s="14">
        <v>37</v>
      </c>
    </row>
    <row r="28" spans="1:12" ht="45" x14ac:dyDescent="0.25">
      <c r="A28" s="91">
        <v>45721</v>
      </c>
      <c r="B28" s="14" t="s">
        <v>277</v>
      </c>
      <c r="C28" s="14" t="s">
        <v>280</v>
      </c>
      <c r="D28" s="83" t="s">
        <v>108</v>
      </c>
      <c r="E28" s="83" t="s">
        <v>305</v>
      </c>
      <c r="F28" s="14" t="s">
        <v>266</v>
      </c>
      <c r="G28" s="83" t="s">
        <v>320</v>
      </c>
      <c r="H28" s="14" t="s">
        <v>267</v>
      </c>
      <c r="I28" s="14" t="s">
        <v>209</v>
      </c>
      <c r="J28" s="14" t="s">
        <v>194</v>
      </c>
      <c r="K28" s="14" t="s">
        <v>265</v>
      </c>
      <c r="L28" s="14">
        <v>4</v>
      </c>
    </row>
    <row r="29" spans="1:12" ht="60" x14ac:dyDescent="0.25">
      <c r="A29" s="91">
        <v>45723</v>
      </c>
      <c r="B29" s="14" t="s">
        <v>256</v>
      </c>
      <c r="C29" s="14" t="s">
        <v>257</v>
      </c>
      <c r="D29" s="83" t="s">
        <v>106</v>
      </c>
      <c r="E29" s="83" t="s">
        <v>306</v>
      </c>
      <c r="F29" s="14" t="s">
        <v>258</v>
      </c>
      <c r="G29" s="83" t="s">
        <v>324</v>
      </c>
      <c r="H29" s="14" t="s">
        <v>213</v>
      </c>
      <c r="I29" s="14" t="s">
        <v>214</v>
      </c>
      <c r="J29" s="14" t="s">
        <v>260</v>
      </c>
      <c r="K29" s="14" t="s">
        <v>273</v>
      </c>
      <c r="L29" s="14">
        <v>181.5</v>
      </c>
    </row>
    <row r="30" spans="1:12" ht="45" x14ac:dyDescent="0.25">
      <c r="A30" s="91">
        <v>45723</v>
      </c>
      <c r="B30" s="14" t="s">
        <v>256</v>
      </c>
      <c r="C30" s="14" t="s">
        <v>257</v>
      </c>
      <c r="D30" s="83" t="s">
        <v>246</v>
      </c>
      <c r="E30" s="83" t="s">
        <v>305</v>
      </c>
      <c r="F30" s="14" t="s">
        <v>271</v>
      </c>
      <c r="G30" s="83" t="s">
        <v>320</v>
      </c>
      <c r="H30" s="14" t="s">
        <v>272</v>
      </c>
      <c r="I30" s="14" t="s">
        <v>209</v>
      </c>
      <c r="J30" s="14" t="s">
        <v>194</v>
      </c>
      <c r="K30" s="14" t="s">
        <v>273</v>
      </c>
      <c r="L30" s="14">
        <v>49.5</v>
      </c>
    </row>
    <row r="31" spans="1:12" ht="60" x14ac:dyDescent="0.25">
      <c r="A31" s="91">
        <v>45729</v>
      </c>
      <c r="B31" s="14" t="s">
        <v>256</v>
      </c>
      <c r="C31" s="14" t="s">
        <v>257</v>
      </c>
      <c r="D31" s="83" t="s">
        <v>106</v>
      </c>
      <c r="E31" s="83" t="s">
        <v>306</v>
      </c>
      <c r="F31" s="14" t="s">
        <v>258</v>
      </c>
      <c r="G31" s="83" t="s">
        <v>324</v>
      </c>
      <c r="H31" s="14" t="s">
        <v>213</v>
      </c>
      <c r="I31" s="14" t="s">
        <v>214</v>
      </c>
      <c r="J31" s="14" t="s">
        <v>260</v>
      </c>
      <c r="K31" s="14" t="s">
        <v>273</v>
      </c>
      <c r="L31" s="14">
        <v>230</v>
      </c>
    </row>
    <row r="32" spans="1:12" ht="45" x14ac:dyDescent="0.25">
      <c r="A32" s="91">
        <v>45729</v>
      </c>
      <c r="B32" s="14" t="s">
        <v>256</v>
      </c>
      <c r="C32" s="14" t="s">
        <v>257</v>
      </c>
      <c r="D32" s="83" t="s">
        <v>244</v>
      </c>
      <c r="E32" s="83" t="s">
        <v>305</v>
      </c>
      <c r="F32" s="14" t="s">
        <v>246</v>
      </c>
      <c r="G32" s="83" t="s">
        <v>320</v>
      </c>
      <c r="H32" s="14" t="s">
        <v>244</v>
      </c>
      <c r="I32" s="14" t="s">
        <v>209</v>
      </c>
      <c r="J32" s="14" t="s">
        <v>194</v>
      </c>
      <c r="K32" s="14" t="s">
        <v>265</v>
      </c>
      <c r="L32" s="14">
        <v>25</v>
      </c>
    </row>
    <row r="33" spans="1:12" ht="45" x14ac:dyDescent="0.25">
      <c r="A33" s="91">
        <v>45729</v>
      </c>
      <c r="B33" s="14" t="s">
        <v>256</v>
      </c>
      <c r="C33" s="14" t="s">
        <v>257</v>
      </c>
      <c r="D33" s="83" t="s">
        <v>246</v>
      </c>
      <c r="E33" s="83" t="s">
        <v>305</v>
      </c>
      <c r="F33" s="14" t="s">
        <v>271</v>
      </c>
      <c r="G33" s="83" t="s">
        <v>320</v>
      </c>
      <c r="H33" s="14" t="s">
        <v>272</v>
      </c>
      <c r="I33" s="14" t="s">
        <v>209</v>
      </c>
      <c r="J33" s="14" t="s">
        <v>194</v>
      </c>
      <c r="K33" s="14" t="s">
        <v>273</v>
      </c>
      <c r="L33" s="14">
        <v>38</v>
      </c>
    </row>
    <row r="34" spans="1:12" ht="60" x14ac:dyDescent="0.25">
      <c r="A34" s="91">
        <v>45736</v>
      </c>
      <c r="B34" s="14" t="s">
        <v>256</v>
      </c>
      <c r="C34" s="14" t="s">
        <v>257</v>
      </c>
      <c r="D34" s="83" t="s">
        <v>106</v>
      </c>
      <c r="E34" s="83" t="s">
        <v>306</v>
      </c>
      <c r="F34" s="14" t="s">
        <v>258</v>
      </c>
      <c r="G34" s="83" t="s">
        <v>324</v>
      </c>
      <c r="H34" s="14" t="s">
        <v>213</v>
      </c>
      <c r="I34" s="14" t="s">
        <v>214</v>
      </c>
      <c r="J34" s="14" t="s">
        <v>260</v>
      </c>
      <c r="K34" s="14" t="s">
        <v>273</v>
      </c>
      <c r="L34" s="14">
        <v>137.5</v>
      </c>
    </row>
    <row r="35" spans="1:12" ht="75" x14ac:dyDescent="0.25">
      <c r="A35" s="91">
        <v>45736</v>
      </c>
      <c r="B35" s="14" t="s">
        <v>256</v>
      </c>
      <c r="C35" s="14" t="s">
        <v>257</v>
      </c>
      <c r="D35" s="83" t="s">
        <v>269</v>
      </c>
      <c r="E35" s="83" t="s">
        <v>317</v>
      </c>
      <c r="F35" s="14" t="s">
        <v>270</v>
      </c>
      <c r="G35" s="83" t="s">
        <v>275</v>
      </c>
      <c r="H35" s="14" t="s">
        <v>252</v>
      </c>
      <c r="I35" s="14" t="s">
        <v>214</v>
      </c>
      <c r="J35" s="14" t="s">
        <v>260</v>
      </c>
      <c r="K35" s="14" t="s">
        <v>158</v>
      </c>
      <c r="L35" s="14">
        <v>33</v>
      </c>
    </row>
    <row r="36" spans="1:12" ht="45" x14ac:dyDescent="0.25">
      <c r="A36" s="91">
        <v>45736</v>
      </c>
      <c r="B36" s="14" t="s">
        <v>256</v>
      </c>
      <c r="C36" s="14" t="s">
        <v>257</v>
      </c>
      <c r="D36" s="83" t="s">
        <v>246</v>
      </c>
      <c r="E36" s="83" t="s">
        <v>305</v>
      </c>
      <c r="F36" s="14" t="s">
        <v>271</v>
      </c>
      <c r="G36" s="83" t="s">
        <v>320</v>
      </c>
      <c r="H36" s="14" t="s">
        <v>272</v>
      </c>
      <c r="I36" s="14" t="s">
        <v>209</v>
      </c>
      <c r="J36" s="14" t="s">
        <v>194</v>
      </c>
      <c r="K36" s="14" t="s">
        <v>273</v>
      </c>
      <c r="L36" s="14">
        <v>16</v>
      </c>
    </row>
    <row r="37" spans="1:12" ht="60" x14ac:dyDescent="0.25">
      <c r="A37" s="91">
        <v>45743</v>
      </c>
      <c r="B37" s="14" t="s">
        <v>256</v>
      </c>
      <c r="C37" s="14" t="s">
        <v>257</v>
      </c>
      <c r="D37" s="83" t="s">
        <v>106</v>
      </c>
      <c r="E37" s="83" t="s">
        <v>306</v>
      </c>
      <c r="F37" s="14" t="s">
        <v>258</v>
      </c>
      <c r="G37" s="83" t="s">
        <v>324</v>
      </c>
      <c r="H37" s="14" t="s">
        <v>213</v>
      </c>
      <c r="I37" s="14" t="s">
        <v>214</v>
      </c>
      <c r="J37" s="14" t="s">
        <v>260</v>
      </c>
      <c r="K37" s="14" t="s">
        <v>273</v>
      </c>
      <c r="L37" s="14">
        <v>165</v>
      </c>
    </row>
    <row r="38" spans="1:12" ht="75" x14ac:dyDescent="0.25">
      <c r="A38" s="91">
        <v>45743</v>
      </c>
      <c r="B38" s="14" t="s">
        <v>256</v>
      </c>
      <c r="C38" s="14" t="s">
        <v>257</v>
      </c>
      <c r="D38" s="83" t="s">
        <v>269</v>
      </c>
      <c r="E38" s="83" t="s">
        <v>317</v>
      </c>
      <c r="F38" s="14" t="s">
        <v>270</v>
      </c>
      <c r="G38" s="83" t="s">
        <v>275</v>
      </c>
      <c r="H38" s="14" t="s">
        <v>252</v>
      </c>
      <c r="I38" s="14" t="s">
        <v>214</v>
      </c>
      <c r="J38" s="14" t="s">
        <v>260</v>
      </c>
      <c r="K38" s="14" t="s">
        <v>158</v>
      </c>
      <c r="L38" s="14">
        <v>110</v>
      </c>
    </row>
    <row r="39" spans="1:12" ht="45" x14ac:dyDescent="0.25">
      <c r="A39" s="91">
        <v>45743</v>
      </c>
      <c r="B39" s="14" t="s">
        <v>256</v>
      </c>
      <c r="C39" s="14" t="s">
        <v>257</v>
      </c>
      <c r="D39" s="83" t="s">
        <v>246</v>
      </c>
      <c r="E39" s="83" t="s">
        <v>305</v>
      </c>
      <c r="F39" s="14" t="s">
        <v>271</v>
      </c>
      <c r="G39" s="83" t="s">
        <v>320</v>
      </c>
      <c r="H39" s="14" t="s">
        <v>272</v>
      </c>
      <c r="I39" s="14" t="s">
        <v>209</v>
      </c>
      <c r="J39" s="14" t="s">
        <v>194</v>
      </c>
      <c r="K39" s="14" t="s">
        <v>273</v>
      </c>
      <c r="L39" s="14">
        <v>161</v>
      </c>
    </row>
    <row r="40" spans="1:12" ht="60" x14ac:dyDescent="0.25">
      <c r="A40" s="91">
        <v>45785</v>
      </c>
      <c r="B40" s="14" t="s">
        <v>256</v>
      </c>
      <c r="C40" s="14" t="s">
        <v>257</v>
      </c>
      <c r="D40" s="83" t="s">
        <v>106</v>
      </c>
      <c r="E40" s="83" t="s">
        <v>306</v>
      </c>
      <c r="F40" s="14" t="s">
        <v>258</v>
      </c>
      <c r="G40" s="83" t="s">
        <v>324</v>
      </c>
      <c r="H40" s="14" t="s">
        <v>213</v>
      </c>
      <c r="I40" s="14" t="s">
        <v>214</v>
      </c>
      <c r="J40" s="14" t="s">
        <v>260</v>
      </c>
      <c r="K40" s="14" t="s">
        <v>273</v>
      </c>
      <c r="L40" s="14">
        <v>170</v>
      </c>
    </row>
    <row r="41" spans="1:12" ht="45" x14ac:dyDescent="0.25">
      <c r="A41" s="91">
        <v>45785</v>
      </c>
      <c r="B41" s="14" t="s">
        <v>279</v>
      </c>
      <c r="C41" s="14" t="s">
        <v>280</v>
      </c>
      <c r="D41" s="83" t="s">
        <v>276</v>
      </c>
      <c r="E41" s="83" t="s">
        <v>315</v>
      </c>
      <c r="F41" s="14" t="s">
        <v>263</v>
      </c>
      <c r="G41" s="83" t="s">
        <v>293</v>
      </c>
      <c r="H41" s="14" t="s">
        <v>289</v>
      </c>
      <c r="I41" s="14" t="s">
        <v>209</v>
      </c>
      <c r="J41" s="14" t="s">
        <v>292</v>
      </c>
      <c r="K41" s="14" t="s">
        <v>291</v>
      </c>
      <c r="L41" s="14">
        <v>34</v>
      </c>
    </row>
    <row r="42" spans="1:12" ht="45" x14ac:dyDescent="0.25">
      <c r="A42" s="91">
        <v>45787</v>
      </c>
      <c r="B42" s="14" t="s">
        <v>329</v>
      </c>
      <c r="C42" s="14" t="s">
        <v>282</v>
      </c>
      <c r="D42" s="83" t="s">
        <v>113</v>
      </c>
      <c r="E42" s="83" t="s">
        <v>311</v>
      </c>
      <c r="F42" s="14" t="s">
        <v>311</v>
      </c>
      <c r="G42" s="83" t="s">
        <v>293</v>
      </c>
      <c r="H42" s="14" t="s">
        <v>311</v>
      </c>
      <c r="I42" s="14" t="s">
        <v>209</v>
      </c>
      <c r="J42" s="14" t="s">
        <v>292</v>
      </c>
      <c r="K42" s="14" t="s">
        <v>291</v>
      </c>
      <c r="L42" s="14">
        <v>45</v>
      </c>
    </row>
    <row r="43" spans="1:12" ht="60" x14ac:dyDescent="0.25">
      <c r="A43" s="91">
        <v>45792</v>
      </c>
      <c r="B43" s="14" t="s">
        <v>256</v>
      </c>
      <c r="C43" s="14" t="s">
        <v>257</v>
      </c>
      <c r="D43" s="83" t="s">
        <v>106</v>
      </c>
      <c r="E43" s="83" t="s">
        <v>306</v>
      </c>
      <c r="F43" s="14" t="s">
        <v>258</v>
      </c>
      <c r="G43" s="83" t="s">
        <v>324</v>
      </c>
      <c r="H43" s="14" t="s">
        <v>213</v>
      </c>
      <c r="I43" s="14" t="s">
        <v>214</v>
      </c>
      <c r="J43" s="14" t="s">
        <v>260</v>
      </c>
      <c r="K43" s="14" t="s">
        <v>273</v>
      </c>
      <c r="L43" s="14">
        <v>137.5</v>
      </c>
    </row>
    <row r="44" spans="1:12" ht="60" x14ac:dyDescent="0.25">
      <c r="A44" s="91">
        <v>45793</v>
      </c>
      <c r="B44" s="14" t="s">
        <v>338</v>
      </c>
      <c r="C44" s="14" t="s">
        <v>280</v>
      </c>
      <c r="D44" s="83" t="s">
        <v>245</v>
      </c>
      <c r="E44" s="83" t="s">
        <v>300</v>
      </c>
      <c r="F44" s="14" t="s">
        <v>271</v>
      </c>
      <c r="G44" s="83" t="s">
        <v>320</v>
      </c>
      <c r="H44" s="14" t="s">
        <v>337</v>
      </c>
      <c r="I44" s="14" t="s">
        <v>209</v>
      </c>
      <c r="J44" s="14" t="s">
        <v>194</v>
      </c>
      <c r="K44" s="14" t="s">
        <v>158</v>
      </c>
      <c r="L44" s="14">
        <v>62</v>
      </c>
    </row>
    <row r="45" spans="1:12" ht="45" x14ac:dyDescent="0.25">
      <c r="A45" s="91">
        <v>45798</v>
      </c>
      <c r="B45" s="14" t="s">
        <v>279</v>
      </c>
      <c r="C45" s="14" t="s">
        <v>262</v>
      </c>
      <c r="D45" s="83" t="s">
        <v>276</v>
      </c>
      <c r="E45" s="83" t="s">
        <v>315</v>
      </c>
      <c r="F45" s="14" t="s">
        <v>263</v>
      </c>
      <c r="G45" s="83" t="s">
        <v>293</v>
      </c>
      <c r="H45" s="14" t="s">
        <v>289</v>
      </c>
      <c r="I45" s="14" t="s">
        <v>209</v>
      </c>
      <c r="J45" s="14" t="s">
        <v>292</v>
      </c>
      <c r="K45" s="14" t="s">
        <v>291</v>
      </c>
      <c r="L45" s="14">
        <v>4</v>
      </c>
    </row>
    <row r="46" spans="1:12" ht="60" x14ac:dyDescent="0.25">
      <c r="A46" s="91">
        <v>45799</v>
      </c>
      <c r="B46" s="14" t="s">
        <v>256</v>
      </c>
      <c r="C46" s="14" t="s">
        <v>257</v>
      </c>
      <c r="D46" s="83" t="s">
        <v>106</v>
      </c>
      <c r="E46" s="83" t="s">
        <v>306</v>
      </c>
      <c r="F46" s="14" t="s">
        <v>258</v>
      </c>
      <c r="G46" s="83" t="s">
        <v>324</v>
      </c>
      <c r="H46" s="14" t="s">
        <v>213</v>
      </c>
      <c r="I46" s="14" t="s">
        <v>214</v>
      </c>
      <c r="J46" s="14" t="s">
        <v>260</v>
      </c>
      <c r="K46" s="14" t="s">
        <v>273</v>
      </c>
      <c r="L46" s="14">
        <v>165</v>
      </c>
    </row>
    <row r="47" spans="1:12" ht="45" x14ac:dyDescent="0.25">
      <c r="A47" s="91">
        <v>45799</v>
      </c>
      <c r="B47" s="14" t="s">
        <v>279</v>
      </c>
      <c r="C47" s="14" t="s">
        <v>280</v>
      </c>
      <c r="D47" s="83" t="s">
        <v>276</v>
      </c>
      <c r="E47" s="83" t="s">
        <v>315</v>
      </c>
      <c r="F47" s="14" t="s">
        <v>263</v>
      </c>
      <c r="G47" s="83" t="s">
        <v>293</v>
      </c>
      <c r="H47" s="14" t="s">
        <v>289</v>
      </c>
      <c r="I47" s="14" t="s">
        <v>209</v>
      </c>
      <c r="J47" s="14" t="s">
        <v>292</v>
      </c>
      <c r="K47" s="14" t="s">
        <v>291</v>
      </c>
      <c r="L47" s="14">
        <v>33</v>
      </c>
    </row>
    <row r="48" spans="1:12" ht="60" x14ac:dyDescent="0.25">
      <c r="A48" s="91">
        <v>45805</v>
      </c>
      <c r="B48" s="14" t="s">
        <v>240</v>
      </c>
      <c r="C48" s="14" t="s">
        <v>280</v>
      </c>
      <c r="D48" s="83" t="s">
        <v>106</v>
      </c>
      <c r="E48" s="83" t="s">
        <v>306</v>
      </c>
      <c r="F48" s="14" t="s">
        <v>258</v>
      </c>
      <c r="G48" s="83" t="s">
        <v>322</v>
      </c>
      <c r="H48" s="14" t="s">
        <v>213</v>
      </c>
      <c r="I48" s="14" t="s">
        <v>214</v>
      </c>
      <c r="J48" s="14" t="s">
        <v>260</v>
      </c>
      <c r="K48" s="14" t="s">
        <v>24</v>
      </c>
      <c r="L48" s="14">
        <v>181.5</v>
      </c>
    </row>
    <row r="49" spans="1:13" ht="60" x14ac:dyDescent="0.25">
      <c r="A49" s="91">
        <v>45806</v>
      </c>
      <c r="B49" s="14" t="s">
        <v>256</v>
      </c>
      <c r="C49" s="14" t="s">
        <v>257</v>
      </c>
      <c r="D49" s="83" t="s">
        <v>106</v>
      </c>
      <c r="E49" s="83" t="s">
        <v>306</v>
      </c>
      <c r="F49" s="14" t="s">
        <v>258</v>
      </c>
      <c r="G49" s="83" t="s">
        <v>324</v>
      </c>
      <c r="H49" s="14" t="s">
        <v>213</v>
      </c>
      <c r="I49" s="14" t="s">
        <v>214</v>
      </c>
      <c r="J49" s="14" t="s">
        <v>260</v>
      </c>
      <c r="K49" s="14" t="s">
        <v>273</v>
      </c>
      <c r="L49" s="14">
        <v>265</v>
      </c>
    </row>
    <row r="50" spans="1:13" ht="45" x14ac:dyDescent="0.25">
      <c r="A50" s="91">
        <v>45806</v>
      </c>
      <c r="B50" s="14" t="s">
        <v>256</v>
      </c>
      <c r="C50" s="14" t="s">
        <v>257</v>
      </c>
      <c r="D50" s="83" t="s">
        <v>246</v>
      </c>
      <c r="E50" s="83" t="s">
        <v>305</v>
      </c>
      <c r="F50" s="14" t="s">
        <v>271</v>
      </c>
      <c r="G50" s="83" t="s">
        <v>320</v>
      </c>
      <c r="H50" s="14" t="s">
        <v>272</v>
      </c>
      <c r="I50" s="14" t="s">
        <v>209</v>
      </c>
      <c r="J50" s="14" t="s">
        <v>194</v>
      </c>
      <c r="K50" s="14" t="s">
        <v>273</v>
      </c>
      <c r="L50" s="14">
        <v>29.6</v>
      </c>
    </row>
    <row r="51" spans="1:13" ht="60" x14ac:dyDescent="0.25">
      <c r="A51" s="91">
        <v>45806</v>
      </c>
      <c r="B51" s="14" t="s">
        <v>338</v>
      </c>
      <c r="C51" s="14" t="s">
        <v>280</v>
      </c>
      <c r="D51" s="83" t="s">
        <v>245</v>
      </c>
      <c r="E51" s="83" t="s">
        <v>300</v>
      </c>
      <c r="F51" s="14" t="s">
        <v>271</v>
      </c>
      <c r="G51" s="83" t="s">
        <v>320</v>
      </c>
      <c r="H51" s="14" t="s">
        <v>337</v>
      </c>
      <c r="I51" s="14" t="s">
        <v>209</v>
      </c>
      <c r="J51" s="14" t="s">
        <v>194</v>
      </c>
      <c r="K51" s="14" t="s">
        <v>158</v>
      </c>
      <c r="L51" s="14">
        <v>151</v>
      </c>
    </row>
    <row r="52" spans="1:13" ht="60" x14ac:dyDescent="0.25">
      <c r="A52" s="91">
        <v>45813</v>
      </c>
      <c r="B52" s="14" t="s">
        <v>256</v>
      </c>
      <c r="C52" s="14" t="s">
        <v>257</v>
      </c>
      <c r="D52" s="83" t="s">
        <v>106</v>
      </c>
      <c r="E52" s="83" t="s">
        <v>306</v>
      </c>
      <c r="F52" s="14" t="s">
        <v>258</v>
      </c>
      <c r="G52" s="83" t="s">
        <v>324</v>
      </c>
      <c r="H52" s="14" t="s">
        <v>213</v>
      </c>
      <c r="I52" s="14" t="s">
        <v>214</v>
      </c>
      <c r="J52" s="14" t="s">
        <v>260</v>
      </c>
      <c r="K52" s="14" t="s">
        <v>273</v>
      </c>
      <c r="L52" s="14">
        <v>143</v>
      </c>
      <c r="M52" s="90"/>
    </row>
    <row r="53" spans="1:13" ht="60" x14ac:dyDescent="0.25">
      <c r="A53" s="91">
        <v>45820</v>
      </c>
      <c r="B53" s="14" t="s">
        <v>256</v>
      </c>
      <c r="C53" s="14" t="s">
        <v>257</v>
      </c>
      <c r="D53" s="83" t="s">
        <v>106</v>
      </c>
      <c r="E53" s="83" t="s">
        <v>306</v>
      </c>
      <c r="F53" s="14" t="s">
        <v>258</v>
      </c>
      <c r="G53" s="83" t="s">
        <v>324</v>
      </c>
      <c r="H53" s="14" t="s">
        <v>213</v>
      </c>
      <c r="I53" s="14" t="s">
        <v>214</v>
      </c>
      <c r="J53" s="14" t="s">
        <v>260</v>
      </c>
      <c r="K53" s="14" t="s">
        <v>273</v>
      </c>
      <c r="L53" s="14">
        <v>82.5</v>
      </c>
    </row>
    <row r="54" spans="1:13" ht="60" x14ac:dyDescent="0.25">
      <c r="A54" s="91">
        <v>45827</v>
      </c>
      <c r="B54" s="14" t="s">
        <v>256</v>
      </c>
      <c r="C54" s="14" t="s">
        <v>257</v>
      </c>
      <c r="D54" s="83" t="s">
        <v>106</v>
      </c>
      <c r="E54" s="83" t="s">
        <v>306</v>
      </c>
      <c r="F54" s="14" t="s">
        <v>258</v>
      </c>
      <c r="G54" s="83" t="s">
        <v>324</v>
      </c>
      <c r="H54" s="14" t="s">
        <v>213</v>
      </c>
      <c r="I54" s="14" t="s">
        <v>214</v>
      </c>
      <c r="J54" s="14" t="s">
        <v>260</v>
      </c>
      <c r="K54" s="14" t="s">
        <v>273</v>
      </c>
      <c r="L54" s="14">
        <v>265</v>
      </c>
      <c r="M54" s="89"/>
    </row>
    <row r="55" spans="1:13" ht="60" x14ac:dyDescent="0.25">
      <c r="A55" s="91">
        <v>45827</v>
      </c>
      <c r="B55" s="14" t="s">
        <v>338</v>
      </c>
      <c r="C55" s="14" t="s">
        <v>280</v>
      </c>
      <c r="D55" s="83" t="s">
        <v>245</v>
      </c>
      <c r="E55" s="83" t="s">
        <v>300</v>
      </c>
      <c r="F55" s="14" t="s">
        <v>271</v>
      </c>
      <c r="G55" s="83" t="s">
        <v>320</v>
      </c>
      <c r="H55" s="14" t="s">
        <v>337</v>
      </c>
      <c r="I55" s="14" t="s">
        <v>209</v>
      </c>
      <c r="J55" s="14" t="s">
        <v>194</v>
      </c>
      <c r="K55" s="14" t="s">
        <v>158</v>
      </c>
      <c r="L55" s="14">
        <v>18</v>
      </c>
    </row>
    <row r="56" spans="1:13" ht="45" x14ac:dyDescent="0.25">
      <c r="A56" s="91">
        <v>45833</v>
      </c>
      <c r="B56" s="14" t="s">
        <v>279</v>
      </c>
      <c r="C56" s="14" t="s">
        <v>280</v>
      </c>
      <c r="D56" s="83" t="s">
        <v>276</v>
      </c>
      <c r="E56" s="83" t="s">
        <v>315</v>
      </c>
      <c r="F56" s="14" t="s">
        <v>263</v>
      </c>
      <c r="G56" s="83" t="s">
        <v>293</v>
      </c>
      <c r="H56" s="14" t="s">
        <v>289</v>
      </c>
      <c r="I56" s="14" t="s">
        <v>209</v>
      </c>
      <c r="J56" s="14" t="s">
        <v>292</v>
      </c>
      <c r="K56" s="14" t="s">
        <v>291</v>
      </c>
      <c r="L56" s="14">
        <v>63</v>
      </c>
    </row>
    <row r="57" spans="1:13" ht="60" x14ac:dyDescent="0.25">
      <c r="A57" s="91">
        <v>45841</v>
      </c>
      <c r="B57" s="14" t="s">
        <v>256</v>
      </c>
      <c r="C57" s="14" t="s">
        <v>257</v>
      </c>
      <c r="D57" s="83" t="s">
        <v>106</v>
      </c>
      <c r="E57" s="83" t="s">
        <v>306</v>
      </c>
      <c r="F57" s="14" t="s">
        <v>258</v>
      </c>
      <c r="G57" s="83" t="s">
        <v>324</v>
      </c>
      <c r="H57" s="14" t="s">
        <v>213</v>
      </c>
      <c r="I57" s="14" t="s">
        <v>214</v>
      </c>
      <c r="J57" s="14" t="s">
        <v>260</v>
      </c>
      <c r="K57" s="14" t="s">
        <v>273</v>
      </c>
      <c r="L57" s="14">
        <v>165</v>
      </c>
    </row>
    <row r="58" spans="1:13" ht="60" x14ac:dyDescent="0.25">
      <c r="A58" s="91">
        <v>45848</v>
      </c>
      <c r="B58" s="14" t="s">
        <v>338</v>
      </c>
      <c r="C58" s="14" t="s">
        <v>280</v>
      </c>
      <c r="D58" s="83" t="s">
        <v>245</v>
      </c>
      <c r="E58" s="83" t="s">
        <v>300</v>
      </c>
      <c r="F58" s="14" t="s">
        <v>271</v>
      </c>
      <c r="G58" s="83" t="s">
        <v>320</v>
      </c>
      <c r="H58" s="14" t="s">
        <v>337</v>
      </c>
      <c r="I58" s="14" t="s">
        <v>209</v>
      </c>
      <c r="J58" s="14" t="s">
        <v>194</v>
      </c>
      <c r="K58" s="14" t="s">
        <v>158</v>
      </c>
      <c r="L58" s="14">
        <v>110</v>
      </c>
    </row>
    <row r="59" spans="1:13" ht="60" x14ac:dyDescent="0.25">
      <c r="A59" s="91">
        <v>45854</v>
      </c>
      <c r="B59" s="14" t="s">
        <v>256</v>
      </c>
      <c r="C59" s="14" t="s">
        <v>331</v>
      </c>
      <c r="D59" s="83" t="s">
        <v>106</v>
      </c>
      <c r="E59" s="83" t="s">
        <v>306</v>
      </c>
      <c r="F59" s="14" t="s">
        <v>258</v>
      </c>
      <c r="G59" s="83" t="s">
        <v>324</v>
      </c>
      <c r="H59" s="14" t="s">
        <v>213</v>
      </c>
      <c r="I59" s="14" t="s">
        <v>214</v>
      </c>
      <c r="J59" s="14" t="s">
        <v>260</v>
      </c>
      <c r="K59" s="14" t="s">
        <v>273</v>
      </c>
      <c r="L59" s="14">
        <v>55</v>
      </c>
      <c r="M59" s="90"/>
    </row>
    <row r="60" spans="1:13" ht="45" x14ac:dyDescent="0.25">
      <c r="A60" s="91">
        <v>45854</v>
      </c>
      <c r="B60" s="14" t="s">
        <v>256</v>
      </c>
      <c r="C60" s="14" t="s">
        <v>331</v>
      </c>
      <c r="D60" s="83" t="s">
        <v>244</v>
      </c>
      <c r="E60" s="83" t="s">
        <v>305</v>
      </c>
      <c r="F60" s="14" t="s">
        <v>246</v>
      </c>
      <c r="G60" s="83" t="s">
        <v>320</v>
      </c>
      <c r="H60" s="14" t="s">
        <v>244</v>
      </c>
      <c r="I60" s="14" t="s">
        <v>209</v>
      </c>
      <c r="J60" s="14" t="s">
        <v>194</v>
      </c>
      <c r="K60" s="14" t="s">
        <v>265</v>
      </c>
      <c r="L60" s="14">
        <v>10</v>
      </c>
    </row>
    <row r="61" spans="1:13" ht="60" x14ac:dyDescent="0.25">
      <c r="A61" s="91">
        <v>45855</v>
      </c>
      <c r="B61" s="14" t="s">
        <v>338</v>
      </c>
      <c r="C61" s="14" t="s">
        <v>280</v>
      </c>
      <c r="D61" s="83" t="s">
        <v>245</v>
      </c>
      <c r="E61" s="83" t="s">
        <v>300</v>
      </c>
      <c r="F61" s="14" t="s">
        <v>271</v>
      </c>
      <c r="G61" s="83" t="s">
        <v>320</v>
      </c>
      <c r="H61" s="14" t="s">
        <v>337</v>
      </c>
      <c r="I61" s="14" t="s">
        <v>209</v>
      </c>
      <c r="J61" s="14" t="s">
        <v>194</v>
      </c>
      <c r="K61" s="14" t="s">
        <v>158</v>
      </c>
      <c r="L61" s="14">
        <v>15</v>
      </c>
    </row>
    <row r="62" spans="1:13" ht="45" x14ac:dyDescent="0.25">
      <c r="A62" s="91">
        <v>45855</v>
      </c>
      <c r="B62" s="14" t="s">
        <v>279</v>
      </c>
      <c r="C62" s="14" t="s">
        <v>280</v>
      </c>
      <c r="D62" s="83" t="s">
        <v>276</v>
      </c>
      <c r="E62" s="83" t="s">
        <v>315</v>
      </c>
      <c r="F62" s="14" t="s">
        <v>263</v>
      </c>
      <c r="G62" s="83" t="s">
        <v>293</v>
      </c>
      <c r="H62" s="14" t="s">
        <v>289</v>
      </c>
      <c r="I62" s="14" t="s">
        <v>209</v>
      </c>
      <c r="J62" s="14" t="s">
        <v>292</v>
      </c>
      <c r="K62" s="14" t="s">
        <v>291</v>
      </c>
      <c r="L62" s="14">
        <v>23</v>
      </c>
    </row>
    <row r="63" spans="1:13" ht="92.45" customHeight="1" x14ac:dyDescent="0.25">
      <c r="A63" s="91">
        <v>45862</v>
      </c>
      <c r="B63" s="14" t="s">
        <v>338</v>
      </c>
      <c r="C63" s="14" t="s">
        <v>280</v>
      </c>
      <c r="D63" s="83" t="s">
        <v>245</v>
      </c>
      <c r="E63" s="83" t="s">
        <v>300</v>
      </c>
      <c r="F63" s="14" t="s">
        <v>271</v>
      </c>
      <c r="G63" s="83" t="s">
        <v>320</v>
      </c>
      <c r="H63" s="14" t="s">
        <v>337</v>
      </c>
      <c r="I63" s="14" t="s">
        <v>209</v>
      </c>
      <c r="J63" s="14" t="s">
        <v>194</v>
      </c>
      <c r="K63" s="14" t="s">
        <v>158</v>
      </c>
      <c r="L63" s="14">
        <v>33</v>
      </c>
    </row>
    <row r="64" spans="1:13" ht="45" x14ac:dyDescent="0.25">
      <c r="A64" s="91">
        <v>45867</v>
      </c>
      <c r="B64" s="14" t="s">
        <v>330</v>
      </c>
      <c r="C64" s="14" t="s">
        <v>280</v>
      </c>
      <c r="D64" s="83" t="s">
        <v>113</v>
      </c>
      <c r="E64" s="83" t="s">
        <v>311</v>
      </c>
      <c r="F64" s="14" t="s">
        <v>311</v>
      </c>
      <c r="G64" s="83" t="s">
        <v>293</v>
      </c>
      <c r="H64" s="14" t="s">
        <v>311</v>
      </c>
      <c r="I64" s="14" t="s">
        <v>209</v>
      </c>
      <c r="J64" s="14" t="s">
        <v>292</v>
      </c>
      <c r="K64" s="14" t="s">
        <v>291</v>
      </c>
      <c r="L64" s="14">
        <v>502</v>
      </c>
    </row>
    <row r="65" spans="1:13" ht="45" x14ac:dyDescent="0.25">
      <c r="A65" s="91">
        <v>45873</v>
      </c>
      <c r="B65" s="14" t="s">
        <v>279</v>
      </c>
      <c r="C65" s="14" t="s">
        <v>280</v>
      </c>
      <c r="D65" s="83" t="s">
        <v>276</v>
      </c>
      <c r="E65" s="83" t="s">
        <v>315</v>
      </c>
      <c r="F65" s="14" t="s">
        <v>263</v>
      </c>
      <c r="G65" s="83" t="s">
        <v>293</v>
      </c>
      <c r="H65" s="14" t="s">
        <v>289</v>
      </c>
      <c r="I65" s="14" t="s">
        <v>209</v>
      </c>
      <c r="J65" s="14" t="s">
        <v>292</v>
      </c>
      <c r="K65" s="14" t="s">
        <v>291</v>
      </c>
      <c r="L65" s="14">
        <v>32</v>
      </c>
    </row>
    <row r="66" spans="1:13" ht="45" x14ac:dyDescent="0.25">
      <c r="A66" s="91">
        <v>45873</v>
      </c>
      <c r="B66" s="14" t="s">
        <v>279</v>
      </c>
      <c r="C66" s="14" t="s">
        <v>262</v>
      </c>
      <c r="D66" s="83" t="s">
        <v>276</v>
      </c>
      <c r="E66" s="83" t="s">
        <v>315</v>
      </c>
      <c r="F66" s="14" t="s">
        <v>263</v>
      </c>
      <c r="G66" s="83" t="s">
        <v>293</v>
      </c>
      <c r="H66" s="14" t="s">
        <v>289</v>
      </c>
      <c r="I66" s="14" t="s">
        <v>209</v>
      </c>
      <c r="J66" s="14" t="s">
        <v>292</v>
      </c>
      <c r="K66" s="14" t="s">
        <v>291</v>
      </c>
      <c r="L66" s="14">
        <v>4</v>
      </c>
      <c r="M66" s="89"/>
    </row>
    <row r="67" spans="1:13" ht="157.9" customHeight="1" x14ac:dyDescent="0.25">
      <c r="A67" s="91">
        <v>45874</v>
      </c>
      <c r="B67" s="91" t="s">
        <v>332</v>
      </c>
      <c r="C67" s="14" t="s">
        <v>280</v>
      </c>
      <c r="D67" s="83" t="s">
        <v>241</v>
      </c>
      <c r="E67" s="83" t="s">
        <v>307</v>
      </c>
      <c r="F67" s="14" t="s">
        <v>299</v>
      </c>
      <c r="G67" s="83" t="s">
        <v>98</v>
      </c>
      <c r="H67" s="14" t="s">
        <v>255</v>
      </c>
      <c r="I67" s="14" t="s">
        <v>209</v>
      </c>
      <c r="J67" s="14" t="s">
        <v>194</v>
      </c>
      <c r="K67" s="14" t="s">
        <v>24</v>
      </c>
      <c r="L67" s="14">
        <v>70</v>
      </c>
    </row>
    <row r="68" spans="1:13" ht="157.9" customHeight="1" x14ac:dyDescent="0.25">
      <c r="A68" s="91">
        <v>45888</v>
      </c>
      <c r="B68" s="14" t="s">
        <v>277</v>
      </c>
      <c r="C68" s="14" t="s">
        <v>281</v>
      </c>
      <c r="D68" s="83" t="s">
        <v>106</v>
      </c>
      <c r="E68" s="83" t="s">
        <v>306</v>
      </c>
      <c r="F68" s="14" t="s">
        <v>258</v>
      </c>
      <c r="G68" s="83" t="s">
        <v>322</v>
      </c>
      <c r="H68" s="14" t="s">
        <v>326</v>
      </c>
      <c r="I68" s="14" t="s">
        <v>214</v>
      </c>
      <c r="J68" s="14" t="s">
        <v>260</v>
      </c>
      <c r="K68" s="14" t="s">
        <v>24</v>
      </c>
      <c r="L68" s="14">
        <v>257</v>
      </c>
    </row>
    <row r="69" spans="1:13" ht="157.9" customHeight="1" x14ac:dyDescent="0.25">
      <c r="A69" s="91">
        <v>45888</v>
      </c>
      <c r="B69" s="14" t="s">
        <v>277</v>
      </c>
      <c r="C69" s="14" t="s">
        <v>281</v>
      </c>
      <c r="D69" s="83" t="s">
        <v>244</v>
      </c>
      <c r="E69" s="83" t="s">
        <v>305</v>
      </c>
      <c r="F69" s="14" t="s">
        <v>246</v>
      </c>
      <c r="G69" s="83" t="s">
        <v>320</v>
      </c>
      <c r="H69" s="14" t="s">
        <v>244</v>
      </c>
      <c r="I69" s="14" t="s">
        <v>209</v>
      </c>
      <c r="J69" s="14" t="s">
        <v>194</v>
      </c>
      <c r="K69" s="14" t="s">
        <v>265</v>
      </c>
      <c r="L69" s="14">
        <v>34.5</v>
      </c>
    </row>
    <row r="70" spans="1:13" ht="157.9" customHeight="1" x14ac:dyDescent="0.25">
      <c r="A70" s="91">
        <v>45888</v>
      </c>
      <c r="B70" s="14" t="s">
        <v>277</v>
      </c>
      <c r="C70" s="14" t="s">
        <v>281</v>
      </c>
      <c r="D70" s="83" t="s">
        <v>246</v>
      </c>
      <c r="E70" s="83" t="s">
        <v>305</v>
      </c>
      <c r="F70" s="14" t="s">
        <v>271</v>
      </c>
      <c r="G70" s="83" t="s">
        <v>320</v>
      </c>
      <c r="H70" s="14" t="s">
        <v>272</v>
      </c>
      <c r="I70" s="14" t="s">
        <v>209</v>
      </c>
      <c r="J70" s="14" t="s">
        <v>194</v>
      </c>
      <c r="K70" s="14" t="s">
        <v>273</v>
      </c>
      <c r="L70" s="14">
        <v>5.0999999999999996</v>
      </c>
    </row>
    <row r="71" spans="1:13" ht="157.9" customHeight="1" x14ac:dyDescent="0.25">
      <c r="A71" s="91">
        <v>45889</v>
      </c>
      <c r="B71" s="14" t="s">
        <v>279</v>
      </c>
      <c r="C71" s="14" t="s">
        <v>280</v>
      </c>
      <c r="D71" s="83" t="s">
        <v>276</v>
      </c>
      <c r="E71" s="83" t="s">
        <v>315</v>
      </c>
      <c r="F71" s="14" t="s">
        <v>263</v>
      </c>
      <c r="G71" s="83" t="s">
        <v>293</v>
      </c>
      <c r="H71" s="14" t="s">
        <v>289</v>
      </c>
      <c r="I71" s="14" t="s">
        <v>209</v>
      </c>
      <c r="J71" s="14" t="s">
        <v>292</v>
      </c>
      <c r="K71" s="14" t="s">
        <v>291</v>
      </c>
      <c r="L71" s="14">
        <v>29</v>
      </c>
    </row>
    <row r="72" spans="1:13" ht="157.9" customHeight="1" x14ac:dyDescent="0.25">
      <c r="A72" s="91">
        <v>45903</v>
      </c>
      <c r="B72" s="91" t="s">
        <v>333</v>
      </c>
      <c r="C72" s="14" t="s">
        <v>334</v>
      </c>
      <c r="D72" s="83" t="s">
        <v>241</v>
      </c>
      <c r="E72" s="83" t="s">
        <v>307</v>
      </c>
      <c r="F72" s="14" t="s">
        <v>299</v>
      </c>
      <c r="G72" s="83" t="s">
        <v>98</v>
      </c>
      <c r="H72" s="14" t="s">
        <v>255</v>
      </c>
      <c r="I72" s="14" t="s">
        <v>209</v>
      </c>
      <c r="J72" s="14" t="s">
        <v>194</v>
      </c>
      <c r="K72" s="14" t="s">
        <v>24</v>
      </c>
      <c r="L72" s="14">
        <v>135</v>
      </c>
    </row>
    <row r="73" spans="1:13" ht="157.9" customHeight="1" x14ac:dyDescent="0.25">
      <c r="A73" s="91">
        <v>45904</v>
      </c>
      <c r="B73" s="14" t="s">
        <v>279</v>
      </c>
      <c r="C73" s="14" t="s">
        <v>280</v>
      </c>
      <c r="D73" s="83" t="s">
        <v>276</v>
      </c>
      <c r="E73" s="83" t="s">
        <v>315</v>
      </c>
      <c r="F73" s="14" t="s">
        <v>263</v>
      </c>
      <c r="G73" s="83" t="s">
        <v>293</v>
      </c>
      <c r="H73" s="14" t="s">
        <v>289</v>
      </c>
      <c r="I73" s="14" t="s">
        <v>209</v>
      </c>
      <c r="J73" s="14" t="s">
        <v>292</v>
      </c>
      <c r="K73" s="14" t="s">
        <v>291</v>
      </c>
      <c r="L73" s="14">
        <v>46</v>
      </c>
    </row>
    <row r="74" spans="1:13" ht="60" x14ac:dyDescent="0.25">
      <c r="A74" s="91">
        <v>45912</v>
      </c>
      <c r="B74" s="14" t="s">
        <v>277</v>
      </c>
      <c r="C74" s="14" t="s">
        <v>280</v>
      </c>
      <c r="D74" s="83" t="s">
        <v>245</v>
      </c>
      <c r="E74" s="83" t="s">
        <v>300</v>
      </c>
      <c r="F74" s="14" t="s">
        <v>271</v>
      </c>
      <c r="G74" s="83" t="s">
        <v>320</v>
      </c>
      <c r="H74" s="14" t="s">
        <v>337</v>
      </c>
      <c r="I74" s="14" t="s">
        <v>209</v>
      </c>
      <c r="J74" s="14" t="s">
        <v>194</v>
      </c>
      <c r="K74" s="14" t="s">
        <v>158</v>
      </c>
      <c r="L74" s="14">
        <v>627.20000000000005</v>
      </c>
    </row>
    <row r="75" spans="1:13" ht="60" x14ac:dyDescent="0.25">
      <c r="A75" s="91">
        <v>45912</v>
      </c>
      <c r="B75" s="14" t="s">
        <v>277</v>
      </c>
      <c r="C75" s="14" t="s">
        <v>280</v>
      </c>
      <c r="D75" s="83" t="s">
        <v>245</v>
      </c>
      <c r="E75" s="83" t="s">
        <v>300</v>
      </c>
      <c r="F75" s="14" t="s">
        <v>271</v>
      </c>
      <c r="G75" s="83" t="s">
        <v>320</v>
      </c>
      <c r="H75" s="14" t="s">
        <v>337</v>
      </c>
      <c r="I75" s="14" t="s">
        <v>209</v>
      </c>
      <c r="J75" s="14" t="s">
        <v>194</v>
      </c>
      <c r="K75" s="14" t="s">
        <v>158</v>
      </c>
      <c r="L75" s="14">
        <v>627.20000000000005</v>
      </c>
    </row>
    <row r="76" spans="1:13" ht="45" x14ac:dyDescent="0.25">
      <c r="A76" s="91">
        <v>45919</v>
      </c>
      <c r="B76" s="14" t="s">
        <v>279</v>
      </c>
      <c r="C76" s="14" t="s">
        <v>280</v>
      </c>
      <c r="D76" s="83" t="s">
        <v>276</v>
      </c>
      <c r="E76" s="83" t="s">
        <v>315</v>
      </c>
      <c r="F76" s="14" t="s">
        <v>263</v>
      </c>
      <c r="G76" s="83" t="s">
        <v>293</v>
      </c>
      <c r="H76" s="14" t="s">
        <v>289</v>
      </c>
      <c r="I76" s="14" t="s">
        <v>209</v>
      </c>
      <c r="J76" s="14" t="s">
        <v>292</v>
      </c>
      <c r="K76" s="14" t="s">
        <v>291</v>
      </c>
      <c r="L76" s="14">
        <v>48</v>
      </c>
      <c r="M76" s="73"/>
    </row>
    <row r="77" spans="1:13" ht="60" x14ac:dyDescent="0.25">
      <c r="A77" s="91">
        <v>45924</v>
      </c>
      <c r="B77" s="14" t="s">
        <v>277</v>
      </c>
      <c r="C77" s="14" t="s">
        <v>280</v>
      </c>
      <c r="D77" s="83" t="s">
        <v>106</v>
      </c>
      <c r="E77" s="83" t="s">
        <v>306</v>
      </c>
      <c r="F77" s="14" t="s">
        <v>258</v>
      </c>
      <c r="G77" s="83" t="s">
        <v>322</v>
      </c>
      <c r="H77" s="14" t="s">
        <v>326</v>
      </c>
      <c r="I77" s="14" t="s">
        <v>214</v>
      </c>
      <c r="J77" s="14" t="s">
        <v>260</v>
      </c>
      <c r="K77" s="14" t="s">
        <v>24</v>
      </c>
      <c r="L77" s="14">
        <v>310</v>
      </c>
      <c r="M77" s="73"/>
    </row>
    <row r="78" spans="1:13" ht="60" x14ac:dyDescent="0.25">
      <c r="A78" s="91">
        <v>45924</v>
      </c>
      <c r="B78" s="14" t="s">
        <v>277</v>
      </c>
      <c r="C78" s="14" t="s">
        <v>280</v>
      </c>
      <c r="D78" s="83" t="s">
        <v>106</v>
      </c>
      <c r="E78" s="83" t="s">
        <v>306</v>
      </c>
      <c r="F78" s="14" t="s">
        <v>258</v>
      </c>
      <c r="G78" s="83" t="s">
        <v>91</v>
      </c>
      <c r="H78" s="14" t="s">
        <v>213</v>
      </c>
      <c r="I78" s="14" t="s">
        <v>214</v>
      </c>
      <c r="J78" s="14" t="s">
        <v>260</v>
      </c>
      <c r="K78" s="14" t="s">
        <v>259</v>
      </c>
      <c r="L78" s="14">
        <v>310</v>
      </c>
    </row>
    <row r="79" spans="1:13" ht="75" x14ac:dyDescent="0.25">
      <c r="A79" s="91">
        <v>45925</v>
      </c>
      <c r="B79" s="14" t="s">
        <v>277</v>
      </c>
      <c r="C79" s="14" t="s">
        <v>281</v>
      </c>
      <c r="D79" s="83" t="s">
        <v>327</v>
      </c>
      <c r="E79" s="83" t="s">
        <v>325</v>
      </c>
      <c r="F79" s="14" t="s">
        <v>287</v>
      </c>
      <c r="G79" s="83" t="s">
        <v>319</v>
      </c>
      <c r="H79" s="14" t="s">
        <v>287</v>
      </c>
      <c r="I79" s="14" t="s">
        <v>209</v>
      </c>
      <c r="J79" s="14" t="s">
        <v>194</v>
      </c>
      <c r="K79" s="14" t="s">
        <v>290</v>
      </c>
      <c r="L79" s="14">
        <v>2</v>
      </c>
      <c r="M79" s="73"/>
    </row>
    <row r="80" spans="1:13" ht="45" x14ac:dyDescent="0.25">
      <c r="A80" s="91">
        <v>45925</v>
      </c>
      <c r="B80" s="14" t="s">
        <v>277</v>
      </c>
      <c r="C80" s="14" t="s">
        <v>281</v>
      </c>
      <c r="D80" s="83" t="s">
        <v>249</v>
      </c>
      <c r="E80" s="83" t="s">
        <v>305</v>
      </c>
      <c r="F80" s="14" t="s">
        <v>249</v>
      </c>
      <c r="G80" s="83" t="s">
        <v>323</v>
      </c>
      <c r="H80" s="14" t="s">
        <v>249</v>
      </c>
      <c r="I80" s="14" t="s">
        <v>209</v>
      </c>
      <c r="J80" s="14" t="s">
        <v>194</v>
      </c>
      <c r="K80" s="14" t="s">
        <v>14</v>
      </c>
      <c r="L80" s="14">
        <v>5</v>
      </c>
      <c r="M80" s="73"/>
    </row>
    <row r="81" spans="1:13" ht="45" x14ac:dyDescent="0.25">
      <c r="A81" s="91">
        <v>45925</v>
      </c>
      <c r="B81" s="14" t="s">
        <v>277</v>
      </c>
      <c r="C81" s="14" t="s">
        <v>281</v>
      </c>
      <c r="D81" s="83" t="s">
        <v>283</v>
      </c>
      <c r="E81" s="83" t="s">
        <v>312</v>
      </c>
      <c r="F81" s="14" t="s">
        <v>285</v>
      </c>
      <c r="G81" s="83" t="s">
        <v>293</v>
      </c>
      <c r="H81" s="14" t="s">
        <v>285</v>
      </c>
      <c r="I81" s="14" t="s">
        <v>209</v>
      </c>
      <c r="J81" s="14" t="s">
        <v>194</v>
      </c>
      <c r="K81" s="14" t="s">
        <v>24</v>
      </c>
      <c r="L81" s="14">
        <v>13</v>
      </c>
      <c r="M81" s="73"/>
    </row>
    <row r="82" spans="1:13" ht="45" x14ac:dyDescent="0.25">
      <c r="A82" s="91">
        <v>45925</v>
      </c>
      <c r="B82" s="14" t="s">
        <v>277</v>
      </c>
      <c r="C82" s="14" t="s">
        <v>281</v>
      </c>
      <c r="D82" s="83" t="s">
        <v>244</v>
      </c>
      <c r="E82" s="83" t="s">
        <v>305</v>
      </c>
      <c r="F82" s="14" t="s">
        <v>246</v>
      </c>
      <c r="G82" s="83" t="s">
        <v>320</v>
      </c>
      <c r="H82" s="14" t="s">
        <v>244</v>
      </c>
      <c r="I82" s="14" t="s">
        <v>209</v>
      </c>
      <c r="J82" s="14" t="s">
        <v>194</v>
      </c>
      <c r="K82" s="14" t="s">
        <v>265</v>
      </c>
      <c r="L82" s="14">
        <v>11</v>
      </c>
      <c r="M82" s="73"/>
    </row>
    <row r="83" spans="1:13" ht="60" x14ac:dyDescent="0.25">
      <c r="A83" s="91">
        <v>45925</v>
      </c>
      <c r="B83" s="14" t="s">
        <v>277</v>
      </c>
      <c r="C83" s="14" t="s">
        <v>281</v>
      </c>
      <c r="D83" s="83" t="s">
        <v>106</v>
      </c>
      <c r="E83" s="83" t="s">
        <v>306</v>
      </c>
      <c r="F83" s="14" t="s">
        <v>258</v>
      </c>
      <c r="G83" s="83" t="s">
        <v>322</v>
      </c>
      <c r="H83" s="14" t="s">
        <v>326</v>
      </c>
      <c r="I83" s="14" t="s">
        <v>214</v>
      </c>
      <c r="J83" s="14" t="s">
        <v>260</v>
      </c>
      <c r="K83" s="14" t="s">
        <v>24</v>
      </c>
      <c r="L83" s="14">
        <v>271.2</v>
      </c>
      <c r="M83" s="73"/>
    </row>
    <row r="84" spans="1:13" ht="60" x14ac:dyDescent="0.25">
      <c r="A84" s="91">
        <v>45925</v>
      </c>
      <c r="B84" s="14" t="s">
        <v>277</v>
      </c>
      <c r="C84" s="14" t="s">
        <v>281</v>
      </c>
      <c r="D84" s="83" t="s">
        <v>106</v>
      </c>
      <c r="E84" s="83" t="s">
        <v>306</v>
      </c>
      <c r="F84" s="14" t="s">
        <v>258</v>
      </c>
      <c r="G84" s="83" t="s">
        <v>91</v>
      </c>
      <c r="H84" s="14" t="s">
        <v>213</v>
      </c>
      <c r="I84" s="14" t="s">
        <v>214</v>
      </c>
      <c r="J84" s="14" t="s">
        <v>260</v>
      </c>
      <c r="K84" s="14" t="s">
        <v>259</v>
      </c>
      <c r="L84" s="14">
        <v>271.2</v>
      </c>
    </row>
    <row r="85" spans="1:13" ht="75" x14ac:dyDescent="0.25">
      <c r="A85" s="91">
        <v>45925</v>
      </c>
      <c r="B85" s="14" t="s">
        <v>277</v>
      </c>
      <c r="C85" s="14" t="s">
        <v>281</v>
      </c>
      <c r="D85" s="83" t="s">
        <v>327</v>
      </c>
      <c r="E85" s="83" t="s">
        <v>325</v>
      </c>
      <c r="F85" s="14" t="s">
        <v>287</v>
      </c>
      <c r="G85" s="83" t="s">
        <v>319</v>
      </c>
      <c r="H85" s="14" t="s">
        <v>287</v>
      </c>
      <c r="I85" s="14" t="s">
        <v>209</v>
      </c>
      <c r="J85" s="14" t="s">
        <v>194</v>
      </c>
      <c r="K85" s="14" t="s">
        <v>290</v>
      </c>
      <c r="L85" s="14">
        <v>2</v>
      </c>
    </row>
    <row r="86" spans="1:13" ht="45" x14ac:dyDescent="0.25">
      <c r="A86" s="91">
        <v>45925</v>
      </c>
      <c r="B86" s="14" t="s">
        <v>277</v>
      </c>
      <c r="C86" s="14" t="s">
        <v>281</v>
      </c>
      <c r="D86" s="83" t="s">
        <v>249</v>
      </c>
      <c r="E86" s="83" t="s">
        <v>305</v>
      </c>
      <c r="F86" s="14" t="s">
        <v>249</v>
      </c>
      <c r="G86" s="83" t="s">
        <v>323</v>
      </c>
      <c r="H86" s="14" t="s">
        <v>249</v>
      </c>
      <c r="I86" s="14" t="s">
        <v>209</v>
      </c>
      <c r="J86" s="14" t="s">
        <v>194</v>
      </c>
      <c r="K86" s="14" t="s">
        <v>14</v>
      </c>
      <c r="L86" s="14">
        <v>5</v>
      </c>
    </row>
    <row r="87" spans="1:13" ht="45" x14ac:dyDescent="0.25">
      <c r="A87" s="91">
        <v>45925</v>
      </c>
      <c r="B87" s="14" t="s">
        <v>277</v>
      </c>
      <c r="C87" s="14" t="s">
        <v>281</v>
      </c>
      <c r="D87" s="83" t="s">
        <v>283</v>
      </c>
      <c r="E87" s="83" t="s">
        <v>312</v>
      </c>
      <c r="F87" s="14" t="s">
        <v>285</v>
      </c>
      <c r="G87" s="83" t="s">
        <v>293</v>
      </c>
      <c r="H87" s="14" t="s">
        <v>285</v>
      </c>
      <c r="I87" s="14" t="s">
        <v>209</v>
      </c>
      <c r="J87" s="14" t="s">
        <v>194</v>
      </c>
      <c r="K87" s="14" t="s">
        <v>24</v>
      </c>
      <c r="L87" s="14">
        <v>13</v>
      </c>
    </row>
    <row r="88" spans="1:13" ht="45" x14ac:dyDescent="0.25">
      <c r="A88" s="91">
        <v>45925</v>
      </c>
      <c r="B88" s="14" t="s">
        <v>277</v>
      </c>
      <c r="C88" s="14" t="s">
        <v>281</v>
      </c>
      <c r="D88" s="83" t="s">
        <v>244</v>
      </c>
      <c r="E88" s="83" t="s">
        <v>305</v>
      </c>
      <c r="F88" s="14" t="s">
        <v>246</v>
      </c>
      <c r="G88" s="83" t="s">
        <v>320</v>
      </c>
      <c r="H88" s="14" t="s">
        <v>244</v>
      </c>
      <c r="I88" s="14" t="s">
        <v>209</v>
      </c>
      <c r="J88" s="14" t="s">
        <v>194</v>
      </c>
      <c r="K88" s="14" t="s">
        <v>265</v>
      </c>
      <c r="L88" s="14">
        <v>11</v>
      </c>
    </row>
    <row r="89" spans="1:13" ht="45" x14ac:dyDescent="0.25">
      <c r="A89" s="91">
        <v>45937</v>
      </c>
      <c r="B89" s="14" t="s">
        <v>339</v>
      </c>
      <c r="C89" s="14" t="s">
        <v>280</v>
      </c>
      <c r="D89" s="83" t="s">
        <v>276</v>
      </c>
      <c r="E89" s="83" t="s">
        <v>315</v>
      </c>
      <c r="F89" s="14" t="s">
        <v>263</v>
      </c>
      <c r="G89" s="83" t="s">
        <v>293</v>
      </c>
      <c r="H89" s="14" t="s">
        <v>289</v>
      </c>
      <c r="I89" s="14" t="s">
        <v>209</v>
      </c>
      <c r="J89" s="14" t="s">
        <v>292</v>
      </c>
      <c r="K89" s="14" t="s">
        <v>291</v>
      </c>
      <c r="L89" s="14">
        <v>25</v>
      </c>
    </row>
    <row r="90" spans="1:13" ht="60" x14ac:dyDescent="0.25">
      <c r="A90" s="91">
        <v>45945</v>
      </c>
      <c r="B90" s="14" t="s">
        <v>335</v>
      </c>
      <c r="C90" s="14" t="s">
        <v>336</v>
      </c>
      <c r="D90" s="83" t="s">
        <v>106</v>
      </c>
      <c r="E90" s="83" t="s">
        <v>306</v>
      </c>
      <c r="F90" s="14" t="s">
        <v>258</v>
      </c>
      <c r="G90" s="83" t="s">
        <v>322</v>
      </c>
      <c r="H90" s="14" t="s">
        <v>326</v>
      </c>
      <c r="I90" s="14" t="s">
        <v>214</v>
      </c>
      <c r="J90" s="14" t="s">
        <v>260</v>
      </c>
      <c r="K90" s="14" t="s">
        <v>24</v>
      </c>
      <c r="L90" s="14">
        <v>58</v>
      </c>
    </row>
    <row r="91" spans="1:13" ht="60" x14ac:dyDescent="0.25">
      <c r="A91" s="91">
        <v>45945</v>
      </c>
      <c r="B91" s="14" t="s">
        <v>278</v>
      </c>
      <c r="C91" s="5" t="s">
        <v>282</v>
      </c>
      <c r="D91" s="83" t="s">
        <v>106</v>
      </c>
      <c r="E91" s="83" t="s">
        <v>306</v>
      </c>
      <c r="F91" s="14" t="s">
        <v>258</v>
      </c>
      <c r="G91" s="83" t="s">
        <v>322</v>
      </c>
      <c r="H91" s="14" t="s">
        <v>288</v>
      </c>
      <c r="I91" s="14" t="s">
        <v>214</v>
      </c>
      <c r="J91" s="14" t="s">
        <v>260</v>
      </c>
      <c r="K91" s="14" t="s">
        <v>24</v>
      </c>
      <c r="L91" s="14">
        <v>58</v>
      </c>
    </row>
    <row r="92" spans="1:13" ht="45" x14ac:dyDescent="0.25">
      <c r="A92" s="91">
        <v>45958</v>
      </c>
      <c r="B92" s="14" t="s">
        <v>339</v>
      </c>
      <c r="C92" s="14" t="s">
        <v>280</v>
      </c>
      <c r="D92" s="83" t="s">
        <v>276</v>
      </c>
      <c r="E92" s="83" t="s">
        <v>315</v>
      </c>
      <c r="F92" s="14" t="s">
        <v>263</v>
      </c>
      <c r="G92" s="83" t="s">
        <v>293</v>
      </c>
      <c r="H92" s="14" t="s">
        <v>289</v>
      </c>
      <c r="I92" s="14" t="s">
        <v>209</v>
      </c>
      <c r="J92" s="14" t="s">
        <v>292</v>
      </c>
      <c r="K92" s="14" t="s">
        <v>291</v>
      </c>
      <c r="L92" s="14">
        <v>24</v>
      </c>
    </row>
    <row r="93" spans="1:13" ht="45" x14ac:dyDescent="0.25">
      <c r="A93" s="91">
        <v>45960</v>
      </c>
      <c r="B93" s="14" t="s">
        <v>330</v>
      </c>
      <c r="C93" s="14" t="s">
        <v>280</v>
      </c>
      <c r="D93" s="83" t="s">
        <v>113</v>
      </c>
      <c r="E93" s="83" t="s">
        <v>311</v>
      </c>
      <c r="F93" s="14" t="s">
        <v>311</v>
      </c>
      <c r="G93" s="83" t="s">
        <v>293</v>
      </c>
      <c r="H93" s="14" t="s">
        <v>311</v>
      </c>
      <c r="I93" s="14" t="s">
        <v>209</v>
      </c>
      <c r="J93" s="14" t="s">
        <v>292</v>
      </c>
      <c r="K93" s="14" t="s">
        <v>291</v>
      </c>
      <c r="L93" s="14">
        <v>459</v>
      </c>
    </row>
  </sheetData>
  <sortState xmlns:xlrd2="http://schemas.microsoft.com/office/spreadsheetml/2017/richdata2" ref="A2:M93">
    <sortCondition ref="A2:A93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3A326EB-0D7C-4782-AD88-8925B2E560B3}">
          <x14:formula1>
            <xm:f>'INFORMACIÓN BASE 2025'!$H$2:$H$15</xm:f>
          </x14:formula1>
          <xm:sqref>D74:D86 D89:D93 D5:D66</xm:sqref>
        </x14:dataValidation>
        <x14:dataValidation type="list" allowBlank="1" showInputMessage="1" showErrorMessage="1" xr:uid="{91837A77-C33F-42E1-AD8B-085B9EB594D1}">
          <x14:formula1>
            <xm:f>'INFORMACIÓN BASE 2025'!$B$2:$B$26</xm:f>
          </x14:formula1>
          <xm:sqref>E74:E86 E89:E93 E5:E66</xm:sqref>
        </x14:dataValidation>
        <x14:dataValidation type="list" allowBlank="1" showInputMessage="1" showErrorMessage="1" xr:uid="{4CFC20FB-6909-4176-9ED3-BEB725B3F40A}">
          <x14:formula1>
            <xm:f>'INFORMACIÓN BASE 2025'!$C$2:$C$26</xm:f>
          </x14:formula1>
          <xm:sqref>G74:G86 G89:G93 G5:G66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7BD7-0716-4EEB-A408-52D115D22F34}">
  <dimension ref="A1:K36"/>
  <sheetViews>
    <sheetView topLeftCell="A2" zoomScale="66" zoomScaleNormal="66" workbookViewId="0">
      <selection activeCell="B26" sqref="B26"/>
    </sheetView>
  </sheetViews>
  <sheetFormatPr baseColWidth="10" defaultColWidth="11.42578125" defaultRowHeight="15" x14ac:dyDescent="0.25"/>
  <cols>
    <col min="1" max="1" width="32.7109375" style="51" customWidth="1"/>
    <col min="2" max="2" width="49.28515625" style="4" customWidth="1"/>
    <col min="3" max="3" width="47.85546875" style="4" customWidth="1"/>
    <col min="4" max="4" width="21.85546875" customWidth="1"/>
    <col min="5" max="5" width="18.140625" customWidth="1"/>
    <col min="6" max="6" width="22.7109375" customWidth="1"/>
    <col min="7" max="7" width="29.28515625" customWidth="1"/>
    <col min="8" max="8" width="29.140625" customWidth="1"/>
    <col min="10" max="10" width="26.85546875" customWidth="1"/>
    <col min="11" max="11" width="13" customWidth="1"/>
  </cols>
  <sheetData>
    <row r="1" spans="1:11" x14ac:dyDescent="0.25">
      <c r="A1" s="74" t="s">
        <v>191</v>
      </c>
      <c r="B1" s="74" t="s">
        <v>192</v>
      </c>
      <c r="C1" s="74" t="s">
        <v>81</v>
      </c>
    </row>
    <row r="2" spans="1:11" ht="30" x14ac:dyDescent="0.25">
      <c r="A2" s="81" t="s">
        <v>301</v>
      </c>
      <c r="B2" s="87" t="s">
        <v>300</v>
      </c>
      <c r="C2" s="85" t="s">
        <v>324</v>
      </c>
      <c r="G2" t="s">
        <v>104</v>
      </c>
      <c r="H2" t="s">
        <v>106</v>
      </c>
      <c r="J2" s="10" t="s">
        <v>80</v>
      </c>
      <c r="K2" s="10" t="s">
        <v>81</v>
      </c>
    </row>
    <row r="3" spans="1:11" ht="45" x14ac:dyDescent="0.25">
      <c r="A3" s="65" t="s">
        <v>83</v>
      </c>
      <c r="B3" s="8" t="s">
        <v>86</v>
      </c>
      <c r="C3" s="8" t="s">
        <v>87</v>
      </c>
      <c r="G3" t="s">
        <v>105</v>
      </c>
      <c r="H3" t="s">
        <v>241</v>
      </c>
      <c r="J3" s="8" t="s">
        <v>82</v>
      </c>
      <c r="K3" s="5">
        <v>64114</v>
      </c>
    </row>
    <row r="4" spans="1:11" ht="30" x14ac:dyDescent="0.25">
      <c r="A4" s="65" t="s">
        <v>83</v>
      </c>
      <c r="B4" s="9" t="s">
        <v>88</v>
      </c>
      <c r="C4" s="8" t="s">
        <v>308</v>
      </c>
      <c r="H4" t="s">
        <v>108</v>
      </c>
    </row>
    <row r="5" spans="1:11" ht="45" x14ac:dyDescent="0.25">
      <c r="A5" s="65"/>
      <c r="B5" s="9"/>
      <c r="C5" s="8"/>
      <c r="H5" s="51" t="s">
        <v>327</v>
      </c>
    </row>
    <row r="6" spans="1:11" ht="45" x14ac:dyDescent="0.25">
      <c r="A6" s="86" t="s">
        <v>90</v>
      </c>
      <c r="B6" s="87" t="s">
        <v>303</v>
      </c>
      <c r="C6" s="87" t="s">
        <v>323</v>
      </c>
      <c r="H6" t="s">
        <v>244</v>
      </c>
    </row>
    <row r="7" spans="1:11" x14ac:dyDescent="0.25">
      <c r="A7" s="65" t="s">
        <v>294</v>
      </c>
      <c r="B7" s="9"/>
      <c r="C7" t="s">
        <v>275</v>
      </c>
      <c r="H7" t="s">
        <v>246</v>
      </c>
    </row>
    <row r="8" spans="1:11" x14ac:dyDescent="0.25">
      <c r="A8" s="65" t="s">
        <v>284</v>
      </c>
      <c r="B8" s="9"/>
      <c r="C8" t="s">
        <v>296</v>
      </c>
      <c r="H8" t="s">
        <v>244</v>
      </c>
    </row>
    <row r="9" spans="1:11" x14ac:dyDescent="0.25">
      <c r="A9" s="65" t="s">
        <v>295</v>
      </c>
      <c r="B9" s="9"/>
      <c r="C9" t="s">
        <v>297</v>
      </c>
      <c r="H9" t="s">
        <v>283</v>
      </c>
    </row>
    <row r="10" spans="1:11" ht="30" x14ac:dyDescent="0.25">
      <c r="A10" s="86" t="s">
        <v>304</v>
      </c>
      <c r="B10" s="87" t="s">
        <v>305</v>
      </c>
      <c r="C10" s="87" t="s">
        <v>323</v>
      </c>
      <c r="H10" t="s">
        <v>245</v>
      </c>
    </row>
    <row r="11" spans="1:11" ht="30" x14ac:dyDescent="0.25">
      <c r="A11" s="65" t="s">
        <v>90</v>
      </c>
      <c r="B11" s="9" t="s">
        <v>93</v>
      </c>
      <c r="C11" s="8" t="s">
        <v>94</v>
      </c>
      <c r="H11" t="s">
        <v>276</v>
      </c>
    </row>
    <row r="12" spans="1:11" ht="30" x14ac:dyDescent="0.25">
      <c r="A12" s="65" t="s">
        <v>284</v>
      </c>
      <c r="B12" s="9" t="s">
        <v>84</v>
      </c>
      <c r="C12" s="8" t="s">
        <v>91</v>
      </c>
      <c r="H12" t="s">
        <v>284</v>
      </c>
    </row>
    <row r="13" spans="1:11" ht="30" x14ac:dyDescent="0.25">
      <c r="A13" s="86" t="s">
        <v>95</v>
      </c>
      <c r="B13" s="87" t="s">
        <v>306</v>
      </c>
      <c r="C13" s="87" t="s">
        <v>322</v>
      </c>
      <c r="H13" t="s">
        <v>249</v>
      </c>
    </row>
    <row r="14" spans="1:11" ht="30" x14ac:dyDescent="0.25">
      <c r="A14" s="65" t="s">
        <v>95</v>
      </c>
      <c r="B14" s="9" t="s">
        <v>93</v>
      </c>
      <c r="C14" s="8" t="s">
        <v>97</v>
      </c>
      <c r="H14" t="s">
        <v>113</v>
      </c>
    </row>
    <row r="15" spans="1:11" ht="30" x14ac:dyDescent="0.25">
      <c r="A15" s="86" t="s">
        <v>70</v>
      </c>
      <c r="B15" s="88" t="s">
        <v>307</v>
      </c>
      <c r="C15" s="87" t="s">
        <v>321</v>
      </c>
      <c r="H15" t="s">
        <v>269</v>
      </c>
    </row>
    <row r="16" spans="1:11" ht="38.25" customHeight="1" x14ac:dyDescent="0.25">
      <c r="A16" s="65" t="s">
        <v>70</v>
      </c>
      <c r="B16" s="8" t="s">
        <v>86</v>
      </c>
      <c r="C16" s="8" t="s">
        <v>98</v>
      </c>
      <c r="H16" t="s">
        <v>241</v>
      </c>
    </row>
    <row r="17" spans="1:8" ht="30" x14ac:dyDescent="0.25">
      <c r="A17" s="65" t="s">
        <v>70</v>
      </c>
      <c r="B17" s="9" t="s">
        <v>93</v>
      </c>
      <c r="C17" s="8" t="s">
        <v>99</v>
      </c>
      <c r="H17" t="s">
        <v>242</v>
      </c>
    </row>
    <row r="18" spans="1:8" ht="30" x14ac:dyDescent="0.25">
      <c r="A18" s="86" t="s">
        <v>309</v>
      </c>
      <c r="B18" s="88" t="s">
        <v>310</v>
      </c>
      <c r="C18" s="87" t="s">
        <v>320</v>
      </c>
      <c r="H18" t="s">
        <v>243</v>
      </c>
    </row>
    <row r="19" spans="1:8" ht="30" x14ac:dyDescent="0.25">
      <c r="A19" s="86" t="s">
        <v>327</v>
      </c>
      <c r="B19" s="85" t="s">
        <v>325</v>
      </c>
      <c r="C19" s="84" t="s">
        <v>319</v>
      </c>
    </row>
    <row r="20" spans="1:8" ht="45" x14ac:dyDescent="0.25">
      <c r="A20" s="65" t="s">
        <v>100</v>
      </c>
      <c r="B20" s="8" t="s">
        <v>86</v>
      </c>
      <c r="C20" s="8" t="s">
        <v>101</v>
      </c>
      <c r="H20" t="s">
        <v>244</v>
      </c>
    </row>
    <row r="21" spans="1:8" ht="30" x14ac:dyDescent="0.25">
      <c r="A21" s="65" t="s">
        <v>100</v>
      </c>
      <c r="B21" s="9" t="s">
        <v>93</v>
      </c>
      <c r="C21" s="8" t="s">
        <v>102</v>
      </c>
      <c r="H21" t="s">
        <v>245</v>
      </c>
    </row>
    <row r="22" spans="1:8" x14ac:dyDescent="0.25">
      <c r="A22" s="86" t="s">
        <v>296</v>
      </c>
      <c r="B22" s="88" t="s">
        <v>315</v>
      </c>
      <c r="C22" s="87" t="s">
        <v>293</v>
      </c>
      <c r="H22" t="s">
        <v>111</v>
      </c>
    </row>
    <row r="23" spans="1:8" x14ac:dyDescent="0.25">
      <c r="A23" t="s">
        <v>316</v>
      </c>
      <c r="B23" t="s">
        <v>317</v>
      </c>
      <c r="C23" t="s">
        <v>302</v>
      </c>
      <c r="H23" t="s">
        <v>283</v>
      </c>
    </row>
    <row r="24" spans="1:8" x14ac:dyDescent="0.25">
      <c r="A24" s="84" t="s">
        <v>313</v>
      </c>
      <c r="B24" s="84" t="s">
        <v>314</v>
      </c>
      <c r="C24" s="87" t="s">
        <v>293</v>
      </c>
      <c r="H24" t="s">
        <v>243</v>
      </c>
    </row>
    <row r="25" spans="1:8" x14ac:dyDescent="0.25">
      <c r="A25" s="84" t="s">
        <v>285</v>
      </c>
      <c r="B25" s="84" t="s">
        <v>312</v>
      </c>
      <c r="C25" s="85" t="s">
        <v>293</v>
      </c>
      <c r="H25" t="s">
        <v>298</v>
      </c>
    </row>
    <row r="26" spans="1:8" x14ac:dyDescent="0.25">
      <c r="A26" s="86" t="s">
        <v>286</v>
      </c>
      <c r="B26" s="88" t="s">
        <v>311</v>
      </c>
      <c r="C26" s="87" t="s">
        <v>293</v>
      </c>
      <c r="H26" t="s">
        <v>246</v>
      </c>
    </row>
    <row r="27" spans="1:8" ht="30.75" customHeight="1" x14ac:dyDescent="0.25">
      <c r="H27" t="s">
        <v>243</v>
      </c>
    </row>
    <row r="28" spans="1:8" ht="31.5" x14ac:dyDescent="0.25">
      <c r="A28" s="75" t="s">
        <v>195</v>
      </c>
      <c r="B28" s="75" t="s">
        <v>196</v>
      </c>
      <c r="C28" s="76" t="s">
        <v>197</v>
      </c>
      <c r="D28" s="76" t="s">
        <v>198</v>
      </c>
      <c r="E28" s="81" t="s">
        <v>199</v>
      </c>
      <c r="F28" s="76" t="s">
        <v>200</v>
      </c>
      <c r="G28" s="76" t="s">
        <v>201</v>
      </c>
      <c r="H28" t="s">
        <v>247</v>
      </c>
    </row>
    <row r="29" spans="1:8" ht="117.6" customHeight="1" x14ac:dyDescent="0.25">
      <c r="A29" s="78" t="s">
        <v>202</v>
      </c>
      <c r="B29" s="78" t="s">
        <v>235</v>
      </c>
      <c r="C29" s="78" t="s">
        <v>203</v>
      </c>
      <c r="D29" s="79" t="s">
        <v>204</v>
      </c>
      <c r="E29" s="79" t="s">
        <v>205</v>
      </c>
      <c r="F29" s="78" t="s">
        <v>206</v>
      </c>
      <c r="G29" s="78" t="s">
        <v>207</v>
      </c>
      <c r="H29" t="s">
        <v>293</v>
      </c>
    </row>
    <row r="30" spans="1:8" ht="100.9" customHeight="1" x14ac:dyDescent="0.25">
      <c r="A30" s="78" t="s">
        <v>208</v>
      </c>
      <c r="B30" s="78" t="s">
        <v>233</v>
      </c>
      <c r="C30" s="78" t="s">
        <v>31</v>
      </c>
      <c r="D30" s="79" t="s">
        <v>209</v>
      </c>
      <c r="E30" s="79" t="s">
        <v>210</v>
      </c>
      <c r="F30" s="78" t="s">
        <v>211</v>
      </c>
      <c r="G30" s="78" t="s">
        <v>212</v>
      </c>
      <c r="H30" t="s">
        <v>243</v>
      </c>
    </row>
    <row r="31" spans="1:8" ht="78" customHeight="1" x14ac:dyDescent="0.25">
      <c r="A31" s="78" t="s">
        <v>213</v>
      </c>
      <c r="B31" s="78" t="s">
        <v>234</v>
      </c>
      <c r="C31" s="80" t="s">
        <v>31</v>
      </c>
      <c r="D31" s="79" t="s">
        <v>214</v>
      </c>
      <c r="E31" s="79" t="s">
        <v>210</v>
      </c>
      <c r="F31" s="78" t="s">
        <v>215</v>
      </c>
      <c r="G31" s="78" t="s">
        <v>216</v>
      </c>
      <c r="H31" t="s">
        <v>248</v>
      </c>
    </row>
    <row r="32" spans="1:8" ht="84" customHeight="1" x14ac:dyDescent="0.25">
      <c r="A32" s="78" t="s">
        <v>217</v>
      </c>
      <c r="B32" s="78" t="s">
        <v>236</v>
      </c>
      <c r="C32" s="80" t="s">
        <v>218</v>
      </c>
      <c r="D32" s="79" t="s">
        <v>209</v>
      </c>
      <c r="E32" s="79" t="s">
        <v>219</v>
      </c>
      <c r="F32" s="78" t="s">
        <v>220</v>
      </c>
      <c r="G32" s="78" t="s">
        <v>221</v>
      </c>
      <c r="H32" t="s">
        <v>246</v>
      </c>
    </row>
    <row r="33" spans="1:8" ht="79.150000000000006" customHeight="1" x14ac:dyDescent="0.25">
      <c r="A33" s="78" t="s">
        <v>222</v>
      </c>
      <c r="B33" s="78" t="s">
        <v>237</v>
      </c>
      <c r="C33" s="80" t="s">
        <v>31</v>
      </c>
      <c r="D33" s="79" t="s">
        <v>209</v>
      </c>
      <c r="E33" s="79" t="s">
        <v>210</v>
      </c>
      <c r="F33" s="78" t="s">
        <v>239</v>
      </c>
      <c r="G33" s="78" t="s">
        <v>224</v>
      </c>
      <c r="H33" t="s">
        <v>243</v>
      </c>
    </row>
    <row r="34" spans="1:8" ht="97.15" customHeight="1" x14ac:dyDescent="0.25">
      <c r="A34" s="78" t="s">
        <v>225</v>
      </c>
      <c r="B34" s="78" t="s">
        <v>226</v>
      </c>
      <c r="C34" s="80" t="s">
        <v>227</v>
      </c>
      <c r="D34" s="79" t="s">
        <v>209</v>
      </c>
      <c r="E34" s="79" t="s">
        <v>228</v>
      </c>
      <c r="F34" s="78" t="s">
        <v>229</v>
      </c>
      <c r="G34" s="78" t="s">
        <v>230</v>
      </c>
      <c r="H34" t="s">
        <v>248</v>
      </c>
    </row>
    <row r="35" spans="1:8" ht="88.9" customHeight="1" x14ac:dyDescent="0.25">
      <c r="A35" s="78" t="s">
        <v>231</v>
      </c>
      <c r="B35" s="78" t="s">
        <v>238</v>
      </c>
      <c r="C35" s="80" t="s">
        <v>203</v>
      </c>
      <c r="D35" s="79" t="s">
        <v>209</v>
      </c>
      <c r="E35" s="79" t="s">
        <v>210</v>
      </c>
      <c r="F35" s="78" t="s">
        <v>223</v>
      </c>
      <c r="G35" s="77" t="s">
        <v>232</v>
      </c>
      <c r="H35" t="s">
        <v>246</v>
      </c>
    </row>
    <row r="36" spans="1:8" x14ac:dyDescent="0.25">
      <c r="H36" t="s">
        <v>243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7282-1634-45A2-87C1-909B3DA730DE}">
  <dimension ref="A2:R39"/>
  <sheetViews>
    <sheetView workbookViewId="0">
      <selection activeCell="A2" sqref="A2:XFD42"/>
    </sheetView>
  </sheetViews>
  <sheetFormatPr baseColWidth="10" defaultRowHeight="15" x14ac:dyDescent="0.25"/>
  <cols>
    <col min="2" max="2" width="30.28515625" customWidth="1"/>
    <col min="3" max="4" width="18.7109375" customWidth="1"/>
    <col min="18" max="18" width="36.140625" customWidth="1"/>
  </cols>
  <sheetData>
    <row r="2" spans="1:18" ht="26.25" x14ac:dyDescent="0.4">
      <c r="B2" s="92" t="s">
        <v>54</v>
      </c>
      <c r="C2" s="92"/>
      <c r="D2" s="92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t="s">
        <v>121</v>
      </c>
    </row>
    <row r="3" spans="1:18" x14ac:dyDescent="0.25">
      <c r="B3" s="30" t="s">
        <v>117</v>
      </c>
      <c r="C3" s="30"/>
      <c r="D3" s="30" t="s">
        <v>116</v>
      </c>
      <c r="E3" s="41">
        <v>45292</v>
      </c>
      <c r="F3" s="41">
        <v>45323</v>
      </c>
      <c r="G3" s="41">
        <v>45352</v>
      </c>
      <c r="H3" s="41">
        <v>45383</v>
      </c>
      <c r="I3" s="41">
        <v>45413</v>
      </c>
      <c r="J3" s="41">
        <v>45444</v>
      </c>
      <c r="K3" s="41">
        <v>45474</v>
      </c>
      <c r="L3" s="41">
        <v>45505</v>
      </c>
      <c r="M3" s="41">
        <v>45536</v>
      </c>
      <c r="N3" s="41">
        <v>45566</v>
      </c>
      <c r="O3" s="41">
        <v>45597</v>
      </c>
      <c r="P3" s="41">
        <v>45627</v>
      </c>
      <c r="Q3" s="1" t="s">
        <v>47</v>
      </c>
    </row>
    <row r="4" spans="1:18" s="46" customFormat="1" x14ac:dyDescent="0.25">
      <c r="A4" s="46">
        <v>3</v>
      </c>
      <c r="B4" s="47" t="s">
        <v>11</v>
      </c>
      <c r="C4" s="47" t="s">
        <v>10</v>
      </c>
      <c r="D4" s="47" t="s">
        <v>114</v>
      </c>
      <c r="E4" s="48"/>
      <c r="F4" s="48"/>
      <c r="G4" s="48">
        <v>53</v>
      </c>
      <c r="H4" s="48"/>
      <c r="I4" s="48"/>
      <c r="J4" s="48"/>
      <c r="K4" s="48"/>
      <c r="L4" s="48"/>
      <c r="M4" s="48">
        <v>225</v>
      </c>
      <c r="N4" s="48"/>
      <c r="O4" s="48"/>
      <c r="P4" s="48">
        <v>225</v>
      </c>
      <c r="Q4" s="49">
        <f>SUM(E4:P4)</f>
        <v>503</v>
      </c>
    </row>
    <row r="5" spans="1:18" s="46" customFormat="1" x14ac:dyDescent="0.25">
      <c r="A5" s="46">
        <v>1</v>
      </c>
      <c r="B5" s="47" t="s">
        <v>106</v>
      </c>
      <c r="C5" s="47" t="s">
        <v>20</v>
      </c>
      <c r="D5" s="47" t="s">
        <v>114</v>
      </c>
      <c r="E5" s="48">
        <f t="shared" ref="E5:P5" si="0">E11*1/20</f>
        <v>3.1</v>
      </c>
      <c r="F5" s="48">
        <f t="shared" si="0"/>
        <v>3.45</v>
      </c>
      <c r="G5" s="48">
        <f t="shared" si="0"/>
        <v>4.2</v>
      </c>
      <c r="H5" s="48">
        <f t="shared" si="0"/>
        <v>4.9000000000000004</v>
      </c>
      <c r="I5" s="48">
        <f t="shared" si="0"/>
        <v>3.35</v>
      </c>
      <c r="J5" s="48">
        <f t="shared" si="0"/>
        <v>2.4500000000000002</v>
      </c>
      <c r="K5" s="48">
        <f t="shared" si="0"/>
        <v>3.8</v>
      </c>
      <c r="L5" s="48">
        <f t="shared" si="0"/>
        <v>3.95</v>
      </c>
      <c r="M5" s="48">
        <f t="shared" si="0"/>
        <v>2.85</v>
      </c>
      <c r="N5" s="48">
        <f t="shared" si="0"/>
        <v>2.95</v>
      </c>
      <c r="O5" s="48">
        <f t="shared" si="0"/>
        <v>3.2</v>
      </c>
      <c r="P5" s="48">
        <f t="shared" si="0"/>
        <v>1.85</v>
      </c>
      <c r="Q5" s="49">
        <f>SUM(E5:P5)</f>
        <v>40.050000000000004</v>
      </c>
      <c r="R5" s="50"/>
    </row>
    <row r="6" spans="1:18" s="46" customFormat="1" x14ac:dyDescent="0.25">
      <c r="A6" s="46">
        <v>5</v>
      </c>
      <c r="B6" s="47" t="s">
        <v>107</v>
      </c>
      <c r="C6" s="47" t="s">
        <v>41</v>
      </c>
      <c r="D6" s="47" t="s">
        <v>114</v>
      </c>
      <c r="E6" s="48">
        <v>12</v>
      </c>
      <c r="F6" s="48">
        <v>5</v>
      </c>
      <c r="G6" s="48">
        <v>11</v>
      </c>
      <c r="H6" s="48">
        <v>12</v>
      </c>
      <c r="I6" s="48">
        <v>13</v>
      </c>
      <c r="J6" s="48">
        <v>5</v>
      </c>
      <c r="K6" s="48"/>
      <c r="L6" s="48">
        <v>4</v>
      </c>
      <c r="M6" s="48">
        <v>4</v>
      </c>
      <c r="N6" s="48">
        <v>16</v>
      </c>
      <c r="O6" s="48">
        <v>12</v>
      </c>
      <c r="P6" s="48">
        <v>7</v>
      </c>
      <c r="Q6" s="49">
        <f>SUM(E6:P6)</f>
        <v>101</v>
      </c>
    </row>
    <row r="7" spans="1:18" ht="15.75" customHeight="1" x14ac:dyDescent="0.25">
      <c r="A7">
        <v>2</v>
      </c>
      <c r="B7" s="42" t="s">
        <v>113</v>
      </c>
      <c r="C7" s="42" t="s">
        <v>29</v>
      </c>
      <c r="D7" s="42" t="s">
        <v>114</v>
      </c>
      <c r="E7" s="43">
        <v>324</v>
      </c>
      <c r="F7" s="43">
        <v>380</v>
      </c>
      <c r="G7" s="43">
        <v>262</v>
      </c>
      <c r="H7" s="43">
        <v>378</v>
      </c>
      <c r="I7" s="43">
        <v>343</v>
      </c>
      <c r="J7" s="43">
        <v>303</v>
      </c>
      <c r="K7" s="43">
        <v>275</v>
      </c>
      <c r="L7" s="43">
        <v>374</v>
      </c>
      <c r="M7" s="43">
        <v>292</v>
      </c>
      <c r="N7" s="43">
        <v>374</v>
      </c>
      <c r="O7" s="43">
        <v>354</v>
      </c>
      <c r="P7" s="43">
        <v>135</v>
      </c>
      <c r="Q7" s="44">
        <f t="shared" ref="Q7:Q9" si="1">SUM(E7:P7)</f>
        <v>3794</v>
      </c>
    </row>
    <row r="8" spans="1:18" s="46" customFormat="1" x14ac:dyDescent="0.25">
      <c r="A8" s="46">
        <v>4</v>
      </c>
      <c r="B8" s="47" t="s">
        <v>138</v>
      </c>
      <c r="C8" s="47" t="s">
        <v>118</v>
      </c>
      <c r="D8" s="47" t="s">
        <v>114</v>
      </c>
      <c r="E8" s="48">
        <v>5</v>
      </c>
      <c r="F8" s="48">
        <v>4</v>
      </c>
      <c r="G8" s="48">
        <v>4</v>
      </c>
      <c r="H8" s="48">
        <v>9</v>
      </c>
      <c r="I8" s="48">
        <v>7</v>
      </c>
      <c r="J8" s="48">
        <v>1</v>
      </c>
      <c r="K8" s="48">
        <v>2</v>
      </c>
      <c r="L8" s="48">
        <v>3</v>
      </c>
      <c r="M8" s="48">
        <v>2</v>
      </c>
      <c r="N8" s="48">
        <v>1</v>
      </c>
      <c r="O8" s="48">
        <v>1</v>
      </c>
      <c r="P8" s="48"/>
      <c r="Q8" s="49">
        <f t="shared" si="1"/>
        <v>39</v>
      </c>
    </row>
    <row r="9" spans="1:18" s="46" customFormat="1" x14ac:dyDescent="0.25">
      <c r="A9" s="46">
        <v>4</v>
      </c>
      <c r="B9" s="47" t="s">
        <v>139</v>
      </c>
      <c r="C9" s="47" t="s">
        <v>118</v>
      </c>
      <c r="D9" s="47" t="s">
        <v>114</v>
      </c>
      <c r="E9" s="48">
        <v>5</v>
      </c>
      <c r="F9" s="48">
        <v>4</v>
      </c>
      <c r="G9" s="48">
        <v>4</v>
      </c>
      <c r="H9" s="48">
        <v>9</v>
      </c>
      <c r="I9" s="48">
        <v>7</v>
      </c>
      <c r="J9" s="48">
        <v>1</v>
      </c>
      <c r="K9" s="48">
        <v>2</v>
      </c>
      <c r="L9" s="48">
        <v>3</v>
      </c>
      <c r="M9" s="48">
        <v>2</v>
      </c>
      <c r="N9" s="48">
        <v>1</v>
      </c>
      <c r="O9" s="48">
        <v>1</v>
      </c>
      <c r="P9" s="48"/>
      <c r="Q9" s="49">
        <f t="shared" si="1"/>
        <v>39</v>
      </c>
    </row>
    <row r="10" spans="1:18" s="52" customFormat="1" x14ac:dyDescent="0.25">
      <c r="B10" s="53" t="s">
        <v>109</v>
      </c>
      <c r="C10" s="53"/>
      <c r="D10" s="53" t="s">
        <v>115</v>
      </c>
      <c r="E10" s="54">
        <v>36</v>
      </c>
      <c r="F10" s="54">
        <v>21</v>
      </c>
      <c r="G10" s="54">
        <v>19</v>
      </c>
      <c r="H10" s="54">
        <v>40</v>
      </c>
      <c r="I10" s="54">
        <v>24</v>
      </c>
      <c r="J10" s="54">
        <v>19</v>
      </c>
      <c r="K10" s="54">
        <v>35</v>
      </c>
      <c r="L10" s="54">
        <v>29</v>
      </c>
      <c r="M10" s="54">
        <v>28</v>
      </c>
      <c r="N10" s="54">
        <v>45</v>
      </c>
      <c r="O10" s="54">
        <v>26</v>
      </c>
      <c r="P10" s="54">
        <v>25</v>
      </c>
      <c r="Q10" s="55">
        <f>SUM(E10:P10)</f>
        <v>347</v>
      </c>
    </row>
    <row r="11" spans="1:18" x14ac:dyDescent="0.25">
      <c r="A11">
        <v>1</v>
      </c>
      <c r="B11" s="42" t="s">
        <v>106</v>
      </c>
      <c r="C11" s="42" t="s">
        <v>20</v>
      </c>
      <c r="D11" s="42" t="s">
        <v>112</v>
      </c>
      <c r="E11" s="43">
        <v>62</v>
      </c>
      <c r="F11" s="43">
        <v>69</v>
      </c>
      <c r="G11" s="43">
        <v>84</v>
      </c>
      <c r="H11" s="43">
        <v>98</v>
      </c>
      <c r="I11" s="43">
        <v>67</v>
      </c>
      <c r="J11" s="43">
        <v>49</v>
      </c>
      <c r="K11" s="43">
        <v>76</v>
      </c>
      <c r="L11" s="43">
        <v>79</v>
      </c>
      <c r="M11" s="43">
        <v>57</v>
      </c>
      <c r="N11" s="43">
        <v>59</v>
      </c>
      <c r="O11" s="43">
        <v>64</v>
      </c>
      <c r="P11" s="43">
        <v>37</v>
      </c>
      <c r="Q11" s="44">
        <f>SUM(E11:P11)</f>
        <v>801</v>
      </c>
    </row>
    <row r="12" spans="1:18" x14ac:dyDescent="0.25">
      <c r="D12" s="45" t="s">
        <v>123</v>
      </c>
      <c r="E12" s="7">
        <f>SUM(E4:E8)</f>
        <v>344.1</v>
      </c>
      <c r="F12" s="7">
        <f t="shared" ref="F12:Q12" si="2">SUM(F4:F8)</f>
        <v>392.45</v>
      </c>
      <c r="G12" s="7">
        <f t="shared" si="2"/>
        <v>334.2</v>
      </c>
      <c r="H12" s="7">
        <f t="shared" si="2"/>
        <v>403.9</v>
      </c>
      <c r="I12" s="7">
        <f t="shared" si="2"/>
        <v>366.35</v>
      </c>
      <c r="J12" s="7">
        <f t="shared" si="2"/>
        <v>311.45</v>
      </c>
      <c r="K12" s="7">
        <f t="shared" si="2"/>
        <v>280.8</v>
      </c>
      <c r="L12" s="7">
        <f t="shared" si="2"/>
        <v>384.95</v>
      </c>
      <c r="M12" s="7">
        <f t="shared" si="2"/>
        <v>525.85</v>
      </c>
      <c r="N12" s="7">
        <f t="shared" si="2"/>
        <v>393.95</v>
      </c>
      <c r="O12" s="7">
        <f t="shared" si="2"/>
        <v>370.2</v>
      </c>
      <c r="P12" s="7">
        <f>SUM(P4:P8)</f>
        <v>368.85</v>
      </c>
      <c r="Q12">
        <f t="shared" si="2"/>
        <v>4477.05</v>
      </c>
    </row>
    <row r="14" spans="1:18" hidden="1" x14ac:dyDescent="0.25"/>
    <row r="15" spans="1:18" hidden="1" x14ac:dyDescent="0.25">
      <c r="E15">
        <v>344.1</v>
      </c>
      <c r="F15">
        <v>392.45</v>
      </c>
      <c r="G15">
        <v>334.2</v>
      </c>
      <c r="H15">
        <v>403.9</v>
      </c>
      <c r="I15">
        <v>366.35</v>
      </c>
      <c r="J15">
        <v>311.45</v>
      </c>
      <c r="K15">
        <v>280.8</v>
      </c>
      <c r="L15">
        <v>384.95</v>
      </c>
      <c r="M15">
        <v>525.85</v>
      </c>
      <c r="N15">
        <v>393.95</v>
      </c>
      <c r="O15">
        <v>370.2</v>
      </c>
      <c r="P15">
        <v>368.85</v>
      </c>
      <c r="R15">
        <f>683+39</f>
        <v>722</v>
      </c>
    </row>
    <row r="16" spans="1:18" hidden="1" x14ac:dyDescent="0.25"/>
    <row r="17" spans="2:17" hidden="1" x14ac:dyDescent="0.25">
      <c r="E17">
        <f>SUM(E4+E5+E6+E8+E9)</f>
        <v>25.1</v>
      </c>
      <c r="F17">
        <f t="shared" ref="F17:Q17" si="3">SUM(F4+F5+F6+F8+F9)</f>
        <v>16.45</v>
      </c>
      <c r="G17">
        <f t="shared" si="3"/>
        <v>76.2</v>
      </c>
      <c r="H17">
        <f t="shared" si="3"/>
        <v>34.9</v>
      </c>
      <c r="I17">
        <f t="shared" si="3"/>
        <v>30.35</v>
      </c>
      <c r="J17">
        <f t="shared" si="3"/>
        <v>9.4499999999999993</v>
      </c>
      <c r="K17">
        <f t="shared" si="3"/>
        <v>7.8</v>
      </c>
      <c r="L17">
        <f t="shared" si="3"/>
        <v>13.95</v>
      </c>
      <c r="M17">
        <f t="shared" si="3"/>
        <v>235.85</v>
      </c>
      <c r="N17">
        <f t="shared" si="3"/>
        <v>20.95</v>
      </c>
      <c r="O17">
        <f t="shared" si="3"/>
        <v>17.2</v>
      </c>
      <c r="P17">
        <f t="shared" si="3"/>
        <v>233.85</v>
      </c>
      <c r="Q17">
        <f t="shared" si="3"/>
        <v>722.05</v>
      </c>
    </row>
    <row r="18" spans="2:17" hidden="1" x14ac:dyDescent="0.25"/>
    <row r="19" spans="2:17" hidden="1" x14ac:dyDescent="0.25"/>
    <row r="20" spans="2:17" hidden="1" x14ac:dyDescent="0.25">
      <c r="E20" t="s">
        <v>140</v>
      </c>
      <c r="F20" t="s">
        <v>141</v>
      </c>
      <c r="G20" t="s">
        <v>142</v>
      </c>
      <c r="H20" t="s">
        <v>143</v>
      </c>
      <c r="I20" t="s">
        <v>144</v>
      </c>
      <c r="J20" t="s">
        <v>145</v>
      </c>
      <c r="K20" t="s">
        <v>146</v>
      </c>
      <c r="L20" t="s">
        <v>147</v>
      </c>
      <c r="M20" t="s">
        <v>148</v>
      </c>
      <c r="N20" t="s">
        <v>149</v>
      </c>
      <c r="O20" t="s">
        <v>150</v>
      </c>
      <c r="P20" t="s">
        <v>151</v>
      </c>
    </row>
    <row r="21" spans="2:17" hidden="1" x14ac:dyDescent="0.25"/>
    <row r="22" spans="2:17" hidden="1" x14ac:dyDescent="0.25">
      <c r="E22" t="s">
        <v>140</v>
      </c>
      <c r="F22" t="s">
        <v>141</v>
      </c>
      <c r="G22" t="s">
        <v>142</v>
      </c>
      <c r="H22" t="s">
        <v>143</v>
      </c>
      <c r="I22" t="s">
        <v>144</v>
      </c>
      <c r="J22" t="s">
        <v>145</v>
      </c>
      <c r="K22" t="s">
        <v>146</v>
      </c>
      <c r="L22" t="s">
        <v>147</v>
      </c>
      <c r="M22" t="s">
        <v>148</v>
      </c>
      <c r="N22" t="s">
        <v>149</v>
      </c>
      <c r="O22" t="s">
        <v>150</v>
      </c>
      <c r="P22" t="s">
        <v>151</v>
      </c>
    </row>
    <row r="23" spans="2:17" hidden="1" x14ac:dyDescent="0.25"/>
    <row r="24" spans="2:17" hidden="1" x14ac:dyDescent="0.25"/>
    <row r="25" spans="2:17" hidden="1" x14ac:dyDescent="0.25"/>
    <row r="27" spans="2:17" x14ac:dyDescent="0.25">
      <c r="B27" s="52" t="s">
        <v>11</v>
      </c>
      <c r="C27" s="52" t="s">
        <v>10</v>
      </c>
      <c r="D27" s="52" t="s">
        <v>114</v>
      </c>
      <c r="E27" s="52"/>
      <c r="F27" s="52"/>
      <c r="G27" s="52">
        <v>53</v>
      </c>
      <c r="H27" s="52"/>
      <c r="I27" s="52"/>
      <c r="J27" s="52"/>
      <c r="K27" s="52"/>
      <c r="L27" s="52"/>
      <c r="M27" s="52">
        <v>225</v>
      </c>
      <c r="N27" s="52"/>
      <c r="O27" s="52"/>
      <c r="P27" s="52">
        <v>225</v>
      </c>
      <c r="Q27" s="52">
        <v>503</v>
      </c>
    </row>
    <row r="28" spans="2:17" x14ac:dyDescent="0.25">
      <c r="B28" s="52" t="s">
        <v>106</v>
      </c>
      <c r="C28" s="52" t="s">
        <v>20</v>
      </c>
      <c r="D28" s="52" t="s">
        <v>114</v>
      </c>
      <c r="E28" s="58">
        <v>3.1</v>
      </c>
      <c r="F28" s="58">
        <v>3.45</v>
      </c>
      <c r="G28" s="58">
        <v>4.2</v>
      </c>
      <c r="H28" s="58">
        <v>4.9000000000000004</v>
      </c>
      <c r="I28" s="58">
        <v>3.35</v>
      </c>
      <c r="J28" s="58">
        <v>2.4500000000000002</v>
      </c>
      <c r="K28" s="58">
        <v>3.8</v>
      </c>
      <c r="L28" s="58">
        <v>3.95</v>
      </c>
      <c r="M28" s="58">
        <v>2.85</v>
      </c>
      <c r="N28" s="58">
        <v>2.95</v>
      </c>
      <c r="O28" s="58">
        <v>3.2</v>
      </c>
      <c r="P28" s="58">
        <v>1.85</v>
      </c>
      <c r="Q28" s="58">
        <v>40.050000000000004</v>
      </c>
    </row>
    <row r="29" spans="2:17" x14ac:dyDescent="0.25">
      <c r="B29" s="52" t="s">
        <v>107</v>
      </c>
      <c r="C29" s="52" t="s">
        <v>41</v>
      </c>
      <c r="D29" s="52" t="s">
        <v>114</v>
      </c>
      <c r="E29" s="52">
        <v>12</v>
      </c>
      <c r="F29" s="52">
        <v>5</v>
      </c>
      <c r="G29" s="52">
        <v>11</v>
      </c>
      <c r="H29" s="52">
        <v>12</v>
      </c>
      <c r="I29" s="52">
        <v>13</v>
      </c>
      <c r="J29" s="52">
        <v>5</v>
      </c>
      <c r="K29" s="52"/>
      <c r="L29" s="52">
        <v>4</v>
      </c>
      <c r="M29" s="52">
        <v>4</v>
      </c>
      <c r="N29" s="52">
        <v>16</v>
      </c>
      <c r="O29" s="52">
        <v>12</v>
      </c>
      <c r="P29" s="52">
        <v>7</v>
      </c>
      <c r="Q29" s="52">
        <v>101</v>
      </c>
    </row>
    <row r="30" spans="2:17" x14ac:dyDescent="0.25">
      <c r="B30" s="52" t="s">
        <v>138</v>
      </c>
      <c r="C30" s="52" t="s">
        <v>118</v>
      </c>
      <c r="D30" s="52" t="s">
        <v>114</v>
      </c>
      <c r="E30" s="52">
        <v>5</v>
      </c>
      <c r="F30" s="52">
        <v>4</v>
      </c>
      <c r="G30" s="52">
        <v>4</v>
      </c>
      <c r="H30" s="52">
        <v>9</v>
      </c>
      <c r="I30" s="52">
        <v>7</v>
      </c>
      <c r="J30" s="52">
        <v>1</v>
      </c>
      <c r="K30" s="52">
        <v>2</v>
      </c>
      <c r="L30" s="52">
        <v>3</v>
      </c>
      <c r="M30" s="52">
        <v>2</v>
      </c>
      <c r="N30" s="52">
        <v>1</v>
      </c>
      <c r="O30" s="52">
        <v>1</v>
      </c>
      <c r="P30" s="52"/>
      <c r="Q30" s="52">
        <v>39</v>
      </c>
    </row>
    <row r="31" spans="2:17" x14ac:dyDescent="0.25">
      <c r="B31" s="52" t="s">
        <v>139</v>
      </c>
      <c r="C31" s="52" t="s">
        <v>118</v>
      </c>
      <c r="D31" s="52" t="s">
        <v>114</v>
      </c>
      <c r="E31" s="52">
        <v>5</v>
      </c>
      <c r="F31" s="52">
        <v>4</v>
      </c>
      <c r="G31" s="52">
        <v>4</v>
      </c>
      <c r="H31" s="52">
        <v>9</v>
      </c>
      <c r="I31" s="52">
        <v>7</v>
      </c>
      <c r="J31" s="52">
        <v>1</v>
      </c>
      <c r="K31" s="52">
        <v>2</v>
      </c>
      <c r="L31" s="52">
        <v>3</v>
      </c>
      <c r="M31" s="52">
        <v>2</v>
      </c>
      <c r="N31" s="52">
        <v>1</v>
      </c>
      <c r="O31" s="52">
        <v>1</v>
      </c>
      <c r="P31" s="52"/>
      <c r="Q31" s="52">
        <v>39</v>
      </c>
    </row>
    <row r="32" spans="2:17" hidden="1" x14ac:dyDescent="0.25">
      <c r="Q32" s="56">
        <f>SUM(Q27:Q31)</f>
        <v>722.05</v>
      </c>
    </row>
    <row r="33" spans="5:16" hidden="1" x14ac:dyDescent="0.25">
      <c r="E33" s="57">
        <f>SUM(E27:E31)</f>
        <v>25.1</v>
      </c>
      <c r="F33" s="57">
        <f t="shared" ref="F33:P33" si="4">SUM(F27:F31)</f>
        <v>16.45</v>
      </c>
      <c r="G33" s="57">
        <f t="shared" si="4"/>
        <v>76.2</v>
      </c>
      <c r="H33" s="57">
        <f t="shared" si="4"/>
        <v>34.9</v>
      </c>
      <c r="I33" s="57">
        <f t="shared" si="4"/>
        <v>30.35</v>
      </c>
      <c r="J33" s="57">
        <f t="shared" si="4"/>
        <v>9.4499999999999993</v>
      </c>
      <c r="K33" s="57">
        <f t="shared" si="4"/>
        <v>7.8</v>
      </c>
      <c r="L33" s="57">
        <f t="shared" si="4"/>
        <v>13.95</v>
      </c>
      <c r="M33" s="57">
        <f t="shared" si="4"/>
        <v>235.85</v>
      </c>
      <c r="N33" s="57">
        <f t="shared" si="4"/>
        <v>20.95</v>
      </c>
      <c r="O33" s="57">
        <f t="shared" si="4"/>
        <v>17.2</v>
      </c>
      <c r="P33" s="57">
        <f t="shared" si="4"/>
        <v>233.85</v>
      </c>
    </row>
    <row r="34" spans="5:16" hidden="1" x14ac:dyDescent="0.25"/>
    <row r="35" spans="5:16" hidden="1" x14ac:dyDescent="0.25">
      <c r="E35" s="56">
        <v>25.1</v>
      </c>
      <c r="F35" s="56">
        <v>16.45</v>
      </c>
      <c r="G35" s="56">
        <v>76.2</v>
      </c>
      <c r="H35" s="56">
        <v>34.9</v>
      </c>
      <c r="I35" s="56">
        <v>30.35</v>
      </c>
      <c r="J35" s="56">
        <v>9.4499999999999993</v>
      </c>
      <c r="K35" s="56">
        <v>7.8</v>
      </c>
      <c r="L35" s="56">
        <v>13.95</v>
      </c>
      <c r="M35" s="56">
        <v>235.85</v>
      </c>
      <c r="N35" s="56">
        <v>20.95</v>
      </c>
      <c r="O35" s="56">
        <v>17.2</v>
      </c>
      <c r="P35" s="56">
        <v>233.85</v>
      </c>
    </row>
    <row r="36" spans="5:16" hidden="1" x14ac:dyDescent="0.25"/>
    <row r="37" spans="5:16" hidden="1" x14ac:dyDescent="0.25">
      <c r="E37">
        <v>25</v>
      </c>
      <c r="F37">
        <v>16</v>
      </c>
      <c r="G37">
        <v>76</v>
      </c>
      <c r="H37">
        <v>35</v>
      </c>
      <c r="I37">
        <v>30</v>
      </c>
      <c r="J37">
        <v>9</v>
      </c>
      <c r="K37">
        <v>8</v>
      </c>
      <c r="L37">
        <v>14</v>
      </c>
      <c r="M37">
        <v>236</v>
      </c>
      <c r="N37">
        <v>21</v>
      </c>
      <c r="O37">
        <v>17</v>
      </c>
      <c r="P37">
        <v>234</v>
      </c>
    </row>
    <row r="38" spans="5:16" hidden="1" x14ac:dyDescent="0.25"/>
    <row r="39" spans="5:16" hidden="1" x14ac:dyDescent="0.25"/>
  </sheetData>
  <mergeCells count="1">
    <mergeCell ref="B2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A78C-A2B8-4294-B6D3-4A7CFF8354BF}">
  <dimension ref="A1:D1"/>
  <sheetViews>
    <sheetView workbookViewId="0"/>
  </sheetViews>
  <sheetFormatPr baseColWidth="10" defaultRowHeight="15" x14ac:dyDescent="0.25"/>
  <cols>
    <col min="1" max="1" width="22" customWidth="1"/>
    <col min="2" max="2" width="35" bestFit="1" customWidth="1"/>
    <col min="3" max="4" width="22" customWidth="1"/>
  </cols>
  <sheetData>
    <row r="1" spans="1:4" x14ac:dyDescent="0.25">
      <c r="A1" t="s">
        <v>132</v>
      </c>
      <c r="B1" t="s">
        <v>133</v>
      </c>
      <c r="C1" t="s">
        <v>134</v>
      </c>
      <c r="D1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68A9-003B-47BF-85BF-D31DBBE4A9B9}">
  <dimension ref="A1:O21"/>
  <sheetViews>
    <sheetView workbookViewId="0">
      <selection activeCell="C1" sqref="C1"/>
    </sheetView>
  </sheetViews>
  <sheetFormatPr baseColWidth="10" defaultRowHeight="15" x14ac:dyDescent="0.25"/>
  <cols>
    <col min="1" max="1" width="12.85546875" customWidth="1"/>
    <col min="2" max="2" width="16.140625" customWidth="1"/>
    <col min="3" max="3" width="25.85546875" customWidth="1"/>
    <col min="4" max="4" width="27.5703125" customWidth="1"/>
    <col min="5" max="5" width="11.85546875" customWidth="1"/>
    <col min="6" max="6" width="19.5703125" customWidth="1"/>
    <col min="7" max="7" width="31" customWidth="1"/>
    <col min="8" max="8" width="15.7109375" style="59" customWidth="1"/>
    <col min="9" max="9" width="41.7109375" style="62" customWidth="1"/>
    <col min="10" max="10" width="36.5703125" style="51" customWidth="1"/>
    <col min="11" max="11" width="39.28515625" style="51" bestFit="1" customWidth="1"/>
    <col min="12" max="12" width="33.42578125" customWidth="1"/>
    <col min="13" max="13" width="13.85546875" style="59" customWidth="1"/>
    <col min="14" max="14" width="15.140625" customWidth="1"/>
    <col min="15" max="15" width="73.7109375" bestFit="1" customWidth="1"/>
  </cols>
  <sheetData>
    <row r="1" spans="1:15" ht="74.25" customHeight="1" x14ac:dyDescent="0.25">
      <c r="A1" s="10" t="s">
        <v>6</v>
      </c>
      <c r="B1" s="10" t="s">
        <v>5</v>
      </c>
      <c r="C1" s="40" t="s">
        <v>103</v>
      </c>
      <c r="D1" s="10" t="s">
        <v>2</v>
      </c>
      <c r="E1" s="10" t="s">
        <v>3</v>
      </c>
      <c r="F1" s="10" t="s">
        <v>116</v>
      </c>
      <c r="G1" s="10" t="s">
        <v>7</v>
      </c>
      <c r="H1" s="10" t="s">
        <v>0</v>
      </c>
      <c r="I1" s="60" t="s">
        <v>1</v>
      </c>
      <c r="J1" s="60" t="s">
        <v>136</v>
      </c>
      <c r="K1" s="60" t="s">
        <v>159</v>
      </c>
      <c r="L1" s="60" t="s">
        <v>164</v>
      </c>
      <c r="M1" s="60" t="s">
        <v>166</v>
      </c>
      <c r="N1" s="60" t="s">
        <v>167</v>
      </c>
    </row>
    <row r="2" spans="1:15" s="4" customFormat="1" ht="45" x14ac:dyDescent="0.25">
      <c r="A2" s="63">
        <v>45300</v>
      </c>
      <c r="B2" s="5">
        <f>MONTH(A2)</f>
        <v>1</v>
      </c>
      <c r="C2" s="9" t="s">
        <v>105</v>
      </c>
      <c r="D2" s="9" t="s">
        <v>153</v>
      </c>
      <c r="E2" s="5">
        <v>51</v>
      </c>
      <c r="F2" s="9" t="s">
        <v>154</v>
      </c>
      <c r="G2" s="9" t="s">
        <v>24</v>
      </c>
      <c r="H2" s="5" t="s">
        <v>19</v>
      </c>
      <c r="I2" s="64" t="s">
        <v>155</v>
      </c>
      <c r="J2" s="8" t="s">
        <v>24</v>
      </c>
      <c r="K2" s="8" t="s">
        <v>160</v>
      </c>
      <c r="L2" s="9" t="s">
        <v>165</v>
      </c>
      <c r="M2" s="5" t="s">
        <v>168</v>
      </c>
      <c r="N2" s="63">
        <v>45307</v>
      </c>
    </row>
    <row r="3" spans="1:15" ht="60" x14ac:dyDescent="0.25">
      <c r="A3" s="63">
        <v>45300</v>
      </c>
      <c r="B3" s="5">
        <f t="shared" ref="B3:B21" si="0">MONTH(A3)</f>
        <v>1</v>
      </c>
      <c r="C3" s="9" t="s">
        <v>105</v>
      </c>
      <c r="D3" s="9" t="s">
        <v>106</v>
      </c>
      <c r="E3" s="5">
        <v>583</v>
      </c>
      <c r="F3" s="9" t="s">
        <v>154</v>
      </c>
      <c r="G3" s="9" t="s">
        <v>24</v>
      </c>
      <c r="H3" s="5" t="s">
        <v>19</v>
      </c>
      <c r="I3" s="64" t="s">
        <v>156</v>
      </c>
      <c r="J3" s="8" t="s">
        <v>24</v>
      </c>
      <c r="K3" s="8" t="s">
        <v>161</v>
      </c>
      <c r="L3" s="9" t="s">
        <v>165</v>
      </c>
      <c r="M3" s="5" t="s">
        <v>168</v>
      </c>
      <c r="N3" s="63">
        <v>45307</v>
      </c>
    </row>
    <row r="4" spans="1:15" ht="45" x14ac:dyDescent="0.25">
      <c r="A4" s="63">
        <v>45300</v>
      </c>
      <c r="B4" s="5">
        <f t="shared" si="0"/>
        <v>1</v>
      </c>
      <c r="C4" s="9" t="s">
        <v>105</v>
      </c>
      <c r="D4" s="9" t="s">
        <v>152</v>
      </c>
      <c r="E4" s="5">
        <v>68</v>
      </c>
      <c r="F4" s="9" t="s">
        <v>154</v>
      </c>
      <c r="G4" s="9" t="s">
        <v>157</v>
      </c>
      <c r="H4" s="5" t="s">
        <v>19</v>
      </c>
      <c r="I4" s="64" t="s">
        <v>155</v>
      </c>
      <c r="J4" s="8" t="s">
        <v>158</v>
      </c>
      <c r="K4" s="8" t="s">
        <v>160</v>
      </c>
      <c r="L4" s="9" t="s">
        <v>165</v>
      </c>
      <c r="M4" s="5" t="s">
        <v>168</v>
      </c>
      <c r="N4" s="63">
        <v>45307</v>
      </c>
    </row>
    <row r="5" spans="1:15" ht="28.5" customHeight="1" x14ac:dyDescent="0.25">
      <c r="A5" s="63">
        <v>45300</v>
      </c>
      <c r="B5" s="5">
        <f t="shared" si="0"/>
        <v>1</v>
      </c>
      <c r="C5" s="9" t="s">
        <v>105</v>
      </c>
      <c r="D5" s="9" t="s">
        <v>110</v>
      </c>
      <c r="E5" s="5">
        <v>58</v>
      </c>
      <c r="F5" s="9" t="s">
        <v>154</v>
      </c>
      <c r="G5" s="9" t="s">
        <v>157</v>
      </c>
      <c r="H5" s="5" t="s">
        <v>9</v>
      </c>
      <c r="I5" s="64"/>
      <c r="J5" s="8" t="s">
        <v>163</v>
      </c>
      <c r="K5" s="8" t="s">
        <v>162</v>
      </c>
      <c r="L5" s="9" t="s">
        <v>165</v>
      </c>
      <c r="M5" s="5" t="s">
        <v>168</v>
      </c>
      <c r="N5" s="63">
        <v>45307</v>
      </c>
    </row>
    <row r="6" spans="1:15" x14ac:dyDescent="0.25">
      <c r="A6" s="63">
        <v>45296</v>
      </c>
      <c r="B6" s="5">
        <f t="shared" si="0"/>
        <v>1</v>
      </c>
      <c r="C6" s="9" t="s">
        <v>105</v>
      </c>
      <c r="D6" s="9" t="s">
        <v>109</v>
      </c>
      <c r="E6" s="5">
        <v>28</v>
      </c>
      <c r="F6" s="9" t="s">
        <v>169</v>
      </c>
      <c r="G6" s="9" t="s">
        <v>24</v>
      </c>
      <c r="H6" s="17" t="s">
        <v>170</v>
      </c>
      <c r="I6" s="17" t="s">
        <v>170</v>
      </c>
      <c r="J6" s="65" t="s">
        <v>24</v>
      </c>
      <c r="K6" s="65" t="s">
        <v>171</v>
      </c>
      <c r="L6" s="9" t="s">
        <v>172</v>
      </c>
      <c r="M6" s="17">
        <v>6095</v>
      </c>
      <c r="N6" s="67">
        <v>45316</v>
      </c>
    </row>
    <row r="7" spans="1:15" x14ac:dyDescent="0.25">
      <c r="A7" s="63">
        <v>45296</v>
      </c>
      <c r="B7" s="5">
        <f t="shared" si="0"/>
        <v>1</v>
      </c>
      <c r="C7" s="9" t="s">
        <v>105</v>
      </c>
      <c r="D7" s="9" t="s">
        <v>109</v>
      </c>
      <c r="E7" s="5">
        <v>502</v>
      </c>
      <c r="F7" s="9" t="s">
        <v>154</v>
      </c>
      <c r="G7" s="9" t="s">
        <v>24</v>
      </c>
      <c r="H7" s="17" t="s">
        <v>170</v>
      </c>
      <c r="I7" s="17" t="s">
        <v>170</v>
      </c>
      <c r="J7" s="65" t="s">
        <v>24</v>
      </c>
      <c r="K7" s="65" t="s">
        <v>171</v>
      </c>
      <c r="L7" s="9" t="s">
        <v>172</v>
      </c>
      <c r="M7" s="17">
        <v>6095</v>
      </c>
      <c r="N7" s="67">
        <v>45316</v>
      </c>
    </row>
    <row r="8" spans="1:15" ht="60" x14ac:dyDescent="0.25">
      <c r="A8" s="63">
        <v>45337</v>
      </c>
      <c r="B8" s="5">
        <f t="shared" si="0"/>
        <v>2</v>
      </c>
      <c r="C8" s="9" t="s">
        <v>105</v>
      </c>
      <c r="D8" s="9" t="s">
        <v>106</v>
      </c>
      <c r="E8" s="5">
        <v>746</v>
      </c>
      <c r="F8" s="9" t="s">
        <v>154</v>
      </c>
      <c r="G8" s="9" t="s">
        <v>24</v>
      </c>
      <c r="H8" s="5" t="s">
        <v>19</v>
      </c>
      <c r="I8" s="64" t="s">
        <v>156</v>
      </c>
      <c r="J8" s="8" t="s">
        <v>24</v>
      </c>
      <c r="K8" s="8" t="s">
        <v>161</v>
      </c>
      <c r="L8" s="9" t="s">
        <v>165</v>
      </c>
      <c r="M8" s="5" t="s">
        <v>173</v>
      </c>
      <c r="N8" s="63">
        <v>45340</v>
      </c>
    </row>
    <row r="9" spans="1:15" ht="45" x14ac:dyDescent="0.25">
      <c r="A9" s="63">
        <v>45337</v>
      </c>
      <c r="B9" s="5">
        <f t="shared" si="0"/>
        <v>2</v>
      </c>
      <c r="C9" s="9" t="s">
        <v>105</v>
      </c>
      <c r="D9" s="9" t="s">
        <v>108</v>
      </c>
      <c r="E9" s="5">
        <v>68</v>
      </c>
      <c r="F9" s="9" t="s">
        <v>154</v>
      </c>
      <c r="G9" s="9" t="s">
        <v>157</v>
      </c>
      <c r="H9" s="5" t="s">
        <v>19</v>
      </c>
      <c r="I9" s="64" t="s">
        <v>155</v>
      </c>
      <c r="J9" s="8" t="s">
        <v>158</v>
      </c>
      <c r="K9" s="8" t="s">
        <v>160</v>
      </c>
      <c r="L9" s="9" t="s">
        <v>165</v>
      </c>
      <c r="M9" s="5" t="s">
        <v>173</v>
      </c>
      <c r="N9" s="63">
        <v>45340</v>
      </c>
    </row>
    <row r="10" spans="1:15" ht="45" x14ac:dyDescent="0.25">
      <c r="A10" s="63">
        <v>45337</v>
      </c>
      <c r="B10" s="5">
        <f t="shared" si="0"/>
        <v>2</v>
      </c>
      <c r="C10" s="9" t="s">
        <v>105</v>
      </c>
      <c r="D10" s="9" t="s">
        <v>111</v>
      </c>
      <c r="E10" s="5">
        <v>7</v>
      </c>
      <c r="F10" s="9" t="s">
        <v>154</v>
      </c>
      <c r="G10" s="9" t="s">
        <v>157</v>
      </c>
      <c r="H10" s="5" t="s">
        <v>19</v>
      </c>
      <c r="I10" s="64" t="s">
        <v>155</v>
      </c>
      <c r="J10" s="8" t="s">
        <v>158</v>
      </c>
      <c r="K10" s="8" t="s">
        <v>160</v>
      </c>
      <c r="L10" s="9" t="s">
        <v>165</v>
      </c>
      <c r="M10" s="5" t="s">
        <v>173</v>
      </c>
      <c r="N10" s="63">
        <v>45340</v>
      </c>
    </row>
    <row r="11" spans="1:15" ht="45" x14ac:dyDescent="0.25">
      <c r="A11" s="63">
        <v>45337</v>
      </c>
      <c r="B11" s="5">
        <f t="shared" si="0"/>
        <v>2</v>
      </c>
      <c r="C11" s="9" t="s">
        <v>105</v>
      </c>
      <c r="D11" s="9" t="s">
        <v>152</v>
      </c>
      <c r="E11" s="5">
        <v>71</v>
      </c>
      <c r="F11" s="9" t="s">
        <v>154</v>
      </c>
      <c r="G11" s="9" t="s">
        <v>157</v>
      </c>
      <c r="H11" s="5" t="s">
        <v>19</v>
      </c>
      <c r="I11" s="64" t="s">
        <v>155</v>
      </c>
      <c r="J11" s="8" t="s">
        <v>158</v>
      </c>
      <c r="K11" s="8" t="s">
        <v>160</v>
      </c>
      <c r="L11" s="9" t="s">
        <v>165</v>
      </c>
      <c r="M11" s="5" t="s">
        <v>173</v>
      </c>
      <c r="N11" s="63">
        <v>45340</v>
      </c>
    </row>
    <row r="12" spans="1:15" x14ac:dyDescent="0.25">
      <c r="A12" s="63">
        <v>45296</v>
      </c>
      <c r="B12" s="5">
        <f t="shared" si="0"/>
        <v>1</v>
      </c>
      <c r="C12" s="9" t="s">
        <v>105</v>
      </c>
      <c r="D12" s="9" t="s">
        <v>109</v>
      </c>
      <c r="E12" s="5">
        <v>24</v>
      </c>
      <c r="F12" s="9" t="s">
        <v>169</v>
      </c>
      <c r="G12" s="9" t="s">
        <v>24</v>
      </c>
      <c r="H12" s="17" t="s">
        <v>170</v>
      </c>
      <c r="I12" s="17" t="s">
        <v>170</v>
      </c>
      <c r="J12" s="65" t="s">
        <v>24</v>
      </c>
      <c r="K12" s="65" t="s">
        <v>171</v>
      </c>
      <c r="L12" s="9" t="s">
        <v>172</v>
      </c>
      <c r="M12" s="17">
        <v>7161</v>
      </c>
      <c r="N12" s="67">
        <v>45336</v>
      </c>
    </row>
    <row r="13" spans="1:15" x14ac:dyDescent="0.25">
      <c r="A13" s="63">
        <v>45296</v>
      </c>
      <c r="B13" s="5">
        <f t="shared" si="0"/>
        <v>1</v>
      </c>
      <c r="C13" s="9" t="s">
        <v>105</v>
      </c>
      <c r="D13" s="9" t="s">
        <v>109</v>
      </c>
      <c r="E13" s="5">
        <v>388</v>
      </c>
      <c r="F13" s="9" t="s">
        <v>154</v>
      </c>
      <c r="G13" s="9" t="s">
        <v>24</v>
      </c>
      <c r="H13" s="17" t="s">
        <v>170</v>
      </c>
      <c r="I13" s="17" t="s">
        <v>170</v>
      </c>
      <c r="J13" s="65" t="s">
        <v>24</v>
      </c>
      <c r="K13" s="65" t="s">
        <v>171</v>
      </c>
      <c r="L13" s="9" t="s">
        <v>172</v>
      </c>
      <c r="M13" s="17">
        <v>7161</v>
      </c>
      <c r="N13" s="67">
        <v>45336</v>
      </c>
    </row>
    <row r="14" spans="1:15" ht="60" x14ac:dyDescent="0.25">
      <c r="A14" s="63">
        <v>45366</v>
      </c>
      <c r="B14" s="5">
        <f t="shared" si="0"/>
        <v>3</v>
      </c>
      <c r="C14" s="9" t="s">
        <v>105</v>
      </c>
      <c r="D14" s="9" t="s">
        <v>106</v>
      </c>
      <c r="E14" s="5">
        <v>746</v>
      </c>
      <c r="F14" s="9" t="s">
        <v>154</v>
      </c>
      <c r="G14" s="9" t="s">
        <v>24</v>
      </c>
      <c r="H14" s="5" t="s">
        <v>19</v>
      </c>
      <c r="I14" s="64" t="s">
        <v>156</v>
      </c>
      <c r="J14" s="8" t="s">
        <v>24</v>
      </c>
      <c r="K14" s="8" t="s">
        <v>161</v>
      </c>
      <c r="L14" s="9" t="s">
        <v>165</v>
      </c>
      <c r="M14" s="5" t="s">
        <v>173</v>
      </c>
      <c r="N14" s="63">
        <v>45369</v>
      </c>
      <c r="O14" s="68" t="s">
        <v>174</v>
      </c>
    </row>
    <row r="15" spans="1:15" ht="45" x14ac:dyDescent="0.25">
      <c r="A15" s="63">
        <v>45366</v>
      </c>
      <c r="B15" s="5">
        <f t="shared" si="0"/>
        <v>3</v>
      </c>
      <c r="C15" s="9" t="s">
        <v>105</v>
      </c>
      <c r="D15" s="9" t="s">
        <v>108</v>
      </c>
      <c r="E15" s="5">
        <v>35</v>
      </c>
      <c r="F15" s="9" t="s">
        <v>154</v>
      </c>
      <c r="G15" s="9" t="s">
        <v>157</v>
      </c>
      <c r="H15" s="5" t="s">
        <v>19</v>
      </c>
      <c r="I15" s="64" t="s">
        <v>155</v>
      </c>
      <c r="J15" s="8" t="s">
        <v>158</v>
      </c>
      <c r="K15" s="8" t="s">
        <v>160</v>
      </c>
      <c r="L15" s="9" t="s">
        <v>165</v>
      </c>
      <c r="M15" s="5" t="s">
        <v>173</v>
      </c>
      <c r="N15" s="63">
        <v>45369</v>
      </c>
      <c r="O15" s="68" t="s">
        <v>174</v>
      </c>
    </row>
    <row r="16" spans="1:15" ht="45" x14ac:dyDescent="0.25">
      <c r="A16" s="63">
        <v>45366</v>
      </c>
      <c r="B16" s="5">
        <f t="shared" si="0"/>
        <v>3</v>
      </c>
      <c r="C16" s="9" t="s">
        <v>105</v>
      </c>
      <c r="D16" s="9" t="s">
        <v>111</v>
      </c>
      <c r="E16" s="5">
        <v>7</v>
      </c>
      <c r="F16" s="9" t="s">
        <v>154</v>
      </c>
      <c r="G16" s="9" t="s">
        <v>157</v>
      </c>
      <c r="H16" s="5" t="s">
        <v>19</v>
      </c>
      <c r="I16" s="64" t="s">
        <v>155</v>
      </c>
      <c r="J16" s="8" t="s">
        <v>158</v>
      </c>
      <c r="K16" s="8" t="s">
        <v>160</v>
      </c>
      <c r="L16" s="9" t="s">
        <v>165</v>
      </c>
      <c r="M16" s="5" t="s">
        <v>173</v>
      </c>
      <c r="N16" s="63">
        <v>45369</v>
      </c>
      <c r="O16" s="68" t="s">
        <v>174</v>
      </c>
    </row>
    <row r="17" spans="1:15" ht="45" x14ac:dyDescent="0.25">
      <c r="A17" s="63">
        <v>45366</v>
      </c>
      <c r="B17" s="5">
        <f t="shared" si="0"/>
        <v>3</v>
      </c>
      <c r="C17" s="9" t="s">
        <v>105</v>
      </c>
      <c r="D17" s="9" t="s">
        <v>152</v>
      </c>
      <c r="E17" s="5">
        <v>71</v>
      </c>
      <c r="F17" s="9" t="s">
        <v>154</v>
      </c>
      <c r="G17" s="9" t="s">
        <v>157</v>
      </c>
      <c r="H17" s="5" t="s">
        <v>19</v>
      </c>
      <c r="I17" s="64" t="s">
        <v>155</v>
      </c>
      <c r="J17" s="8" t="s">
        <v>158</v>
      </c>
      <c r="K17" s="8" t="s">
        <v>160</v>
      </c>
      <c r="L17" s="9" t="s">
        <v>165</v>
      </c>
      <c r="M17" s="5" t="s">
        <v>173</v>
      </c>
      <c r="N17" s="63">
        <v>45369</v>
      </c>
      <c r="O17" s="68" t="s">
        <v>174</v>
      </c>
    </row>
    <row r="18" spans="1:15" ht="60" x14ac:dyDescent="0.25">
      <c r="A18" s="63">
        <v>45433</v>
      </c>
      <c r="B18" s="5">
        <f t="shared" si="0"/>
        <v>5</v>
      </c>
      <c r="C18" s="9" t="s">
        <v>105</v>
      </c>
      <c r="D18" s="9" t="s">
        <v>107</v>
      </c>
      <c r="E18" s="5">
        <v>15</v>
      </c>
      <c r="F18" s="9" t="s">
        <v>169</v>
      </c>
      <c r="G18" s="9" t="s">
        <v>157</v>
      </c>
      <c r="H18" s="5" t="s">
        <v>41</v>
      </c>
      <c r="I18" s="64" t="s">
        <v>175</v>
      </c>
      <c r="J18" s="8" t="s">
        <v>163</v>
      </c>
      <c r="K18" s="8" t="s">
        <v>176</v>
      </c>
      <c r="L18" s="9" t="s">
        <v>177</v>
      </c>
      <c r="M18" s="5" t="s">
        <v>178</v>
      </c>
      <c r="N18" s="63">
        <v>45439</v>
      </c>
      <c r="O18" s="4"/>
    </row>
    <row r="19" spans="1:15" ht="60" x14ac:dyDescent="0.25">
      <c r="A19" s="63">
        <v>45433</v>
      </c>
      <c r="B19" s="5">
        <f t="shared" si="0"/>
        <v>5</v>
      </c>
      <c r="C19" s="9" t="s">
        <v>105</v>
      </c>
      <c r="D19" s="9" t="s">
        <v>107</v>
      </c>
      <c r="E19" s="5">
        <v>205</v>
      </c>
      <c r="F19" s="9" t="s">
        <v>154</v>
      </c>
      <c r="G19" s="9" t="s">
        <v>157</v>
      </c>
      <c r="H19" s="5" t="s">
        <v>41</v>
      </c>
      <c r="I19" s="64" t="s">
        <v>175</v>
      </c>
      <c r="J19" s="8" t="s">
        <v>163</v>
      </c>
      <c r="K19" s="8" t="s">
        <v>176</v>
      </c>
      <c r="L19" s="9" t="s">
        <v>177</v>
      </c>
      <c r="M19" s="5" t="s">
        <v>178</v>
      </c>
      <c r="N19" s="63">
        <v>45439</v>
      </c>
      <c r="O19" s="4"/>
    </row>
    <row r="20" spans="1:15" ht="60" x14ac:dyDescent="0.25">
      <c r="A20" s="63">
        <v>45565</v>
      </c>
      <c r="B20" s="5">
        <f t="shared" si="0"/>
        <v>9</v>
      </c>
      <c r="C20" s="9" t="s">
        <v>105</v>
      </c>
      <c r="D20" s="9" t="s">
        <v>106</v>
      </c>
      <c r="E20" s="5">
        <v>922</v>
      </c>
      <c r="F20" s="9" t="s">
        <v>154</v>
      </c>
      <c r="G20" s="9" t="s">
        <v>24</v>
      </c>
      <c r="H20" s="5" t="s">
        <v>19</v>
      </c>
      <c r="I20" s="64" t="s">
        <v>156</v>
      </c>
      <c r="J20" s="8" t="s">
        <v>24</v>
      </c>
      <c r="K20" s="8" t="s">
        <v>161</v>
      </c>
      <c r="L20" s="9" t="s">
        <v>165</v>
      </c>
      <c r="M20" s="5" t="s">
        <v>179</v>
      </c>
      <c r="N20" s="63">
        <v>45566</v>
      </c>
    </row>
    <row r="21" spans="1:15" ht="28.5" customHeight="1" x14ac:dyDescent="0.25">
      <c r="A21" s="63">
        <v>45565</v>
      </c>
      <c r="B21" s="5">
        <f t="shared" si="0"/>
        <v>9</v>
      </c>
      <c r="C21" s="9" t="s">
        <v>105</v>
      </c>
      <c r="D21" s="9" t="s">
        <v>110</v>
      </c>
      <c r="E21" s="5">
        <v>33</v>
      </c>
      <c r="F21" s="9" t="s">
        <v>154</v>
      </c>
      <c r="G21" s="9" t="s">
        <v>157</v>
      </c>
      <c r="H21" s="5" t="s">
        <v>9</v>
      </c>
      <c r="I21" s="64"/>
      <c r="J21" s="8" t="s">
        <v>163</v>
      </c>
      <c r="K21" s="8" t="s">
        <v>180</v>
      </c>
      <c r="L21" s="9" t="s">
        <v>165</v>
      </c>
      <c r="M21" s="5" t="s">
        <v>179</v>
      </c>
      <c r="N21" s="63">
        <v>45566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7B22090-BB97-4465-8090-4895E927C526}">
          <x14:formula1>
            <xm:f>INFORMACIÓN!$F$2:$F$3</xm:f>
          </x14:formula1>
          <xm:sqref>C2:C21</xm:sqref>
        </x14:dataValidation>
        <x14:dataValidation type="list" allowBlank="1" showInputMessage="1" showErrorMessage="1" xr:uid="{9CA187F8-4F1E-4CAC-A847-6042C3E5EFB2}">
          <x14:formula1>
            <xm:f>INFORMACIÓN!$G$2:$G$15</xm:f>
          </x14:formula1>
          <xm:sqref>D2:D21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DEA6-5DDA-413D-9915-BD8C9D879F98}">
  <dimension ref="A3:G23"/>
  <sheetViews>
    <sheetView workbookViewId="0">
      <selection activeCell="F30" sqref="F30"/>
    </sheetView>
  </sheetViews>
  <sheetFormatPr baseColWidth="10" defaultRowHeight="15" x14ac:dyDescent="0.25"/>
  <cols>
    <col min="1" max="1" width="42.140625" bestFit="1" customWidth="1"/>
    <col min="2" max="6" width="13.5703125" style="59" customWidth="1"/>
    <col min="7" max="7" width="12.5703125" bestFit="1" customWidth="1"/>
  </cols>
  <sheetData>
    <row r="3" spans="1:7" x14ac:dyDescent="0.25">
      <c r="A3" s="69" t="s">
        <v>184</v>
      </c>
      <c r="B3" s="71" t="s">
        <v>183</v>
      </c>
    </row>
    <row r="4" spans="1:7" x14ac:dyDescent="0.25">
      <c r="A4" s="69" t="s">
        <v>181</v>
      </c>
      <c r="B4" s="59">
        <v>1</v>
      </c>
      <c r="C4" s="59">
        <v>2</v>
      </c>
      <c r="D4" s="59">
        <v>3</v>
      </c>
      <c r="E4" s="59">
        <v>5</v>
      </c>
      <c r="F4" s="59">
        <v>9</v>
      </c>
      <c r="G4" t="s">
        <v>182</v>
      </c>
    </row>
    <row r="5" spans="1:7" x14ac:dyDescent="0.25">
      <c r="A5" s="61" t="s">
        <v>106</v>
      </c>
      <c r="B5" s="59">
        <v>583</v>
      </c>
      <c r="C5" s="59">
        <v>746</v>
      </c>
      <c r="D5" s="59">
        <v>746</v>
      </c>
      <c r="F5" s="59">
        <v>922</v>
      </c>
      <c r="G5">
        <v>2997</v>
      </c>
    </row>
    <row r="6" spans="1:7" x14ac:dyDescent="0.25">
      <c r="A6" s="70" t="s">
        <v>154</v>
      </c>
      <c r="B6" s="59">
        <v>583</v>
      </c>
      <c r="C6" s="59">
        <v>746</v>
      </c>
      <c r="D6" s="59">
        <v>746</v>
      </c>
      <c r="F6" s="59">
        <v>922</v>
      </c>
      <c r="G6">
        <v>2997</v>
      </c>
    </row>
    <row r="7" spans="1:7" x14ac:dyDescent="0.25">
      <c r="A7" s="61" t="s">
        <v>107</v>
      </c>
      <c r="E7" s="59">
        <v>220</v>
      </c>
      <c r="G7">
        <v>220</v>
      </c>
    </row>
    <row r="8" spans="1:7" x14ac:dyDescent="0.25">
      <c r="A8" s="70" t="s">
        <v>154</v>
      </c>
      <c r="E8" s="59">
        <v>205</v>
      </c>
      <c r="G8">
        <v>205</v>
      </c>
    </row>
    <row r="9" spans="1:7" x14ac:dyDescent="0.25">
      <c r="A9" s="70" t="s">
        <v>169</v>
      </c>
      <c r="E9" s="59">
        <v>15</v>
      </c>
      <c r="G9">
        <v>15</v>
      </c>
    </row>
    <row r="10" spans="1:7" x14ac:dyDescent="0.25">
      <c r="A10" s="61" t="s">
        <v>108</v>
      </c>
      <c r="C10" s="59">
        <v>68</v>
      </c>
      <c r="D10" s="59">
        <v>35</v>
      </c>
      <c r="G10">
        <v>103</v>
      </c>
    </row>
    <row r="11" spans="1:7" x14ac:dyDescent="0.25">
      <c r="A11" s="70" t="s">
        <v>154</v>
      </c>
      <c r="C11" s="59">
        <v>68</v>
      </c>
      <c r="D11" s="59">
        <v>35</v>
      </c>
      <c r="G11">
        <v>103</v>
      </c>
    </row>
    <row r="12" spans="1:7" x14ac:dyDescent="0.25">
      <c r="A12" s="61" t="s">
        <v>152</v>
      </c>
      <c r="B12" s="59">
        <v>68</v>
      </c>
      <c r="C12" s="59">
        <v>71</v>
      </c>
      <c r="D12" s="59">
        <v>71</v>
      </c>
      <c r="G12">
        <v>210</v>
      </c>
    </row>
    <row r="13" spans="1:7" x14ac:dyDescent="0.25">
      <c r="A13" s="70" t="s">
        <v>154</v>
      </c>
      <c r="B13" s="59">
        <v>68</v>
      </c>
      <c r="C13" s="59">
        <v>71</v>
      </c>
      <c r="D13" s="59">
        <v>71</v>
      </c>
      <c r="G13">
        <v>210</v>
      </c>
    </row>
    <row r="14" spans="1:7" x14ac:dyDescent="0.25">
      <c r="A14" s="61" t="s">
        <v>109</v>
      </c>
      <c r="B14" s="59">
        <v>942</v>
      </c>
      <c r="G14">
        <v>942</v>
      </c>
    </row>
    <row r="15" spans="1:7" x14ac:dyDescent="0.25">
      <c r="A15" s="70" t="s">
        <v>154</v>
      </c>
      <c r="B15" s="59">
        <v>890</v>
      </c>
      <c r="G15">
        <v>890</v>
      </c>
    </row>
    <row r="16" spans="1:7" x14ac:dyDescent="0.25">
      <c r="A16" s="70" t="s">
        <v>169</v>
      </c>
      <c r="B16" s="59">
        <v>52</v>
      </c>
      <c r="G16">
        <v>52</v>
      </c>
    </row>
    <row r="17" spans="1:7" x14ac:dyDescent="0.25">
      <c r="A17" s="61" t="s">
        <v>153</v>
      </c>
      <c r="B17" s="59">
        <v>51</v>
      </c>
      <c r="G17">
        <v>51</v>
      </c>
    </row>
    <row r="18" spans="1:7" x14ac:dyDescent="0.25">
      <c r="A18" s="70" t="s">
        <v>154</v>
      </c>
      <c r="B18" s="59">
        <v>51</v>
      </c>
      <c r="G18">
        <v>51</v>
      </c>
    </row>
    <row r="19" spans="1:7" x14ac:dyDescent="0.25">
      <c r="A19" s="61" t="s">
        <v>110</v>
      </c>
      <c r="B19" s="59">
        <v>58</v>
      </c>
      <c r="F19" s="59">
        <v>33</v>
      </c>
      <c r="G19">
        <v>91</v>
      </c>
    </row>
    <row r="20" spans="1:7" x14ac:dyDescent="0.25">
      <c r="A20" s="70" t="s">
        <v>154</v>
      </c>
      <c r="B20" s="59">
        <v>58</v>
      </c>
      <c r="F20" s="59">
        <v>33</v>
      </c>
      <c r="G20">
        <v>91</v>
      </c>
    </row>
    <row r="21" spans="1:7" x14ac:dyDescent="0.25">
      <c r="A21" s="61" t="s">
        <v>111</v>
      </c>
      <c r="C21" s="59">
        <v>7</v>
      </c>
      <c r="D21" s="59">
        <v>7</v>
      </c>
      <c r="G21">
        <v>14</v>
      </c>
    </row>
    <row r="22" spans="1:7" x14ac:dyDescent="0.25">
      <c r="A22" s="70" t="s">
        <v>154</v>
      </c>
      <c r="C22" s="59">
        <v>7</v>
      </c>
      <c r="D22" s="59">
        <v>7</v>
      </c>
      <c r="G22">
        <v>14</v>
      </c>
    </row>
    <row r="23" spans="1:7" x14ac:dyDescent="0.25">
      <c r="A23" s="61" t="s">
        <v>182</v>
      </c>
      <c r="B23" s="59">
        <v>1702</v>
      </c>
      <c r="C23" s="59">
        <v>892</v>
      </c>
      <c r="D23" s="59">
        <v>859</v>
      </c>
      <c r="E23" s="59">
        <v>220</v>
      </c>
      <c r="F23" s="59">
        <v>955</v>
      </c>
      <c r="G23">
        <v>4628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E27B-4145-4F6F-A116-3363ECBA3814}">
  <dimension ref="B2:Q20"/>
  <sheetViews>
    <sheetView topLeftCell="A6" workbookViewId="0">
      <selection activeCell="B19" sqref="B19"/>
    </sheetView>
  </sheetViews>
  <sheetFormatPr baseColWidth="10" defaultRowHeight="15" x14ac:dyDescent="0.25"/>
  <cols>
    <col min="2" max="2" width="27.28515625" customWidth="1"/>
    <col min="3" max="3" width="18.7109375" customWidth="1"/>
    <col min="17" max="17" width="36.140625" customWidth="1"/>
  </cols>
  <sheetData>
    <row r="2" spans="2:17" ht="26.25" x14ac:dyDescent="0.4">
      <c r="B2" s="92" t="s">
        <v>54</v>
      </c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t="s">
        <v>121</v>
      </c>
    </row>
    <row r="3" spans="2:17" x14ac:dyDescent="0.25">
      <c r="B3" s="30" t="s">
        <v>117</v>
      </c>
      <c r="C3" s="30" t="s">
        <v>116</v>
      </c>
      <c r="D3" s="41">
        <v>45292</v>
      </c>
      <c r="E3" s="41">
        <v>45323</v>
      </c>
      <c r="F3" s="41">
        <v>45352</v>
      </c>
      <c r="G3" s="41">
        <v>45383</v>
      </c>
      <c r="H3" s="41">
        <v>45413</v>
      </c>
      <c r="I3" s="41">
        <v>45444</v>
      </c>
      <c r="J3" s="41">
        <v>45474</v>
      </c>
      <c r="K3" s="41">
        <v>45505</v>
      </c>
      <c r="L3" s="41">
        <v>45536</v>
      </c>
      <c r="M3" s="41">
        <v>45566</v>
      </c>
      <c r="N3" s="41">
        <v>45597</v>
      </c>
      <c r="O3" s="41">
        <v>45627</v>
      </c>
      <c r="P3" s="1" t="s">
        <v>47</v>
      </c>
    </row>
    <row r="4" spans="2:17" x14ac:dyDescent="0.25">
      <c r="B4" s="72" t="s">
        <v>11</v>
      </c>
      <c r="C4" s="72" t="s">
        <v>114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17">
        <f>SUM(D4:O4)</f>
        <v>0</v>
      </c>
    </row>
    <row r="5" spans="2:17" x14ac:dyDescent="0.25">
      <c r="B5" s="72" t="s">
        <v>106</v>
      </c>
      <c r="C5" s="72" t="s">
        <v>114</v>
      </c>
      <c r="D5" s="5">
        <v>583</v>
      </c>
      <c r="E5" s="5">
        <v>746</v>
      </c>
      <c r="F5" s="5">
        <v>746</v>
      </c>
      <c r="G5" s="5"/>
      <c r="H5" s="5"/>
      <c r="I5" s="5"/>
      <c r="J5" s="5"/>
      <c r="K5" s="5"/>
      <c r="L5" s="5">
        <v>922</v>
      </c>
      <c r="M5" s="5"/>
      <c r="N5" s="5"/>
      <c r="O5" s="5"/>
      <c r="P5" s="17">
        <f t="shared" ref="P5:P14" si="0">SUM(D5:O5)</f>
        <v>2997</v>
      </c>
      <c r="Q5" s="66"/>
    </row>
    <row r="6" spans="2:17" x14ac:dyDescent="0.25">
      <c r="B6" s="72" t="s">
        <v>107</v>
      </c>
      <c r="C6" s="72" t="s">
        <v>114</v>
      </c>
      <c r="D6" s="5"/>
      <c r="E6" s="5"/>
      <c r="F6" s="5"/>
      <c r="G6" s="5"/>
      <c r="H6" s="5">
        <v>205</v>
      </c>
      <c r="I6" s="5"/>
      <c r="J6" s="5"/>
      <c r="K6" s="5"/>
      <c r="L6" s="5"/>
      <c r="M6" s="5"/>
      <c r="N6" s="5"/>
      <c r="O6" s="5"/>
      <c r="P6" s="17">
        <f t="shared" si="0"/>
        <v>205</v>
      </c>
    </row>
    <row r="7" spans="2:17" x14ac:dyDescent="0.25">
      <c r="B7" s="72" t="s">
        <v>107</v>
      </c>
      <c r="C7" s="72" t="s">
        <v>115</v>
      </c>
      <c r="D7" s="5"/>
      <c r="E7" s="5"/>
      <c r="F7" s="5"/>
      <c r="G7" s="5"/>
      <c r="H7" s="5">
        <v>15</v>
      </c>
      <c r="I7" s="5"/>
      <c r="J7" s="5"/>
      <c r="K7" s="5"/>
      <c r="L7" s="5"/>
      <c r="M7" s="5"/>
      <c r="N7" s="5"/>
      <c r="O7" s="5"/>
      <c r="P7" s="17">
        <f t="shared" si="0"/>
        <v>15</v>
      </c>
    </row>
    <row r="8" spans="2:17" x14ac:dyDescent="0.25">
      <c r="B8" s="72" t="s">
        <v>188</v>
      </c>
      <c r="C8" s="72" t="s">
        <v>114</v>
      </c>
      <c r="D8" s="5">
        <v>68</v>
      </c>
      <c r="E8" s="5">
        <v>71</v>
      </c>
      <c r="F8" s="5">
        <v>71</v>
      </c>
      <c r="G8" s="5"/>
      <c r="H8" s="5"/>
      <c r="I8" s="5"/>
      <c r="J8" s="5"/>
      <c r="K8" s="5"/>
      <c r="L8" s="5"/>
      <c r="M8" s="5"/>
      <c r="N8" s="5"/>
      <c r="O8" s="5"/>
      <c r="P8" s="17">
        <f t="shared" si="0"/>
        <v>210</v>
      </c>
    </row>
    <row r="9" spans="2:17" x14ac:dyDescent="0.25">
      <c r="B9" s="72" t="s">
        <v>186</v>
      </c>
      <c r="C9" s="72" t="s">
        <v>114</v>
      </c>
      <c r="D9" s="5"/>
      <c r="E9" s="5">
        <v>68</v>
      </c>
      <c r="F9" s="5">
        <v>35</v>
      </c>
      <c r="G9" s="5"/>
      <c r="H9" s="5"/>
      <c r="I9" s="5"/>
      <c r="J9" s="5"/>
      <c r="K9" s="5"/>
      <c r="L9" s="5"/>
      <c r="M9" s="5"/>
      <c r="N9" s="5"/>
      <c r="O9" s="5"/>
      <c r="P9" s="17">
        <f t="shared" si="0"/>
        <v>103</v>
      </c>
    </row>
    <row r="10" spans="2:17" x14ac:dyDescent="0.25">
      <c r="B10" s="72" t="s">
        <v>109</v>
      </c>
      <c r="C10" s="72" t="s">
        <v>115</v>
      </c>
      <c r="D10" s="5">
        <v>52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7">
        <f t="shared" si="0"/>
        <v>52</v>
      </c>
    </row>
    <row r="11" spans="2:17" x14ac:dyDescent="0.25">
      <c r="B11" s="72" t="s">
        <v>109</v>
      </c>
      <c r="C11" s="72" t="s">
        <v>187</v>
      </c>
      <c r="D11" s="5">
        <v>890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7">
        <f t="shared" si="0"/>
        <v>890</v>
      </c>
    </row>
    <row r="12" spans="2:17" x14ac:dyDescent="0.25">
      <c r="B12" s="72" t="s">
        <v>189</v>
      </c>
      <c r="C12" s="72" t="s">
        <v>187</v>
      </c>
      <c r="D12" s="5">
        <v>51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7">
        <f t="shared" si="0"/>
        <v>51</v>
      </c>
    </row>
    <row r="13" spans="2:17" x14ac:dyDescent="0.25">
      <c r="B13" s="72" t="s">
        <v>110</v>
      </c>
      <c r="C13" s="72" t="s">
        <v>187</v>
      </c>
      <c r="D13" s="5">
        <v>58</v>
      </c>
      <c r="E13" s="5"/>
      <c r="F13" s="5"/>
      <c r="G13" s="5"/>
      <c r="H13" s="5"/>
      <c r="I13" s="5"/>
      <c r="J13" s="5"/>
      <c r="K13" s="5"/>
      <c r="L13" s="5">
        <v>33</v>
      </c>
      <c r="M13" s="5"/>
      <c r="N13" s="5"/>
      <c r="O13" s="5"/>
      <c r="P13" s="17">
        <f t="shared" si="0"/>
        <v>91</v>
      </c>
    </row>
    <row r="14" spans="2:17" x14ac:dyDescent="0.25">
      <c r="B14" s="72" t="s">
        <v>185</v>
      </c>
      <c r="C14" s="72" t="s">
        <v>187</v>
      </c>
      <c r="D14" s="5"/>
      <c r="E14" s="5">
        <v>7</v>
      </c>
      <c r="F14" s="5">
        <v>7</v>
      </c>
      <c r="G14" s="5"/>
      <c r="H14" s="5"/>
      <c r="I14" s="5"/>
      <c r="J14" s="5"/>
      <c r="K14" s="5"/>
      <c r="L14" s="5"/>
      <c r="M14" s="5"/>
      <c r="N14" s="5"/>
      <c r="O14" s="5"/>
      <c r="P14" s="17">
        <f t="shared" si="0"/>
        <v>14</v>
      </c>
    </row>
    <row r="15" spans="2:17" x14ac:dyDescent="0.25">
      <c r="C15" s="45" t="s">
        <v>123</v>
      </c>
      <c r="D15" s="7">
        <f>SUM(D4,D5,D6,D8,D9,D11,D12,D13,D14)</f>
        <v>1650</v>
      </c>
      <c r="E15" s="7">
        <f t="shared" ref="E15:O15" si="1">SUM(E4,E5,E6,E8,E9,E11,E12,E13,E14)</f>
        <v>892</v>
      </c>
      <c r="F15" s="7">
        <f t="shared" si="1"/>
        <v>859</v>
      </c>
      <c r="G15" s="7">
        <f t="shared" si="1"/>
        <v>0</v>
      </c>
      <c r="H15" s="7">
        <f t="shared" si="1"/>
        <v>205</v>
      </c>
      <c r="I15" s="7">
        <f t="shared" si="1"/>
        <v>0</v>
      </c>
      <c r="J15" s="7">
        <f t="shared" si="1"/>
        <v>0</v>
      </c>
      <c r="K15" s="7">
        <f t="shared" si="1"/>
        <v>0</v>
      </c>
      <c r="L15" s="7">
        <f t="shared" si="1"/>
        <v>955</v>
      </c>
      <c r="M15" s="7">
        <f t="shared" si="1"/>
        <v>0</v>
      </c>
      <c r="N15" s="7">
        <f t="shared" si="1"/>
        <v>0</v>
      </c>
      <c r="O15" s="7">
        <f t="shared" si="1"/>
        <v>0</v>
      </c>
      <c r="P15" s="7">
        <f>SUM(P4,P5,P6,P8,P9,P11,P12,P13,P14)</f>
        <v>4561</v>
      </c>
    </row>
    <row r="18" spans="2:15" x14ac:dyDescent="0.25">
      <c r="D18" s="7">
        <v>1650</v>
      </c>
      <c r="E18" s="7">
        <v>892</v>
      </c>
      <c r="F18" s="7">
        <v>859</v>
      </c>
      <c r="G18" s="7">
        <v>0</v>
      </c>
      <c r="H18" s="7">
        <v>205</v>
      </c>
      <c r="I18" s="7">
        <v>0</v>
      </c>
      <c r="J18" s="7">
        <v>0</v>
      </c>
      <c r="K18" s="7">
        <v>0</v>
      </c>
      <c r="L18" s="7">
        <v>955</v>
      </c>
      <c r="M18" s="7">
        <v>0</v>
      </c>
      <c r="N18" s="7">
        <v>0</v>
      </c>
      <c r="O18" s="7">
        <v>0</v>
      </c>
    </row>
    <row r="20" spans="2:15" x14ac:dyDescent="0.25">
      <c r="B20" t="s">
        <v>190</v>
      </c>
    </row>
  </sheetData>
  <mergeCells count="1">
    <mergeCell ref="B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23A9-4E37-4206-BF1F-EF343AF8CFB7}">
  <dimension ref="A2:R37"/>
  <sheetViews>
    <sheetView topLeftCell="A21" workbookViewId="0">
      <selection activeCell="B37" sqref="B37"/>
    </sheetView>
  </sheetViews>
  <sheetFormatPr baseColWidth="10" defaultRowHeight="15" x14ac:dyDescent="0.25"/>
  <cols>
    <col min="2" max="4" width="18.7109375" customWidth="1"/>
    <col min="18" max="18" width="36.140625" customWidth="1"/>
  </cols>
  <sheetData>
    <row r="2" spans="1:18" ht="26.25" x14ac:dyDescent="0.4">
      <c r="B2" s="92" t="s">
        <v>54</v>
      </c>
      <c r="C2" s="92"/>
      <c r="D2" s="92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t="s">
        <v>121</v>
      </c>
    </row>
    <row r="3" spans="1:18" x14ac:dyDescent="0.25">
      <c r="B3" s="30" t="s">
        <v>117</v>
      </c>
      <c r="C3" s="30"/>
      <c r="D3" s="30" t="s">
        <v>116</v>
      </c>
      <c r="E3" s="41">
        <v>45292</v>
      </c>
      <c r="F3" s="41">
        <v>45323</v>
      </c>
      <c r="G3" s="41">
        <v>45352</v>
      </c>
      <c r="H3" s="41">
        <v>45383</v>
      </c>
      <c r="I3" s="41">
        <v>45413</v>
      </c>
      <c r="J3" s="41">
        <v>45444</v>
      </c>
      <c r="K3" s="41">
        <v>45474</v>
      </c>
      <c r="L3" s="41">
        <v>45505</v>
      </c>
      <c r="M3" s="41">
        <v>45536</v>
      </c>
      <c r="N3" s="41">
        <v>45566</v>
      </c>
      <c r="O3" s="41">
        <v>45597</v>
      </c>
      <c r="P3" s="41">
        <v>45627</v>
      </c>
      <c r="Q3" s="1" t="s">
        <v>47</v>
      </c>
    </row>
    <row r="4" spans="1:18" s="46" customFormat="1" x14ac:dyDescent="0.25">
      <c r="A4" s="46">
        <v>3</v>
      </c>
      <c r="B4" s="47" t="s">
        <v>11</v>
      </c>
      <c r="C4" s="47" t="s">
        <v>10</v>
      </c>
      <c r="D4" s="47" t="s">
        <v>114</v>
      </c>
      <c r="E4" s="48"/>
      <c r="F4" s="48"/>
      <c r="G4" s="48">
        <v>53</v>
      </c>
      <c r="H4" s="48"/>
      <c r="I4" s="48"/>
      <c r="J4" s="48"/>
      <c r="K4" s="48"/>
      <c r="L4" s="48"/>
      <c r="M4" s="48">
        <v>225</v>
      </c>
      <c r="N4" s="48"/>
      <c r="O4" s="48"/>
      <c r="P4" s="48">
        <v>225</v>
      </c>
      <c r="Q4" s="49">
        <f>SUM(E4:P4)</f>
        <v>503</v>
      </c>
    </row>
    <row r="5" spans="1:18" s="46" customFormat="1" x14ac:dyDescent="0.25">
      <c r="A5" s="46">
        <v>1</v>
      </c>
      <c r="B5" s="47" t="s">
        <v>106</v>
      </c>
      <c r="C5" s="47" t="s">
        <v>20</v>
      </c>
      <c r="D5" s="47" t="s">
        <v>114</v>
      </c>
      <c r="E5" s="48">
        <f t="shared" ref="E5:P5" si="0">E11*1/20</f>
        <v>3.1</v>
      </c>
      <c r="F5" s="48">
        <f t="shared" si="0"/>
        <v>3.45</v>
      </c>
      <c r="G5" s="48">
        <f t="shared" si="0"/>
        <v>4.2</v>
      </c>
      <c r="H5" s="48">
        <f t="shared" si="0"/>
        <v>4.9000000000000004</v>
      </c>
      <c r="I5" s="48">
        <f t="shared" si="0"/>
        <v>3.35</v>
      </c>
      <c r="J5" s="48">
        <f t="shared" si="0"/>
        <v>2.4500000000000002</v>
      </c>
      <c r="K5" s="48">
        <f t="shared" si="0"/>
        <v>3.8</v>
      </c>
      <c r="L5" s="48">
        <f t="shared" si="0"/>
        <v>3.95</v>
      </c>
      <c r="M5" s="48">
        <f t="shared" si="0"/>
        <v>2.85</v>
      </c>
      <c r="N5" s="48">
        <f t="shared" si="0"/>
        <v>2.95</v>
      </c>
      <c r="O5" s="48">
        <f t="shared" si="0"/>
        <v>3.2</v>
      </c>
      <c r="P5" s="48">
        <f t="shared" si="0"/>
        <v>1.85</v>
      </c>
      <c r="Q5" s="49">
        <f>SUM(E5:P5)</f>
        <v>40.050000000000004</v>
      </c>
      <c r="R5" s="50"/>
    </row>
    <row r="6" spans="1:18" s="46" customFormat="1" x14ac:dyDescent="0.25">
      <c r="A6" s="46">
        <v>5</v>
      </c>
      <c r="B6" s="47" t="s">
        <v>107</v>
      </c>
      <c r="C6" s="47" t="s">
        <v>41</v>
      </c>
      <c r="D6" s="47" t="s">
        <v>114</v>
      </c>
      <c r="E6" s="48">
        <v>12</v>
      </c>
      <c r="F6" s="48">
        <v>5</v>
      </c>
      <c r="G6" s="48">
        <v>11</v>
      </c>
      <c r="H6" s="48">
        <v>12</v>
      </c>
      <c r="I6" s="48">
        <v>13</v>
      </c>
      <c r="J6" s="48">
        <v>5</v>
      </c>
      <c r="K6" s="48"/>
      <c r="L6" s="48">
        <v>4</v>
      </c>
      <c r="M6" s="48">
        <v>4</v>
      </c>
      <c r="N6" s="48">
        <v>16</v>
      </c>
      <c r="O6" s="48">
        <v>12</v>
      </c>
      <c r="P6" s="48">
        <v>7</v>
      </c>
      <c r="Q6" s="49">
        <f>SUM(E6:P6)</f>
        <v>101</v>
      </c>
    </row>
    <row r="7" spans="1:18" ht="15.75" customHeight="1" x14ac:dyDescent="0.25">
      <c r="A7">
        <v>2</v>
      </c>
      <c r="B7" s="42" t="s">
        <v>113</v>
      </c>
      <c r="C7" s="42" t="s">
        <v>29</v>
      </c>
      <c r="D7" s="42" t="s">
        <v>114</v>
      </c>
      <c r="E7" s="43">
        <v>324</v>
      </c>
      <c r="F7" s="43">
        <v>380</v>
      </c>
      <c r="G7" s="43">
        <v>262</v>
      </c>
      <c r="H7" s="43">
        <v>378</v>
      </c>
      <c r="I7" s="43">
        <v>343</v>
      </c>
      <c r="J7" s="43">
        <v>303</v>
      </c>
      <c r="K7" s="43">
        <v>275</v>
      </c>
      <c r="L7" s="43">
        <v>374</v>
      </c>
      <c r="M7" s="43">
        <v>292</v>
      </c>
      <c r="N7" s="43">
        <v>374</v>
      </c>
      <c r="O7" s="43">
        <v>354</v>
      </c>
      <c r="P7" s="43">
        <v>135</v>
      </c>
      <c r="Q7" s="44">
        <f t="shared" ref="Q7:Q8" si="1">SUM(E7:P7)</f>
        <v>3794</v>
      </c>
    </row>
    <row r="8" spans="1:18" s="46" customFormat="1" x14ac:dyDescent="0.25">
      <c r="A8" s="46">
        <v>4</v>
      </c>
      <c r="B8" s="47" t="s">
        <v>138</v>
      </c>
      <c r="C8" s="47" t="s">
        <v>118</v>
      </c>
      <c r="D8" s="47" t="s">
        <v>114</v>
      </c>
      <c r="E8" s="48">
        <v>5</v>
      </c>
      <c r="F8" s="48">
        <v>4</v>
      </c>
      <c r="G8" s="48">
        <v>4</v>
      </c>
      <c r="H8" s="48">
        <v>9</v>
      </c>
      <c r="I8" s="48">
        <v>7</v>
      </c>
      <c r="J8" s="48">
        <v>1</v>
      </c>
      <c r="K8" s="48">
        <v>2</v>
      </c>
      <c r="L8" s="48">
        <v>3</v>
      </c>
      <c r="M8" s="48">
        <v>2</v>
      </c>
      <c r="N8" s="48">
        <v>1</v>
      </c>
      <c r="O8" s="48">
        <v>1</v>
      </c>
      <c r="P8" s="48"/>
      <c r="Q8" s="49">
        <f t="shared" si="1"/>
        <v>39</v>
      </c>
    </row>
    <row r="9" spans="1:18" s="46" customFormat="1" x14ac:dyDescent="0.25">
      <c r="A9" s="46">
        <v>4</v>
      </c>
      <c r="B9" s="47" t="s">
        <v>139</v>
      </c>
      <c r="C9" s="47" t="s">
        <v>118</v>
      </c>
      <c r="D9" s="47" t="s">
        <v>114</v>
      </c>
      <c r="E9" s="48">
        <v>5</v>
      </c>
      <c r="F9" s="48">
        <v>4</v>
      </c>
      <c r="G9" s="48">
        <v>4</v>
      </c>
      <c r="H9" s="48">
        <v>9</v>
      </c>
      <c r="I9" s="48">
        <v>7</v>
      </c>
      <c r="J9" s="48">
        <v>1</v>
      </c>
      <c r="K9" s="48">
        <v>2</v>
      </c>
      <c r="L9" s="48">
        <v>3</v>
      </c>
      <c r="M9" s="48">
        <v>2</v>
      </c>
      <c r="N9" s="48">
        <v>1</v>
      </c>
      <c r="O9" s="48">
        <v>1</v>
      </c>
      <c r="P9" s="48"/>
      <c r="Q9" s="49">
        <f t="shared" ref="Q9" si="2">SUM(E9:P9)</f>
        <v>39</v>
      </c>
    </row>
    <row r="10" spans="1:18" s="52" customFormat="1" x14ac:dyDescent="0.25">
      <c r="B10" s="53" t="s">
        <v>109</v>
      </c>
      <c r="C10" s="53"/>
      <c r="D10" s="53" t="s">
        <v>115</v>
      </c>
      <c r="E10" s="54">
        <v>36</v>
      </c>
      <c r="F10" s="54">
        <v>21</v>
      </c>
      <c r="G10" s="54">
        <v>19</v>
      </c>
      <c r="H10" s="54">
        <v>40</v>
      </c>
      <c r="I10" s="54">
        <v>24</v>
      </c>
      <c r="J10" s="54">
        <v>19</v>
      </c>
      <c r="K10" s="54">
        <v>35</v>
      </c>
      <c r="L10" s="54">
        <v>29</v>
      </c>
      <c r="M10" s="54">
        <v>28</v>
      </c>
      <c r="N10" s="54">
        <v>45</v>
      </c>
      <c r="O10" s="54">
        <v>26</v>
      </c>
      <c r="P10" s="54">
        <v>25</v>
      </c>
      <c r="Q10" s="55">
        <f>SUM(E10:P10)</f>
        <v>347</v>
      </c>
    </row>
    <row r="11" spans="1:18" x14ac:dyDescent="0.25">
      <c r="A11">
        <v>1</v>
      </c>
      <c r="B11" s="42" t="s">
        <v>106</v>
      </c>
      <c r="C11" s="42" t="s">
        <v>20</v>
      </c>
      <c r="D11" s="42" t="s">
        <v>112</v>
      </c>
      <c r="E11" s="43">
        <v>62</v>
      </c>
      <c r="F11" s="43">
        <v>69</v>
      </c>
      <c r="G11" s="43">
        <v>84</v>
      </c>
      <c r="H11" s="43">
        <v>98</v>
      </c>
      <c r="I11" s="43">
        <v>67</v>
      </c>
      <c r="J11" s="43">
        <v>49</v>
      </c>
      <c r="K11" s="43">
        <v>76</v>
      </c>
      <c r="L11" s="43">
        <v>79</v>
      </c>
      <c r="M11" s="43">
        <v>57</v>
      </c>
      <c r="N11" s="43">
        <v>59</v>
      </c>
      <c r="O11" s="43">
        <v>64</v>
      </c>
      <c r="P11" s="43">
        <v>37</v>
      </c>
      <c r="Q11" s="44">
        <f>SUM(E11:P11)</f>
        <v>801</v>
      </c>
    </row>
    <row r="12" spans="1:18" x14ac:dyDescent="0.25">
      <c r="D12" s="45" t="s">
        <v>123</v>
      </c>
      <c r="E12" s="7">
        <f>SUM(E4:E8)</f>
        <v>344.1</v>
      </c>
      <c r="F12" s="7">
        <f t="shared" ref="F12:Q12" si="3">SUM(F4:F8)</f>
        <v>392.45</v>
      </c>
      <c r="G12" s="7">
        <f t="shared" si="3"/>
        <v>334.2</v>
      </c>
      <c r="H12" s="7">
        <f t="shared" si="3"/>
        <v>403.9</v>
      </c>
      <c r="I12" s="7">
        <f t="shared" si="3"/>
        <v>366.35</v>
      </c>
      <c r="J12" s="7">
        <f t="shared" si="3"/>
        <v>311.45</v>
      </c>
      <c r="K12" s="7">
        <f t="shared" si="3"/>
        <v>280.8</v>
      </c>
      <c r="L12" s="7">
        <f t="shared" si="3"/>
        <v>384.95</v>
      </c>
      <c r="M12" s="7">
        <f t="shared" si="3"/>
        <v>525.85</v>
      </c>
      <c r="N12" s="7">
        <f t="shared" si="3"/>
        <v>393.95</v>
      </c>
      <c r="O12" s="7">
        <f t="shared" si="3"/>
        <v>370.2</v>
      </c>
      <c r="P12" s="7">
        <f>SUM(P4:P8)</f>
        <v>368.85</v>
      </c>
      <c r="Q12">
        <f t="shared" si="3"/>
        <v>4477.05</v>
      </c>
    </row>
    <row r="15" spans="1:18" x14ac:dyDescent="0.25">
      <c r="E15">
        <v>344.1</v>
      </c>
      <c r="F15">
        <v>392.45</v>
      </c>
      <c r="G15">
        <v>334.2</v>
      </c>
      <c r="H15">
        <v>403.9</v>
      </c>
      <c r="I15">
        <v>366.35</v>
      </c>
      <c r="J15">
        <v>311.45</v>
      </c>
      <c r="K15">
        <v>280.8</v>
      </c>
      <c r="L15">
        <v>384.95</v>
      </c>
      <c r="M15">
        <v>525.85</v>
      </c>
      <c r="N15">
        <v>393.95</v>
      </c>
      <c r="O15">
        <v>370.2</v>
      </c>
      <c r="P15">
        <v>368.85</v>
      </c>
      <c r="R15">
        <f>683+39</f>
        <v>722</v>
      </c>
    </row>
    <row r="17" spans="2:17" x14ac:dyDescent="0.25">
      <c r="E17">
        <f>SUM(E4+E5+E6+E8+E9)</f>
        <v>25.1</v>
      </c>
      <c r="F17">
        <f t="shared" ref="F17:Q17" si="4">SUM(F4+F5+F6+F8+F9)</f>
        <v>16.45</v>
      </c>
      <c r="G17">
        <f t="shared" si="4"/>
        <v>76.2</v>
      </c>
      <c r="H17">
        <f t="shared" si="4"/>
        <v>34.9</v>
      </c>
      <c r="I17">
        <f t="shared" si="4"/>
        <v>30.35</v>
      </c>
      <c r="J17">
        <f t="shared" si="4"/>
        <v>9.4499999999999993</v>
      </c>
      <c r="K17">
        <f t="shared" si="4"/>
        <v>7.8</v>
      </c>
      <c r="L17">
        <f t="shared" si="4"/>
        <v>13.95</v>
      </c>
      <c r="M17">
        <f t="shared" si="4"/>
        <v>235.85</v>
      </c>
      <c r="N17">
        <f t="shared" si="4"/>
        <v>20.95</v>
      </c>
      <c r="O17">
        <f t="shared" si="4"/>
        <v>17.2</v>
      </c>
      <c r="P17">
        <f t="shared" si="4"/>
        <v>233.85</v>
      </c>
      <c r="Q17">
        <f t="shared" si="4"/>
        <v>722.05</v>
      </c>
    </row>
    <row r="20" spans="2:17" x14ac:dyDescent="0.25">
      <c r="E20" t="s">
        <v>140</v>
      </c>
      <c r="F20" t="s">
        <v>141</v>
      </c>
      <c r="G20" t="s">
        <v>142</v>
      </c>
      <c r="H20" t="s">
        <v>143</v>
      </c>
      <c r="I20" t="s">
        <v>144</v>
      </c>
      <c r="J20" t="s">
        <v>145</v>
      </c>
      <c r="K20" t="s">
        <v>146</v>
      </c>
      <c r="L20" t="s">
        <v>147</v>
      </c>
      <c r="M20" t="s">
        <v>148</v>
      </c>
      <c r="N20" t="s">
        <v>149</v>
      </c>
      <c r="O20" t="s">
        <v>150</v>
      </c>
      <c r="P20" t="s">
        <v>151</v>
      </c>
    </row>
    <row r="22" spans="2:17" x14ac:dyDescent="0.25">
      <c r="E22" t="s">
        <v>140</v>
      </c>
      <c r="F22" t="s">
        <v>141</v>
      </c>
      <c r="G22" t="s">
        <v>142</v>
      </c>
      <c r="H22" t="s">
        <v>143</v>
      </c>
      <c r="I22" t="s">
        <v>144</v>
      </c>
      <c r="J22" t="s">
        <v>145</v>
      </c>
      <c r="K22" t="s">
        <v>146</v>
      </c>
      <c r="L22" t="s">
        <v>147</v>
      </c>
      <c r="M22" t="s">
        <v>148</v>
      </c>
      <c r="N22" t="s">
        <v>149</v>
      </c>
      <c r="O22" t="s">
        <v>150</v>
      </c>
      <c r="P22" t="s">
        <v>151</v>
      </c>
    </row>
    <row r="27" spans="2:17" x14ac:dyDescent="0.25">
      <c r="B27" s="52" t="s">
        <v>11</v>
      </c>
      <c r="C27" s="52" t="s">
        <v>10</v>
      </c>
      <c r="D27" s="52" t="s">
        <v>114</v>
      </c>
      <c r="E27" s="52"/>
      <c r="F27" s="52"/>
      <c r="G27" s="52">
        <v>53</v>
      </c>
      <c r="H27" s="52"/>
      <c r="I27" s="52"/>
      <c r="J27" s="52"/>
      <c r="K27" s="52"/>
      <c r="L27" s="52"/>
      <c r="M27" s="52">
        <v>225</v>
      </c>
      <c r="N27" s="52"/>
      <c r="O27" s="52"/>
      <c r="P27" s="52">
        <v>225</v>
      </c>
      <c r="Q27" s="52">
        <v>503</v>
      </c>
    </row>
    <row r="28" spans="2:17" x14ac:dyDescent="0.25">
      <c r="B28" s="52" t="s">
        <v>106</v>
      </c>
      <c r="C28" s="52" t="s">
        <v>20</v>
      </c>
      <c r="D28" s="52" t="s">
        <v>114</v>
      </c>
      <c r="E28" s="58">
        <v>3.1</v>
      </c>
      <c r="F28" s="58">
        <v>3.45</v>
      </c>
      <c r="G28" s="58">
        <v>4.2</v>
      </c>
      <c r="H28" s="58">
        <v>4.9000000000000004</v>
      </c>
      <c r="I28" s="58">
        <v>3.35</v>
      </c>
      <c r="J28" s="58">
        <v>2.4500000000000002</v>
      </c>
      <c r="K28" s="58">
        <v>3.8</v>
      </c>
      <c r="L28" s="58">
        <v>3.95</v>
      </c>
      <c r="M28" s="58">
        <v>2.85</v>
      </c>
      <c r="N28" s="58">
        <v>2.95</v>
      </c>
      <c r="O28" s="58">
        <v>3.2</v>
      </c>
      <c r="P28" s="58">
        <v>1.85</v>
      </c>
      <c r="Q28" s="58">
        <v>40.050000000000004</v>
      </c>
    </row>
    <row r="29" spans="2:17" x14ac:dyDescent="0.25">
      <c r="B29" s="52" t="s">
        <v>107</v>
      </c>
      <c r="C29" s="52" t="s">
        <v>41</v>
      </c>
      <c r="D29" s="52" t="s">
        <v>114</v>
      </c>
      <c r="E29" s="52">
        <v>12</v>
      </c>
      <c r="F29" s="52">
        <v>5</v>
      </c>
      <c r="G29" s="52">
        <v>11</v>
      </c>
      <c r="H29" s="52">
        <v>12</v>
      </c>
      <c r="I29" s="52">
        <v>13</v>
      </c>
      <c r="J29" s="52">
        <v>5</v>
      </c>
      <c r="K29" s="52"/>
      <c r="L29" s="52">
        <v>4</v>
      </c>
      <c r="M29" s="52">
        <v>4</v>
      </c>
      <c r="N29" s="52">
        <v>16</v>
      </c>
      <c r="O29" s="52">
        <v>12</v>
      </c>
      <c r="P29" s="52">
        <v>7</v>
      </c>
      <c r="Q29" s="52">
        <v>101</v>
      </c>
    </row>
    <row r="30" spans="2:17" x14ac:dyDescent="0.25">
      <c r="B30" s="52" t="s">
        <v>138</v>
      </c>
      <c r="C30" s="52" t="s">
        <v>118</v>
      </c>
      <c r="D30" s="52" t="s">
        <v>114</v>
      </c>
      <c r="E30" s="52">
        <v>5</v>
      </c>
      <c r="F30" s="52">
        <v>4</v>
      </c>
      <c r="G30" s="52">
        <v>4</v>
      </c>
      <c r="H30" s="52">
        <v>9</v>
      </c>
      <c r="I30" s="52">
        <v>7</v>
      </c>
      <c r="J30" s="52">
        <v>1</v>
      </c>
      <c r="K30" s="52">
        <v>2</v>
      </c>
      <c r="L30" s="52">
        <v>3</v>
      </c>
      <c r="M30" s="52">
        <v>2</v>
      </c>
      <c r="N30" s="52">
        <v>1</v>
      </c>
      <c r="O30" s="52">
        <v>1</v>
      </c>
      <c r="P30" s="52"/>
      <c r="Q30" s="52">
        <v>39</v>
      </c>
    </row>
    <row r="31" spans="2:17" x14ac:dyDescent="0.25">
      <c r="B31" s="52" t="s">
        <v>139</v>
      </c>
      <c r="C31" s="52" t="s">
        <v>118</v>
      </c>
      <c r="D31" s="52" t="s">
        <v>114</v>
      </c>
      <c r="E31" s="52">
        <v>5</v>
      </c>
      <c r="F31" s="52">
        <v>4</v>
      </c>
      <c r="G31" s="52">
        <v>4</v>
      </c>
      <c r="H31" s="52">
        <v>9</v>
      </c>
      <c r="I31" s="52">
        <v>7</v>
      </c>
      <c r="J31" s="52">
        <v>1</v>
      </c>
      <c r="K31" s="52">
        <v>2</v>
      </c>
      <c r="L31" s="52">
        <v>3</v>
      </c>
      <c r="M31" s="52">
        <v>2</v>
      </c>
      <c r="N31" s="52">
        <v>1</v>
      </c>
      <c r="O31" s="52">
        <v>1</v>
      </c>
      <c r="P31" s="52"/>
      <c r="Q31" s="52">
        <v>39</v>
      </c>
    </row>
    <row r="32" spans="2:17" x14ac:dyDescent="0.25">
      <c r="Q32" s="56">
        <f>SUM(Q27:Q31)</f>
        <v>722.05</v>
      </c>
    </row>
    <row r="33" spans="5:16" x14ac:dyDescent="0.25">
      <c r="E33" s="57">
        <f>SUM(E27:E31)</f>
        <v>25.1</v>
      </c>
      <c r="F33" s="57">
        <f t="shared" ref="F33:P33" si="5">SUM(F27:F31)</f>
        <v>16.45</v>
      </c>
      <c r="G33" s="57">
        <f t="shared" si="5"/>
        <v>76.2</v>
      </c>
      <c r="H33" s="57">
        <f t="shared" si="5"/>
        <v>34.9</v>
      </c>
      <c r="I33" s="57">
        <f t="shared" si="5"/>
        <v>30.35</v>
      </c>
      <c r="J33" s="57">
        <f t="shared" si="5"/>
        <v>9.4499999999999993</v>
      </c>
      <c r="K33" s="57">
        <f t="shared" si="5"/>
        <v>7.8</v>
      </c>
      <c r="L33" s="57">
        <f t="shared" si="5"/>
        <v>13.95</v>
      </c>
      <c r="M33" s="57">
        <f t="shared" si="5"/>
        <v>235.85</v>
      </c>
      <c r="N33" s="57">
        <f t="shared" si="5"/>
        <v>20.95</v>
      </c>
      <c r="O33" s="57">
        <f t="shared" si="5"/>
        <v>17.2</v>
      </c>
      <c r="P33" s="57">
        <f t="shared" si="5"/>
        <v>233.85</v>
      </c>
    </row>
    <row r="35" spans="5:16" x14ac:dyDescent="0.25">
      <c r="E35" s="56">
        <v>25.1</v>
      </c>
      <c r="F35" s="56">
        <v>16.45</v>
      </c>
      <c r="G35" s="56">
        <v>76.2</v>
      </c>
      <c r="H35" s="56">
        <v>34.9</v>
      </c>
      <c r="I35" s="56">
        <v>30.35</v>
      </c>
      <c r="J35" s="56">
        <v>9.4499999999999993</v>
      </c>
      <c r="K35" s="56">
        <v>7.8</v>
      </c>
      <c r="L35" s="56">
        <v>13.95</v>
      </c>
      <c r="M35" s="56">
        <v>235.85</v>
      </c>
      <c r="N35" s="56">
        <v>20.95</v>
      </c>
      <c r="O35" s="56">
        <v>17.2</v>
      </c>
      <c r="P35" s="56">
        <v>233.85</v>
      </c>
    </row>
    <row r="37" spans="5:16" x14ac:dyDescent="0.25">
      <c r="E37">
        <v>25</v>
      </c>
      <c r="F37">
        <v>16</v>
      </c>
      <c r="G37">
        <v>76</v>
      </c>
      <c r="H37">
        <v>35</v>
      </c>
      <c r="I37">
        <v>30</v>
      </c>
      <c r="J37">
        <v>9</v>
      </c>
      <c r="K37">
        <v>8</v>
      </c>
      <c r="L37">
        <v>14</v>
      </c>
      <c r="M37">
        <v>236</v>
      </c>
      <c r="N37">
        <v>21</v>
      </c>
      <c r="O37">
        <v>17</v>
      </c>
      <c r="P37">
        <v>234</v>
      </c>
    </row>
  </sheetData>
  <mergeCells count="1">
    <mergeCell ref="B2:Q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9C21-7762-4308-9D7C-F166C4C5A10E}">
  <dimension ref="A1:J28"/>
  <sheetViews>
    <sheetView topLeftCell="A14" workbookViewId="0">
      <selection activeCell="C25" sqref="C25"/>
    </sheetView>
  </sheetViews>
  <sheetFormatPr baseColWidth="10" defaultColWidth="11.42578125" defaultRowHeight="15" x14ac:dyDescent="0.25"/>
  <cols>
    <col min="1" max="1" width="19.140625" customWidth="1"/>
    <col min="2" max="2" width="17.42578125" customWidth="1"/>
    <col min="3" max="3" width="24.140625" customWidth="1"/>
    <col min="4" max="6" width="16.7109375" customWidth="1"/>
    <col min="7" max="7" width="15.5703125" customWidth="1"/>
    <col min="8" max="10" width="20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3" t="s">
        <v>8</v>
      </c>
      <c r="J1" s="3"/>
    </row>
    <row r="2" spans="1:10" s="4" customFormat="1" x14ac:dyDescent="0.25">
      <c r="A2" s="5" t="s">
        <v>9</v>
      </c>
      <c r="B2" s="5" t="s">
        <v>10</v>
      </c>
      <c r="C2" s="5" t="s">
        <v>11</v>
      </c>
      <c r="D2" s="5">
        <v>53</v>
      </c>
      <c r="E2" s="6" t="s">
        <v>12</v>
      </c>
      <c r="F2" s="5" t="s">
        <v>13</v>
      </c>
      <c r="G2" s="22">
        <v>44967</v>
      </c>
      <c r="H2" s="5" t="s">
        <v>14</v>
      </c>
      <c r="I2" s="5" t="s">
        <v>15</v>
      </c>
      <c r="J2" s="7"/>
    </row>
    <row r="3" spans="1:10" s="4" customFormat="1" x14ac:dyDescent="0.25">
      <c r="A3" s="5" t="s">
        <v>9</v>
      </c>
      <c r="B3" s="5" t="s">
        <v>10</v>
      </c>
      <c r="C3" s="5" t="s">
        <v>11</v>
      </c>
      <c r="D3" s="5">
        <v>73</v>
      </c>
      <c r="E3" s="6" t="s">
        <v>12</v>
      </c>
      <c r="F3" s="5" t="s">
        <v>16</v>
      </c>
      <c r="G3" s="23">
        <v>45063</v>
      </c>
      <c r="H3" s="5" t="s">
        <v>14</v>
      </c>
      <c r="I3" s="5" t="s">
        <v>15</v>
      </c>
      <c r="J3" s="7"/>
    </row>
    <row r="4" spans="1:10" s="4" customFormat="1" x14ac:dyDescent="0.25">
      <c r="A4" s="5" t="s">
        <v>9</v>
      </c>
      <c r="B4" s="5" t="s">
        <v>10</v>
      </c>
      <c r="C4" s="5" t="s">
        <v>11</v>
      </c>
      <c r="D4" s="5">
        <v>94.15</v>
      </c>
      <c r="E4" s="6" t="s">
        <v>12</v>
      </c>
      <c r="F4" s="5" t="s">
        <v>17</v>
      </c>
      <c r="G4" s="23">
        <v>45118</v>
      </c>
      <c r="H4" s="5" t="s">
        <v>14</v>
      </c>
      <c r="I4" s="5" t="s">
        <v>15</v>
      </c>
      <c r="J4" s="7"/>
    </row>
    <row r="5" spans="1:10" s="4" customFormat="1" ht="48" customHeight="1" x14ac:dyDescent="0.25">
      <c r="A5" s="5" t="s">
        <v>9</v>
      </c>
      <c r="B5" s="5" t="s">
        <v>10</v>
      </c>
      <c r="C5" s="5" t="s">
        <v>11</v>
      </c>
      <c r="D5" s="5">
        <v>135</v>
      </c>
      <c r="E5" s="6" t="s">
        <v>12</v>
      </c>
      <c r="F5" s="5" t="s">
        <v>18</v>
      </c>
      <c r="G5" s="23">
        <v>45226</v>
      </c>
      <c r="H5" s="5" t="s">
        <v>14</v>
      </c>
      <c r="I5" s="5" t="s">
        <v>15</v>
      </c>
      <c r="J5" s="7"/>
    </row>
    <row r="6" spans="1:10" ht="43.5" customHeight="1" x14ac:dyDescent="0.25">
      <c r="A6" s="5" t="s">
        <v>19</v>
      </c>
      <c r="B6" s="5" t="s">
        <v>20</v>
      </c>
      <c r="C6" s="5" t="s">
        <v>21</v>
      </c>
      <c r="D6" s="14" t="s">
        <v>22</v>
      </c>
      <c r="E6" s="20" t="s">
        <v>23</v>
      </c>
      <c r="F6" s="14" t="s">
        <v>13</v>
      </c>
      <c r="G6" s="24">
        <v>44967</v>
      </c>
      <c r="H6" s="5" t="s">
        <v>24</v>
      </c>
      <c r="I6" s="14" t="s">
        <v>25</v>
      </c>
    </row>
    <row r="7" spans="1:10" ht="45" x14ac:dyDescent="0.25">
      <c r="A7" s="5" t="s">
        <v>19</v>
      </c>
      <c r="B7" s="5" t="s">
        <v>26</v>
      </c>
      <c r="C7" s="14" t="s">
        <v>27</v>
      </c>
      <c r="D7" s="5">
        <v>37.700000000000003</v>
      </c>
      <c r="E7" s="21" t="s">
        <v>12</v>
      </c>
      <c r="F7" s="5" t="s">
        <v>13</v>
      </c>
      <c r="G7" s="24">
        <v>44967</v>
      </c>
      <c r="H7" s="14" t="s">
        <v>28</v>
      </c>
      <c r="I7" s="14" t="s">
        <v>25</v>
      </c>
    </row>
    <row r="8" spans="1:10" ht="30" x14ac:dyDescent="0.25">
      <c r="A8" s="5" t="s">
        <v>9</v>
      </c>
      <c r="B8" s="5" t="s">
        <v>29</v>
      </c>
      <c r="C8" s="5" t="s">
        <v>30</v>
      </c>
      <c r="D8" s="5">
        <v>38.6</v>
      </c>
      <c r="E8" s="21" t="s">
        <v>12</v>
      </c>
      <c r="F8" s="5" t="s">
        <v>13</v>
      </c>
      <c r="G8" s="24">
        <v>44967</v>
      </c>
      <c r="H8" s="5" t="s">
        <v>14</v>
      </c>
      <c r="I8" s="14" t="s">
        <v>25</v>
      </c>
    </row>
    <row r="9" spans="1:10" ht="30" x14ac:dyDescent="0.25">
      <c r="A9" s="5" t="s">
        <v>31</v>
      </c>
      <c r="B9" s="5"/>
      <c r="C9" s="5" t="s">
        <v>32</v>
      </c>
      <c r="D9" s="5">
        <v>94.25</v>
      </c>
      <c r="E9" s="21" t="s">
        <v>12</v>
      </c>
      <c r="F9" s="5" t="s">
        <v>13</v>
      </c>
      <c r="G9" s="24">
        <v>44967</v>
      </c>
      <c r="H9" s="5" t="s">
        <v>14</v>
      </c>
      <c r="I9" s="14" t="s">
        <v>25</v>
      </c>
    </row>
    <row r="10" spans="1:10" ht="30" x14ac:dyDescent="0.25">
      <c r="A10" s="5" t="s">
        <v>19</v>
      </c>
      <c r="B10" s="5" t="s">
        <v>20</v>
      </c>
      <c r="C10" s="5" t="s">
        <v>21</v>
      </c>
      <c r="D10" s="19" t="s">
        <v>33</v>
      </c>
      <c r="E10" s="20" t="s">
        <v>23</v>
      </c>
      <c r="F10" s="14" t="s">
        <v>34</v>
      </c>
      <c r="G10" s="24">
        <v>45016</v>
      </c>
      <c r="H10" s="5" t="s">
        <v>24</v>
      </c>
      <c r="I10" s="14" t="s">
        <v>25</v>
      </c>
    </row>
    <row r="11" spans="1:10" ht="30" x14ac:dyDescent="0.25">
      <c r="A11" s="5" t="s">
        <v>9</v>
      </c>
      <c r="B11" s="5" t="s">
        <v>29</v>
      </c>
      <c r="C11" s="5" t="s">
        <v>35</v>
      </c>
      <c r="D11" s="5">
        <v>125</v>
      </c>
      <c r="E11" s="21" t="s">
        <v>12</v>
      </c>
      <c r="F11" s="14" t="s">
        <v>34</v>
      </c>
      <c r="G11" s="24">
        <v>45016</v>
      </c>
      <c r="H11" s="5" t="s">
        <v>14</v>
      </c>
      <c r="I11" s="14" t="s">
        <v>25</v>
      </c>
    </row>
    <row r="12" spans="1:10" ht="30" x14ac:dyDescent="0.25">
      <c r="A12" s="5" t="s">
        <v>19</v>
      </c>
      <c r="B12" s="5" t="s">
        <v>20</v>
      </c>
      <c r="C12" s="5" t="s">
        <v>21</v>
      </c>
      <c r="D12" s="19" t="s">
        <v>36</v>
      </c>
      <c r="E12" s="20" t="s">
        <v>23</v>
      </c>
      <c r="F12" s="14" t="s">
        <v>16</v>
      </c>
      <c r="G12" s="24">
        <v>45063</v>
      </c>
      <c r="H12" s="5" t="s">
        <v>24</v>
      </c>
      <c r="I12" s="14" t="s">
        <v>25</v>
      </c>
    </row>
    <row r="13" spans="1:10" ht="45" x14ac:dyDescent="0.25">
      <c r="A13" s="5" t="s">
        <v>9</v>
      </c>
      <c r="B13" s="5" t="s">
        <v>37</v>
      </c>
      <c r="C13" s="14" t="s">
        <v>27</v>
      </c>
      <c r="D13" s="5">
        <v>26.8</v>
      </c>
      <c r="E13" s="21" t="s">
        <v>12</v>
      </c>
      <c r="F13" s="14" t="s">
        <v>16</v>
      </c>
      <c r="G13" s="24">
        <v>45063</v>
      </c>
      <c r="H13" s="5" t="s">
        <v>14</v>
      </c>
      <c r="I13" s="14" t="s">
        <v>25</v>
      </c>
    </row>
    <row r="14" spans="1:10" ht="30" x14ac:dyDescent="0.25">
      <c r="A14" s="5" t="s">
        <v>9</v>
      </c>
      <c r="B14" s="5" t="s">
        <v>29</v>
      </c>
      <c r="C14" s="5" t="s">
        <v>30</v>
      </c>
      <c r="D14" s="5">
        <v>18.5</v>
      </c>
      <c r="E14" s="21" t="s">
        <v>12</v>
      </c>
      <c r="F14" s="14" t="s">
        <v>16</v>
      </c>
      <c r="G14" s="24">
        <v>45063</v>
      </c>
      <c r="H14" s="5" t="s">
        <v>14</v>
      </c>
      <c r="I14" s="14" t="s">
        <v>25</v>
      </c>
    </row>
    <row r="15" spans="1:10" ht="30" x14ac:dyDescent="0.25">
      <c r="A15" s="5" t="s">
        <v>31</v>
      </c>
      <c r="B15" s="5"/>
      <c r="C15" s="5" t="s">
        <v>32</v>
      </c>
      <c r="D15" s="5">
        <v>56.4</v>
      </c>
      <c r="E15" s="21" t="s">
        <v>12</v>
      </c>
      <c r="F15" s="14" t="s">
        <v>16</v>
      </c>
      <c r="G15" s="24">
        <v>45063</v>
      </c>
      <c r="H15" s="5" t="s">
        <v>14</v>
      </c>
      <c r="I15" s="14" t="s">
        <v>25</v>
      </c>
    </row>
    <row r="16" spans="1:10" ht="30" x14ac:dyDescent="0.25">
      <c r="A16" s="5" t="s">
        <v>19</v>
      </c>
      <c r="B16" s="5" t="s">
        <v>20</v>
      </c>
      <c r="C16" s="5" t="s">
        <v>21</v>
      </c>
      <c r="D16" s="19" t="s">
        <v>36</v>
      </c>
      <c r="E16" s="20" t="s">
        <v>23</v>
      </c>
      <c r="F16" s="14" t="s">
        <v>17</v>
      </c>
      <c r="G16" s="15">
        <v>45111</v>
      </c>
      <c r="H16" s="5" t="s">
        <v>24</v>
      </c>
      <c r="I16" s="14" t="s">
        <v>25</v>
      </c>
    </row>
    <row r="17" spans="1:9" ht="30" x14ac:dyDescent="0.25">
      <c r="A17" s="5" t="s">
        <v>9</v>
      </c>
      <c r="B17" s="5" t="s">
        <v>29</v>
      </c>
      <c r="C17" s="5" t="s">
        <v>30</v>
      </c>
      <c r="D17" s="5">
        <v>7.8</v>
      </c>
      <c r="E17" s="21" t="s">
        <v>12</v>
      </c>
      <c r="F17" s="14" t="s">
        <v>17</v>
      </c>
      <c r="G17" s="15">
        <v>45118</v>
      </c>
      <c r="H17" s="5" t="s">
        <v>14</v>
      </c>
      <c r="I17" s="14" t="s">
        <v>25</v>
      </c>
    </row>
    <row r="18" spans="1:9" ht="30" x14ac:dyDescent="0.25">
      <c r="A18" s="5" t="s">
        <v>31</v>
      </c>
      <c r="B18" s="5"/>
      <c r="C18" s="5" t="s">
        <v>32</v>
      </c>
      <c r="D18" s="5">
        <v>33.200000000000003</v>
      </c>
      <c r="E18" s="5" t="s">
        <v>12</v>
      </c>
      <c r="F18" s="14" t="s">
        <v>17</v>
      </c>
      <c r="G18" s="15">
        <v>45118</v>
      </c>
      <c r="H18" s="5" t="s">
        <v>14</v>
      </c>
      <c r="I18" s="14" t="s">
        <v>25</v>
      </c>
    </row>
    <row r="19" spans="1:9" ht="30" x14ac:dyDescent="0.25">
      <c r="A19" s="5" t="s">
        <v>9</v>
      </c>
      <c r="B19" s="5" t="s">
        <v>29</v>
      </c>
      <c r="C19" s="5" t="s">
        <v>35</v>
      </c>
      <c r="D19" s="5">
        <v>57</v>
      </c>
      <c r="E19" s="5" t="s">
        <v>12</v>
      </c>
      <c r="F19" s="14" t="s">
        <v>17</v>
      </c>
      <c r="G19" s="15">
        <v>45118</v>
      </c>
      <c r="H19" s="5" t="s">
        <v>14</v>
      </c>
      <c r="I19" s="14" t="s">
        <v>25</v>
      </c>
    </row>
    <row r="20" spans="1:9" ht="30" x14ac:dyDescent="0.25">
      <c r="A20" s="5" t="s">
        <v>19</v>
      </c>
      <c r="B20" s="5" t="s">
        <v>20</v>
      </c>
      <c r="C20" s="5" t="s">
        <v>21</v>
      </c>
      <c r="D20" s="18" t="s">
        <v>38</v>
      </c>
      <c r="E20" s="20" t="s">
        <v>23</v>
      </c>
      <c r="F20" s="14" t="s">
        <v>39</v>
      </c>
      <c r="G20" s="15">
        <v>45160</v>
      </c>
      <c r="H20" s="5" t="s">
        <v>24</v>
      </c>
      <c r="I20" s="14" t="s">
        <v>25</v>
      </c>
    </row>
    <row r="21" spans="1:9" ht="30" x14ac:dyDescent="0.25">
      <c r="A21" s="5" t="s">
        <v>9</v>
      </c>
      <c r="B21" s="5" t="s">
        <v>29</v>
      </c>
      <c r="C21" s="5" t="s">
        <v>35</v>
      </c>
      <c r="D21" s="5">
        <v>80</v>
      </c>
      <c r="E21" s="5" t="s">
        <v>12</v>
      </c>
      <c r="F21" s="14" t="s">
        <v>39</v>
      </c>
      <c r="G21" s="15">
        <v>45160</v>
      </c>
      <c r="H21" s="5" t="s">
        <v>14</v>
      </c>
      <c r="I21" s="14" t="s">
        <v>25</v>
      </c>
    </row>
    <row r="22" spans="1:9" ht="30" x14ac:dyDescent="0.25">
      <c r="A22" s="5" t="s">
        <v>19</v>
      </c>
      <c r="B22" s="5" t="s">
        <v>20</v>
      </c>
      <c r="C22" s="5" t="s">
        <v>21</v>
      </c>
      <c r="D22" s="19" t="s">
        <v>40</v>
      </c>
      <c r="E22" s="14" t="s">
        <v>23</v>
      </c>
      <c r="F22" s="14" t="s">
        <v>18</v>
      </c>
      <c r="G22" s="15">
        <v>45226</v>
      </c>
      <c r="H22" s="5" t="s">
        <v>24</v>
      </c>
      <c r="I22" s="14" t="s">
        <v>25</v>
      </c>
    </row>
    <row r="23" spans="1:9" ht="30" x14ac:dyDescent="0.25">
      <c r="A23" s="5" t="s">
        <v>9</v>
      </c>
      <c r="B23" s="5" t="s">
        <v>29</v>
      </c>
      <c r="C23" s="5" t="s">
        <v>30</v>
      </c>
      <c r="D23" s="5">
        <v>12</v>
      </c>
      <c r="E23" s="5" t="s">
        <v>12</v>
      </c>
      <c r="F23" s="14" t="s">
        <v>18</v>
      </c>
      <c r="G23" s="15">
        <v>45226</v>
      </c>
      <c r="H23" s="5" t="s">
        <v>14</v>
      </c>
      <c r="I23" s="14" t="s">
        <v>25</v>
      </c>
    </row>
    <row r="24" spans="1:9" ht="30" x14ac:dyDescent="0.25">
      <c r="A24" s="5" t="s">
        <v>31</v>
      </c>
      <c r="B24" s="5"/>
      <c r="C24" s="5" t="s">
        <v>32</v>
      </c>
      <c r="D24" s="5">
        <v>37</v>
      </c>
      <c r="E24" s="5" t="s">
        <v>12</v>
      </c>
      <c r="F24" s="14" t="s">
        <v>18</v>
      </c>
      <c r="G24" s="15">
        <v>45226</v>
      </c>
      <c r="H24" s="5" t="s">
        <v>14</v>
      </c>
      <c r="I24" s="14" t="s">
        <v>25</v>
      </c>
    </row>
    <row r="25" spans="1:9" ht="30" x14ac:dyDescent="0.25">
      <c r="A25" s="5" t="s">
        <v>9</v>
      </c>
      <c r="B25" s="5" t="s">
        <v>29</v>
      </c>
      <c r="C25" s="5" t="s">
        <v>35</v>
      </c>
      <c r="D25" s="5">
        <v>63</v>
      </c>
      <c r="E25" s="5" t="s">
        <v>12</v>
      </c>
      <c r="F25" s="14" t="s">
        <v>18</v>
      </c>
      <c r="G25" s="15">
        <v>45226</v>
      </c>
      <c r="H25" s="5" t="s">
        <v>14</v>
      </c>
      <c r="I25" s="14" t="s">
        <v>25</v>
      </c>
    </row>
    <row r="26" spans="1:9" ht="30" x14ac:dyDescent="0.25">
      <c r="A26" s="5" t="s">
        <v>19</v>
      </c>
      <c r="B26" s="5" t="s">
        <v>41</v>
      </c>
      <c r="C26" s="5" t="s">
        <v>42</v>
      </c>
      <c r="D26" s="5">
        <v>697.6</v>
      </c>
      <c r="E26" s="5" t="s">
        <v>12</v>
      </c>
      <c r="F26" s="5" t="s">
        <v>13</v>
      </c>
      <c r="G26" s="15">
        <v>44980</v>
      </c>
      <c r="H26" s="5" t="s">
        <v>24</v>
      </c>
      <c r="I26" s="14" t="s">
        <v>25</v>
      </c>
    </row>
    <row r="27" spans="1:9" ht="30" x14ac:dyDescent="0.25">
      <c r="A27" s="5" t="s">
        <v>19</v>
      </c>
      <c r="B27" s="5" t="s">
        <v>41</v>
      </c>
      <c r="C27" s="5" t="s">
        <v>42</v>
      </c>
      <c r="D27" s="5">
        <v>600</v>
      </c>
      <c r="E27" s="14" t="s">
        <v>43</v>
      </c>
      <c r="F27" s="14" t="s">
        <v>44</v>
      </c>
      <c r="G27" s="15">
        <v>45017</v>
      </c>
      <c r="H27" s="5" t="s">
        <v>24</v>
      </c>
      <c r="I27" s="14" t="s">
        <v>25</v>
      </c>
    </row>
    <row r="28" spans="1:9" ht="30" x14ac:dyDescent="0.25">
      <c r="A28" s="5" t="s">
        <v>19</v>
      </c>
      <c r="B28" s="5" t="s">
        <v>41</v>
      </c>
      <c r="C28" s="5" t="s">
        <v>42</v>
      </c>
      <c r="D28" s="5">
        <v>17000</v>
      </c>
      <c r="E28" s="14" t="s">
        <v>45</v>
      </c>
      <c r="F28" s="14" t="s">
        <v>39</v>
      </c>
      <c r="G28" s="15">
        <v>45140</v>
      </c>
      <c r="H28" s="5" t="s">
        <v>24</v>
      </c>
      <c r="I28" s="14" t="s">
        <v>25</v>
      </c>
    </row>
  </sheetData>
  <autoFilter ref="A1:J28" xr:uid="{7D989C21-7762-4308-9D7C-F166C4C5A10E}"/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1753-316B-444B-A767-317502417A28}">
  <dimension ref="A1:N36"/>
  <sheetViews>
    <sheetView topLeftCell="A13" workbookViewId="0">
      <selection activeCell="I49" sqref="I49"/>
    </sheetView>
  </sheetViews>
  <sheetFormatPr baseColWidth="10" defaultColWidth="11.42578125" defaultRowHeight="15" x14ac:dyDescent="0.25"/>
  <cols>
    <col min="1" max="1" width="29.28515625" customWidth="1"/>
    <col min="8" max="8" width="14.85546875" customWidth="1"/>
    <col min="10" max="10" width="13.7109375" customWidth="1"/>
    <col min="11" max="11" width="14.28515625" customWidth="1"/>
  </cols>
  <sheetData>
    <row r="1" spans="1:8" x14ac:dyDescent="0.25">
      <c r="A1" s="96" t="s">
        <v>46</v>
      </c>
      <c r="B1" s="96"/>
      <c r="C1" s="96"/>
      <c r="D1" s="96"/>
      <c r="E1" s="96"/>
    </row>
    <row r="2" spans="1:8" x14ac:dyDescent="0.25">
      <c r="A2" s="5" t="s">
        <v>13</v>
      </c>
      <c r="B2" s="5" t="s">
        <v>16</v>
      </c>
      <c r="C2" s="5" t="s">
        <v>17</v>
      </c>
      <c r="D2" s="5" t="s">
        <v>18</v>
      </c>
      <c r="E2" s="10" t="s">
        <v>47</v>
      </c>
    </row>
    <row r="3" spans="1:8" x14ac:dyDescent="0.25">
      <c r="A3" s="15">
        <v>44967</v>
      </c>
      <c r="B3" s="15">
        <v>45063</v>
      </c>
      <c r="C3" s="15">
        <v>45118</v>
      </c>
      <c r="D3" s="15">
        <v>45226</v>
      </c>
      <c r="E3" s="97">
        <f>SUM(A4:D4)</f>
        <v>355.15</v>
      </c>
    </row>
    <row r="4" spans="1:8" x14ac:dyDescent="0.25">
      <c r="A4" s="5">
        <v>53</v>
      </c>
      <c r="B4" s="5">
        <v>73</v>
      </c>
      <c r="C4" s="5">
        <v>94.15</v>
      </c>
      <c r="D4" s="5">
        <v>135</v>
      </c>
      <c r="E4" s="97"/>
    </row>
    <row r="6" spans="1:8" x14ac:dyDescent="0.25">
      <c r="A6" s="96" t="s">
        <v>48</v>
      </c>
      <c r="B6" s="96"/>
      <c r="C6" s="96"/>
      <c r="D6" s="96"/>
      <c r="E6" s="96"/>
      <c r="F6" s="96"/>
      <c r="G6" s="96"/>
      <c r="H6" s="96"/>
    </row>
    <row r="7" spans="1:8" x14ac:dyDescent="0.25">
      <c r="A7" s="25" t="s">
        <v>13</v>
      </c>
      <c r="B7" s="25" t="s">
        <v>34</v>
      </c>
      <c r="C7" s="25" t="s">
        <v>16</v>
      </c>
      <c r="D7" s="25" t="s">
        <v>17</v>
      </c>
      <c r="E7" s="25" t="s">
        <v>39</v>
      </c>
      <c r="F7" s="25" t="s">
        <v>18</v>
      </c>
      <c r="G7" s="27" t="s">
        <v>4</v>
      </c>
      <c r="H7" s="10" t="s">
        <v>47</v>
      </c>
    </row>
    <row r="8" spans="1:8" x14ac:dyDescent="0.25">
      <c r="A8" s="15">
        <v>44967</v>
      </c>
      <c r="B8" s="24">
        <v>45016</v>
      </c>
      <c r="C8" s="24">
        <v>45063</v>
      </c>
      <c r="D8" s="15">
        <v>45111</v>
      </c>
      <c r="E8" s="15">
        <v>45160</v>
      </c>
      <c r="F8" s="15">
        <v>45226</v>
      </c>
      <c r="G8" s="26"/>
      <c r="H8" s="97">
        <f>SUM(A10:F10)</f>
        <v>3373</v>
      </c>
    </row>
    <row r="9" spans="1:8" x14ac:dyDescent="0.25">
      <c r="A9" s="14">
        <v>168</v>
      </c>
      <c r="B9" s="14">
        <v>137</v>
      </c>
      <c r="C9" s="14">
        <v>165</v>
      </c>
      <c r="D9" s="14">
        <v>165</v>
      </c>
      <c r="E9" s="14">
        <v>150</v>
      </c>
      <c r="F9" s="14">
        <v>210</v>
      </c>
      <c r="G9" s="28" t="s">
        <v>49</v>
      </c>
      <c r="H9" s="97"/>
    </row>
    <row r="10" spans="1:8" x14ac:dyDescent="0.25">
      <c r="A10" s="5">
        <v>570</v>
      </c>
      <c r="B10" s="5">
        <v>464</v>
      </c>
      <c r="C10" s="5">
        <v>559</v>
      </c>
      <c r="D10" s="5">
        <v>559</v>
      </c>
      <c r="E10" s="5">
        <v>509</v>
      </c>
      <c r="F10" s="5">
        <v>712</v>
      </c>
      <c r="G10" s="20" t="s">
        <v>50</v>
      </c>
      <c r="H10" s="97"/>
    </row>
    <row r="12" spans="1:8" x14ac:dyDescent="0.25">
      <c r="A12" s="96" t="s">
        <v>51</v>
      </c>
      <c r="B12" s="96"/>
      <c r="C12" s="96"/>
      <c r="D12" s="96"/>
      <c r="E12" s="96"/>
      <c r="F12" s="96"/>
      <c r="G12" s="96"/>
    </row>
    <row r="13" spans="1:8" x14ac:dyDescent="0.25">
      <c r="A13" s="31" t="s">
        <v>13</v>
      </c>
      <c r="B13" s="25" t="s">
        <v>34</v>
      </c>
      <c r="C13" s="25" t="s">
        <v>16</v>
      </c>
      <c r="D13" s="25" t="s">
        <v>17</v>
      </c>
      <c r="E13" s="25" t="s">
        <v>39</v>
      </c>
      <c r="F13" s="25" t="s">
        <v>18</v>
      </c>
      <c r="G13" s="10" t="s">
        <v>47</v>
      </c>
    </row>
    <row r="14" spans="1:8" x14ac:dyDescent="0.25">
      <c r="A14" s="24">
        <v>44967</v>
      </c>
      <c r="B14" s="24">
        <v>45016</v>
      </c>
      <c r="C14" s="24">
        <v>45063</v>
      </c>
      <c r="D14" s="15">
        <v>45118</v>
      </c>
      <c r="E14" s="15">
        <v>45160</v>
      </c>
      <c r="F14" s="15">
        <v>45226</v>
      </c>
      <c r="G14" s="97">
        <f>SUM(A15:F15)</f>
        <v>389.5</v>
      </c>
    </row>
    <row r="15" spans="1:8" x14ac:dyDescent="0.25">
      <c r="A15" s="5">
        <v>37.700000000000003</v>
      </c>
      <c r="B15" s="5">
        <v>125</v>
      </c>
      <c r="C15" s="5">
        <v>26.8</v>
      </c>
      <c r="D15" s="5">
        <v>57</v>
      </c>
      <c r="E15" s="5">
        <v>80</v>
      </c>
      <c r="F15" s="17">
        <v>63</v>
      </c>
      <c r="G15" s="97"/>
    </row>
    <row r="17" spans="1:14" x14ac:dyDescent="0.25">
      <c r="A17" s="96" t="s">
        <v>52</v>
      </c>
      <c r="B17" s="96"/>
      <c r="C17" s="96"/>
      <c r="D17" s="96"/>
      <c r="E17" s="96"/>
    </row>
    <row r="18" spans="1:14" x14ac:dyDescent="0.25">
      <c r="A18" s="31" t="s">
        <v>13</v>
      </c>
      <c r="B18" s="25" t="s">
        <v>16</v>
      </c>
      <c r="C18" s="25" t="s">
        <v>17</v>
      </c>
      <c r="D18" s="25" t="s">
        <v>18</v>
      </c>
      <c r="E18" s="10" t="s">
        <v>47</v>
      </c>
    </row>
    <row r="19" spans="1:14" x14ac:dyDescent="0.25">
      <c r="A19" s="24">
        <v>44967</v>
      </c>
      <c r="B19" s="24">
        <v>45063</v>
      </c>
      <c r="C19" s="15">
        <v>45118</v>
      </c>
      <c r="D19" s="15">
        <v>45226</v>
      </c>
      <c r="E19" s="97">
        <f>SUM(A20:D20)</f>
        <v>220.85000000000002</v>
      </c>
    </row>
    <row r="20" spans="1:14" x14ac:dyDescent="0.25">
      <c r="A20" s="5">
        <v>94.25</v>
      </c>
      <c r="B20" s="5">
        <v>56.4</v>
      </c>
      <c r="C20" s="5">
        <v>33.200000000000003</v>
      </c>
      <c r="D20" s="5">
        <v>37</v>
      </c>
      <c r="E20" s="97"/>
    </row>
    <row r="21" spans="1:14" x14ac:dyDescent="0.25">
      <c r="A21" s="26"/>
      <c r="B21" s="26"/>
      <c r="C21" s="26"/>
      <c r="D21" s="26"/>
    </row>
    <row r="22" spans="1:14" x14ac:dyDescent="0.25">
      <c r="A22" s="96" t="s">
        <v>53</v>
      </c>
      <c r="B22" s="96"/>
      <c r="C22" s="96"/>
      <c r="D22" s="96"/>
      <c r="E22" s="96"/>
    </row>
    <row r="23" spans="1:14" x14ac:dyDescent="0.25">
      <c r="A23" s="5" t="s">
        <v>13</v>
      </c>
      <c r="B23" s="14" t="s">
        <v>16</v>
      </c>
      <c r="C23" s="14" t="s">
        <v>17</v>
      </c>
      <c r="D23" s="14" t="s">
        <v>18</v>
      </c>
      <c r="E23" s="10" t="s">
        <v>47</v>
      </c>
    </row>
    <row r="24" spans="1:14" x14ac:dyDescent="0.25">
      <c r="A24" s="24">
        <v>44967</v>
      </c>
      <c r="B24" s="24">
        <v>45063</v>
      </c>
      <c r="C24" s="15">
        <v>45118</v>
      </c>
      <c r="D24" s="15">
        <v>45226</v>
      </c>
      <c r="E24" s="97">
        <f>SUM(A25:D25)</f>
        <v>76.900000000000006</v>
      </c>
    </row>
    <row r="25" spans="1:14" x14ac:dyDescent="0.25">
      <c r="A25" s="5">
        <v>38.6</v>
      </c>
      <c r="B25" s="5">
        <v>18.5</v>
      </c>
      <c r="C25" s="5">
        <v>7.8</v>
      </c>
      <c r="D25" s="5">
        <v>12</v>
      </c>
      <c r="E25" s="97"/>
    </row>
    <row r="26" spans="1:14" x14ac:dyDescent="0.25">
      <c r="A26" s="26"/>
      <c r="B26" s="26"/>
      <c r="C26" s="26"/>
      <c r="D26" s="26"/>
    </row>
    <row r="27" spans="1:14" ht="26.25" x14ac:dyDescent="0.4">
      <c r="A27" s="92" t="s">
        <v>54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</row>
    <row r="28" spans="1:14" x14ac:dyDescent="0.25">
      <c r="A28" s="30"/>
      <c r="B28" s="1" t="s">
        <v>55</v>
      </c>
      <c r="C28" s="1" t="s">
        <v>56</v>
      </c>
      <c r="D28" s="1" t="s">
        <v>57</v>
      </c>
      <c r="E28" s="1" t="s">
        <v>58</v>
      </c>
      <c r="F28" s="1" t="s">
        <v>59</v>
      </c>
      <c r="G28" s="1" t="s">
        <v>60</v>
      </c>
      <c r="H28" s="1" t="s">
        <v>61</v>
      </c>
      <c r="I28" s="1" t="s">
        <v>62</v>
      </c>
      <c r="J28" s="1" t="s">
        <v>63</v>
      </c>
      <c r="K28" s="1" t="s">
        <v>64</v>
      </c>
      <c r="L28" s="1" t="s">
        <v>65</v>
      </c>
      <c r="M28" s="1" t="s">
        <v>66</v>
      </c>
      <c r="N28" s="1" t="s">
        <v>47</v>
      </c>
    </row>
    <row r="29" spans="1:14" x14ac:dyDescent="0.25">
      <c r="A29" s="35" t="s">
        <v>67</v>
      </c>
      <c r="B29" s="17">
        <v>0</v>
      </c>
      <c r="C29" s="5">
        <v>53</v>
      </c>
      <c r="D29" s="17">
        <v>0</v>
      </c>
      <c r="E29" s="17">
        <v>0</v>
      </c>
      <c r="F29" s="5">
        <v>73</v>
      </c>
      <c r="G29" s="17">
        <v>0</v>
      </c>
      <c r="H29" s="5">
        <v>94.15</v>
      </c>
      <c r="I29" s="17">
        <v>0</v>
      </c>
      <c r="J29" s="17">
        <v>0</v>
      </c>
      <c r="K29" s="5">
        <v>135</v>
      </c>
      <c r="L29" s="17">
        <v>0</v>
      </c>
      <c r="M29" s="17">
        <v>0</v>
      </c>
      <c r="N29" s="33">
        <f>SUM(B29:L29)</f>
        <v>355.15</v>
      </c>
    </row>
    <row r="30" spans="1:14" x14ac:dyDescent="0.25">
      <c r="A30" s="35" t="s">
        <v>68</v>
      </c>
      <c r="B30" s="17">
        <v>0</v>
      </c>
      <c r="C30" s="5">
        <v>570</v>
      </c>
      <c r="D30" s="5">
        <v>464</v>
      </c>
      <c r="E30" s="17">
        <v>0</v>
      </c>
      <c r="F30" s="5">
        <v>559</v>
      </c>
      <c r="G30" s="17">
        <v>0</v>
      </c>
      <c r="H30" s="5">
        <v>559</v>
      </c>
      <c r="I30" s="5">
        <v>509</v>
      </c>
      <c r="J30" s="17">
        <v>0</v>
      </c>
      <c r="K30" s="5">
        <v>712</v>
      </c>
      <c r="L30" s="17">
        <v>0</v>
      </c>
      <c r="M30" s="17">
        <v>0</v>
      </c>
      <c r="N30" s="33">
        <f>SUM(B30:M30)</f>
        <v>3373</v>
      </c>
    </row>
    <row r="31" spans="1:14" ht="16.5" customHeight="1" x14ac:dyDescent="0.25">
      <c r="A31" s="36" t="s">
        <v>69</v>
      </c>
      <c r="B31" s="5">
        <v>0</v>
      </c>
      <c r="C31" s="5">
        <v>37.700000000000003</v>
      </c>
      <c r="D31" s="5">
        <v>125</v>
      </c>
      <c r="E31" s="5">
        <v>0</v>
      </c>
      <c r="F31" s="5">
        <v>26.8</v>
      </c>
      <c r="G31" s="5">
        <v>0</v>
      </c>
      <c r="H31" s="5">
        <v>57</v>
      </c>
      <c r="I31" s="5">
        <v>80</v>
      </c>
      <c r="J31" s="5">
        <v>0</v>
      </c>
      <c r="K31" s="5">
        <v>63</v>
      </c>
      <c r="L31" s="5">
        <v>0</v>
      </c>
      <c r="M31" s="5">
        <v>0</v>
      </c>
      <c r="N31" s="34">
        <f>SUM(B31:M31)</f>
        <v>389.5</v>
      </c>
    </row>
    <row r="32" spans="1:14" ht="16.5" customHeight="1" x14ac:dyDescent="0.25">
      <c r="A32" s="35" t="s">
        <v>52</v>
      </c>
      <c r="B32" s="5">
        <v>0</v>
      </c>
      <c r="C32" s="5">
        <v>94.25</v>
      </c>
      <c r="D32" s="5">
        <v>0</v>
      </c>
      <c r="E32" s="5">
        <v>0</v>
      </c>
      <c r="F32" s="5">
        <v>56.4</v>
      </c>
      <c r="G32" s="5">
        <v>0</v>
      </c>
      <c r="H32" s="5">
        <v>33.200000000000003</v>
      </c>
      <c r="I32" s="5">
        <v>0</v>
      </c>
      <c r="J32" s="5">
        <v>0</v>
      </c>
      <c r="K32" s="5">
        <v>37</v>
      </c>
      <c r="L32" s="5">
        <v>0</v>
      </c>
      <c r="M32" s="5">
        <v>0</v>
      </c>
      <c r="N32" s="33">
        <f>SUM(B32:M32)</f>
        <v>220.85000000000002</v>
      </c>
    </row>
    <row r="33" spans="1:14" ht="16.5" customHeight="1" x14ac:dyDescent="0.25">
      <c r="A33" s="35" t="s">
        <v>70</v>
      </c>
      <c r="B33" s="5">
        <v>0</v>
      </c>
      <c r="C33" s="5">
        <v>697.6</v>
      </c>
      <c r="D33" s="5">
        <v>0</v>
      </c>
      <c r="E33" s="5">
        <f>6*15</f>
        <v>90</v>
      </c>
      <c r="F33" s="5">
        <v>0</v>
      </c>
      <c r="G33" s="5">
        <v>0</v>
      </c>
      <c r="H33" s="5">
        <v>0</v>
      </c>
      <c r="I33" s="5">
        <f>17*15</f>
        <v>255</v>
      </c>
      <c r="J33" s="5">
        <v>0</v>
      </c>
      <c r="K33" s="5">
        <v>0</v>
      </c>
      <c r="L33" s="5">
        <v>0</v>
      </c>
      <c r="M33" s="5">
        <v>0</v>
      </c>
      <c r="N33" s="33">
        <f>SUM(B33:M33)</f>
        <v>1042.5999999999999</v>
      </c>
    </row>
    <row r="34" spans="1:14" ht="16.5" customHeight="1" x14ac:dyDescent="0.25">
      <c r="A34" s="36" t="s">
        <v>71</v>
      </c>
      <c r="B34" s="5">
        <v>0</v>
      </c>
      <c r="C34" s="5">
        <v>38.799999999999997</v>
      </c>
      <c r="D34" s="5">
        <v>0</v>
      </c>
      <c r="E34" s="5">
        <v>0</v>
      </c>
      <c r="F34" s="5">
        <f>B25</f>
        <v>18.5</v>
      </c>
      <c r="G34" s="5">
        <v>0</v>
      </c>
      <c r="H34" s="5">
        <f>C25</f>
        <v>7.8</v>
      </c>
      <c r="I34" s="5">
        <v>0</v>
      </c>
      <c r="J34" s="5">
        <v>0</v>
      </c>
      <c r="K34" s="5">
        <f>D25</f>
        <v>12</v>
      </c>
      <c r="L34" s="5">
        <v>0</v>
      </c>
      <c r="M34" s="5">
        <v>0</v>
      </c>
      <c r="N34" s="34">
        <f>SUM(B34:M34)</f>
        <v>77.099999999999994</v>
      </c>
    </row>
    <row r="35" spans="1:14" ht="6" customHeight="1" x14ac:dyDescent="0.25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</row>
    <row r="36" spans="1:14" x14ac:dyDescent="0.25">
      <c r="A36" s="29" t="s">
        <v>47</v>
      </c>
      <c r="B36" s="33">
        <f t="shared" ref="B36:M36" si="0">SUM(B29:B34)</f>
        <v>0</v>
      </c>
      <c r="C36" s="33">
        <f>SUM(C29:C34)</f>
        <v>1491.3500000000001</v>
      </c>
      <c r="D36" s="33">
        <f t="shared" si="0"/>
        <v>589</v>
      </c>
      <c r="E36" s="33">
        <f t="shared" si="0"/>
        <v>90</v>
      </c>
      <c r="F36" s="33">
        <f t="shared" si="0"/>
        <v>733.69999999999993</v>
      </c>
      <c r="G36" s="33">
        <f t="shared" si="0"/>
        <v>0</v>
      </c>
      <c r="H36" s="33">
        <f t="shared" si="0"/>
        <v>751.15</v>
      </c>
      <c r="I36" s="33">
        <f t="shared" si="0"/>
        <v>844</v>
      </c>
      <c r="J36" s="33">
        <f t="shared" si="0"/>
        <v>0</v>
      </c>
      <c r="K36" s="33">
        <f t="shared" si="0"/>
        <v>959</v>
      </c>
      <c r="L36" s="33">
        <f t="shared" si="0"/>
        <v>0</v>
      </c>
      <c r="M36" s="33">
        <f t="shared" si="0"/>
        <v>0</v>
      </c>
      <c r="N36" s="16"/>
    </row>
  </sheetData>
  <mergeCells count="12">
    <mergeCell ref="A35:N35"/>
    <mergeCell ref="A27:N27"/>
    <mergeCell ref="A1:E1"/>
    <mergeCell ref="E3:E4"/>
    <mergeCell ref="A6:H6"/>
    <mergeCell ref="H8:H10"/>
    <mergeCell ref="A12:G12"/>
    <mergeCell ref="G14:G15"/>
    <mergeCell ref="A17:E17"/>
    <mergeCell ref="E19:E20"/>
    <mergeCell ref="A22:E22"/>
    <mergeCell ref="E24:E25"/>
  </mergeCells>
  <phoneticPr fontId="2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802E7-ACC1-4F6F-ADA9-C921179C9279}">
  <dimension ref="A1:N40"/>
  <sheetViews>
    <sheetView topLeftCell="A13" zoomScale="80" zoomScaleNormal="80" workbookViewId="0">
      <selection activeCell="A29" sqref="A29"/>
    </sheetView>
  </sheetViews>
  <sheetFormatPr baseColWidth="10" defaultColWidth="11.42578125" defaultRowHeight="15" x14ac:dyDescent="0.25"/>
  <cols>
    <col min="1" max="1" width="51.5703125" customWidth="1"/>
    <col min="8" max="8" width="14.85546875" customWidth="1"/>
    <col min="10" max="10" width="13.7109375" customWidth="1"/>
    <col min="11" max="11" width="14.28515625" customWidth="1"/>
  </cols>
  <sheetData>
    <row r="1" spans="1:8" x14ac:dyDescent="0.25">
      <c r="A1" s="96" t="s">
        <v>48</v>
      </c>
      <c r="B1" s="96"/>
      <c r="C1" s="96"/>
      <c r="D1" s="96"/>
      <c r="E1" s="96"/>
      <c r="F1" s="96"/>
      <c r="G1" s="96"/>
      <c r="H1" s="96"/>
    </row>
    <row r="2" spans="1:8" x14ac:dyDescent="0.25">
      <c r="A2" s="25" t="s">
        <v>13</v>
      </c>
      <c r="B2" s="25" t="s">
        <v>34</v>
      </c>
      <c r="C2" s="25" t="s">
        <v>16</v>
      </c>
      <c r="D2" s="25" t="s">
        <v>17</v>
      </c>
      <c r="E2" s="25" t="s">
        <v>39</v>
      </c>
      <c r="F2" s="25" t="s">
        <v>18</v>
      </c>
      <c r="G2" s="27" t="s">
        <v>4</v>
      </c>
      <c r="H2" s="10" t="s">
        <v>47</v>
      </c>
    </row>
    <row r="3" spans="1:8" x14ac:dyDescent="0.25">
      <c r="A3" s="15">
        <v>44967</v>
      </c>
      <c r="B3" s="24">
        <v>45016</v>
      </c>
      <c r="C3" s="24">
        <v>45063</v>
      </c>
      <c r="D3" s="15">
        <v>45111</v>
      </c>
      <c r="E3" s="15">
        <v>45160</v>
      </c>
      <c r="F3" s="15">
        <v>45226</v>
      </c>
      <c r="G3" s="26"/>
      <c r="H3" s="97">
        <f>168+137+165+165+150+210</f>
        <v>995</v>
      </c>
    </row>
    <row r="4" spans="1:8" x14ac:dyDescent="0.25">
      <c r="A4" s="14">
        <v>168</v>
      </c>
      <c r="B4" s="14">
        <v>137</v>
      </c>
      <c r="C4" s="14">
        <v>165</v>
      </c>
      <c r="D4" s="14">
        <v>165</v>
      </c>
      <c r="E4" s="14">
        <v>150</v>
      </c>
      <c r="F4" s="14">
        <v>210</v>
      </c>
      <c r="G4" s="28" t="s">
        <v>49</v>
      </c>
      <c r="H4" s="97"/>
    </row>
    <row r="5" spans="1:8" x14ac:dyDescent="0.25">
      <c r="A5" s="5">
        <v>570</v>
      </c>
      <c r="B5" s="5">
        <v>464</v>
      </c>
      <c r="C5" s="5">
        <v>559</v>
      </c>
      <c r="D5" s="5">
        <v>559</v>
      </c>
      <c r="E5" s="5">
        <v>509</v>
      </c>
      <c r="F5" s="5">
        <v>712</v>
      </c>
      <c r="G5" s="20" t="s">
        <v>50</v>
      </c>
      <c r="H5" s="97"/>
    </row>
    <row r="7" spans="1:8" x14ac:dyDescent="0.25">
      <c r="A7" s="96" t="s">
        <v>51</v>
      </c>
      <c r="B7" s="96"/>
      <c r="C7" s="96"/>
      <c r="D7" s="96"/>
      <c r="E7" s="96"/>
      <c r="F7" s="96"/>
      <c r="G7" s="96"/>
    </row>
    <row r="8" spans="1:8" x14ac:dyDescent="0.25">
      <c r="A8" s="31" t="s">
        <v>13</v>
      </c>
      <c r="B8" s="25" t="s">
        <v>34</v>
      </c>
      <c r="C8" s="25" t="s">
        <v>16</v>
      </c>
      <c r="D8" s="25" t="s">
        <v>17</v>
      </c>
      <c r="E8" s="25" t="s">
        <v>39</v>
      </c>
      <c r="F8" s="25" t="s">
        <v>18</v>
      </c>
      <c r="G8" s="10" t="s">
        <v>47</v>
      </c>
    </row>
    <row r="9" spans="1:8" x14ac:dyDescent="0.25">
      <c r="A9" s="24">
        <v>44967</v>
      </c>
      <c r="B9" s="24">
        <v>45016</v>
      </c>
      <c r="C9" s="24">
        <v>45063</v>
      </c>
      <c r="D9" s="15">
        <v>45118</v>
      </c>
      <c r="E9" s="15">
        <v>45160</v>
      </c>
      <c r="F9" s="15">
        <v>45226</v>
      </c>
      <c r="G9" s="97">
        <f>SUM(A10:F10)</f>
        <v>389.5</v>
      </c>
    </row>
    <row r="10" spans="1:8" x14ac:dyDescent="0.25">
      <c r="A10" s="5">
        <v>37.700000000000003</v>
      </c>
      <c r="B10" s="5">
        <v>125</v>
      </c>
      <c r="C10" s="5">
        <v>26.8</v>
      </c>
      <c r="D10" s="5">
        <v>57</v>
      </c>
      <c r="E10" s="5">
        <v>80</v>
      </c>
      <c r="F10" s="17">
        <v>63</v>
      </c>
      <c r="G10" s="97"/>
    </row>
    <row r="12" spans="1:8" x14ac:dyDescent="0.25">
      <c r="A12" s="96" t="s">
        <v>52</v>
      </c>
      <c r="B12" s="96"/>
      <c r="C12" s="96"/>
      <c r="D12" s="96"/>
      <c r="E12" s="96"/>
    </row>
    <row r="13" spans="1:8" x14ac:dyDescent="0.25">
      <c r="A13" s="31" t="s">
        <v>13</v>
      </c>
      <c r="B13" s="25" t="s">
        <v>16</v>
      </c>
      <c r="C13" s="25" t="s">
        <v>17</v>
      </c>
      <c r="D13" s="25" t="s">
        <v>18</v>
      </c>
      <c r="E13" s="10" t="s">
        <v>47</v>
      </c>
    </row>
    <row r="14" spans="1:8" x14ac:dyDescent="0.25">
      <c r="A14" s="24">
        <v>44967</v>
      </c>
      <c r="B14" s="24">
        <v>45063</v>
      </c>
      <c r="C14" s="15">
        <v>45118</v>
      </c>
      <c r="D14" s="15">
        <v>45226</v>
      </c>
      <c r="E14" s="97">
        <f>SUM(A15:D15)</f>
        <v>220.85000000000002</v>
      </c>
    </row>
    <row r="15" spans="1:8" x14ac:dyDescent="0.25">
      <c r="A15" s="5">
        <v>94.25</v>
      </c>
      <c r="B15" s="5">
        <v>56.4</v>
      </c>
      <c r="C15" s="5">
        <v>33.200000000000003</v>
      </c>
      <c r="D15" s="5">
        <v>37</v>
      </c>
      <c r="E15" s="97"/>
    </row>
    <row r="16" spans="1:8" x14ac:dyDescent="0.25">
      <c r="A16" s="26"/>
      <c r="B16" s="26"/>
      <c r="C16" s="26"/>
      <c r="D16" s="26"/>
    </row>
    <row r="17" spans="1:14" x14ac:dyDescent="0.25">
      <c r="A17" s="96" t="s">
        <v>53</v>
      </c>
      <c r="B17" s="96"/>
      <c r="C17" s="96"/>
      <c r="D17" s="96"/>
      <c r="E17" s="96"/>
    </row>
    <row r="18" spans="1:14" x14ac:dyDescent="0.25">
      <c r="A18" s="5" t="s">
        <v>13</v>
      </c>
      <c r="B18" s="14" t="s">
        <v>16</v>
      </c>
      <c r="C18" s="14" t="s">
        <v>17</v>
      </c>
      <c r="D18" s="14" t="s">
        <v>18</v>
      </c>
      <c r="E18" s="10" t="s">
        <v>47</v>
      </c>
    </row>
    <row r="19" spans="1:14" x14ac:dyDescent="0.25">
      <c r="A19" s="24">
        <v>44967</v>
      </c>
      <c r="B19" s="24">
        <v>45063</v>
      </c>
      <c r="C19" s="15">
        <v>45118</v>
      </c>
      <c r="D19" s="15">
        <v>45226</v>
      </c>
      <c r="E19" s="97">
        <f>SUM(A20:D20)</f>
        <v>76.900000000000006</v>
      </c>
    </row>
    <row r="20" spans="1:14" x14ac:dyDescent="0.25">
      <c r="A20" s="5">
        <v>38.6</v>
      </c>
      <c r="B20" s="5">
        <v>18.5</v>
      </c>
      <c r="C20" s="5">
        <v>7.8</v>
      </c>
      <c r="D20" s="5">
        <v>12</v>
      </c>
      <c r="E20" s="97"/>
    </row>
    <row r="21" spans="1:14" x14ac:dyDescent="0.25">
      <c r="A21" s="26"/>
      <c r="B21" s="26"/>
      <c r="C21" s="26"/>
      <c r="D21" s="26"/>
    </row>
    <row r="24" spans="1:14" ht="26.25" x14ac:dyDescent="0.4">
      <c r="A24" s="92" t="s">
        <v>72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</row>
    <row r="25" spans="1:14" x14ac:dyDescent="0.25">
      <c r="A25" s="30"/>
      <c r="B25" s="1" t="s">
        <v>55</v>
      </c>
      <c r="C25" s="1" t="s">
        <v>56</v>
      </c>
      <c r="D25" s="1" t="s">
        <v>57</v>
      </c>
      <c r="E25" s="1" t="s">
        <v>58</v>
      </c>
      <c r="F25" s="1" t="s">
        <v>59</v>
      </c>
      <c r="G25" s="1" t="s">
        <v>60</v>
      </c>
      <c r="H25" s="1" t="s">
        <v>61</v>
      </c>
      <c r="I25" s="1" t="s">
        <v>62</v>
      </c>
      <c r="J25" s="1" t="s">
        <v>63</v>
      </c>
      <c r="K25" s="1" t="s">
        <v>64</v>
      </c>
      <c r="L25" s="1" t="s">
        <v>65</v>
      </c>
      <c r="M25" s="1" t="s">
        <v>66</v>
      </c>
      <c r="N25" s="1" t="s">
        <v>47</v>
      </c>
    </row>
    <row r="26" spans="1:14" ht="17.25" customHeight="1" x14ac:dyDescent="0.25">
      <c r="A26" s="35" t="s">
        <v>73</v>
      </c>
      <c r="B26" s="17">
        <v>0</v>
      </c>
      <c r="C26" s="14">
        <v>53</v>
      </c>
      <c r="D26" s="14">
        <v>0</v>
      </c>
      <c r="E26" s="17">
        <v>0</v>
      </c>
      <c r="F26" s="14">
        <v>73</v>
      </c>
      <c r="G26" s="17">
        <v>0</v>
      </c>
      <c r="H26" s="14">
        <v>94.15</v>
      </c>
      <c r="I26" s="14">
        <v>0</v>
      </c>
      <c r="J26" s="17">
        <v>0</v>
      </c>
      <c r="K26" s="14">
        <v>135</v>
      </c>
      <c r="L26" s="17">
        <v>0</v>
      </c>
      <c r="M26" s="17">
        <v>0</v>
      </c>
      <c r="N26" s="38">
        <f>SUM(B26:L26)</f>
        <v>355.15</v>
      </c>
    </row>
    <row r="27" spans="1:14" x14ac:dyDescent="0.25">
      <c r="A27" s="36" t="s">
        <v>69</v>
      </c>
      <c r="B27" s="5">
        <v>0</v>
      </c>
      <c r="C27" s="5">
        <v>37.700000000000003</v>
      </c>
      <c r="D27" s="5">
        <v>125</v>
      </c>
      <c r="E27" s="5">
        <v>0</v>
      </c>
      <c r="F27" s="5">
        <v>26.8</v>
      </c>
      <c r="G27" s="5">
        <v>0</v>
      </c>
      <c r="H27" s="5">
        <v>57</v>
      </c>
      <c r="I27" s="5">
        <v>80</v>
      </c>
      <c r="J27" s="5">
        <v>0</v>
      </c>
      <c r="K27" s="5">
        <v>63</v>
      </c>
      <c r="L27" s="5">
        <v>0</v>
      </c>
      <c r="M27" s="5">
        <v>0</v>
      </c>
      <c r="N27" s="38">
        <f>SUM(B27:M27)</f>
        <v>389.5</v>
      </c>
    </row>
    <row r="28" spans="1:14" x14ac:dyDescent="0.25">
      <c r="A28" s="35" t="s">
        <v>52</v>
      </c>
      <c r="B28" s="5">
        <v>0</v>
      </c>
      <c r="C28" s="5">
        <v>94.25</v>
      </c>
      <c r="D28" s="5">
        <v>0</v>
      </c>
      <c r="E28" s="5">
        <v>0</v>
      </c>
      <c r="F28" s="5">
        <v>56.4</v>
      </c>
      <c r="G28" s="5">
        <v>0</v>
      </c>
      <c r="H28" s="5">
        <v>33.200000000000003</v>
      </c>
      <c r="I28" s="5">
        <v>0</v>
      </c>
      <c r="J28" s="5">
        <v>0</v>
      </c>
      <c r="K28" s="5">
        <v>37</v>
      </c>
      <c r="L28" s="5">
        <v>0</v>
      </c>
      <c r="M28" s="5">
        <v>0</v>
      </c>
      <c r="N28" s="39">
        <f>SUM(B28:M28)</f>
        <v>220.85000000000002</v>
      </c>
    </row>
    <row r="29" spans="1:14" ht="18.75" customHeight="1" x14ac:dyDescent="0.25">
      <c r="A29" s="37" t="s">
        <v>70</v>
      </c>
      <c r="B29" s="5">
        <v>0</v>
      </c>
      <c r="C29" s="5">
        <v>697.6</v>
      </c>
      <c r="D29" s="5">
        <v>0</v>
      </c>
      <c r="E29" s="5">
        <f>6*15</f>
        <v>90</v>
      </c>
      <c r="F29" s="5">
        <v>0</v>
      </c>
      <c r="G29" s="5">
        <v>0</v>
      </c>
      <c r="H29" s="5">
        <v>0</v>
      </c>
      <c r="I29" s="5">
        <f>17*15</f>
        <v>255</v>
      </c>
      <c r="J29" s="5">
        <v>0</v>
      </c>
      <c r="K29" s="5">
        <v>0</v>
      </c>
      <c r="L29" s="5">
        <v>0</v>
      </c>
      <c r="M29" s="5">
        <v>0</v>
      </c>
      <c r="N29" s="38">
        <f>SUM(B29:M29)</f>
        <v>1042.5999999999999</v>
      </c>
    </row>
    <row r="30" spans="1:14" x14ac:dyDescent="0.25">
      <c r="A30" s="32" t="s">
        <v>71</v>
      </c>
      <c r="B30" s="5">
        <v>0</v>
      </c>
      <c r="C30" s="5">
        <v>38.799999999999997</v>
      </c>
      <c r="D30" s="5">
        <v>0</v>
      </c>
      <c r="E30" s="5">
        <v>0</v>
      </c>
      <c r="F30" s="5">
        <v>18.5</v>
      </c>
      <c r="G30" s="5">
        <v>0</v>
      </c>
      <c r="H30" s="5">
        <v>7.8</v>
      </c>
      <c r="I30" s="5">
        <v>0</v>
      </c>
      <c r="J30" s="5">
        <v>0</v>
      </c>
      <c r="K30" s="5">
        <v>12</v>
      </c>
      <c r="L30" s="5">
        <v>0</v>
      </c>
      <c r="M30" s="5">
        <v>0</v>
      </c>
      <c r="N30" s="38">
        <f>SUM(B30:M30)</f>
        <v>77.099999999999994</v>
      </c>
    </row>
    <row r="31" spans="1:14" x14ac:dyDescent="0.25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</row>
    <row r="32" spans="1:14" x14ac:dyDescent="0.25">
      <c r="A32" s="29" t="s">
        <v>47</v>
      </c>
      <c r="B32" s="33">
        <f t="shared" ref="B32:M32" si="0">SUM(B26:B30)</f>
        <v>0</v>
      </c>
      <c r="C32" s="33">
        <f t="shared" si="0"/>
        <v>921.34999999999991</v>
      </c>
      <c r="D32" s="33">
        <f t="shared" si="0"/>
        <v>125</v>
      </c>
      <c r="E32" s="33">
        <f t="shared" si="0"/>
        <v>90</v>
      </c>
      <c r="F32" s="33">
        <f t="shared" si="0"/>
        <v>174.7</v>
      </c>
      <c r="G32" s="33">
        <f t="shared" si="0"/>
        <v>0</v>
      </c>
      <c r="H32" s="33">
        <f t="shared" si="0"/>
        <v>192.15000000000003</v>
      </c>
      <c r="I32" s="33">
        <f t="shared" si="0"/>
        <v>335</v>
      </c>
      <c r="J32" s="33">
        <f t="shared" si="0"/>
        <v>0</v>
      </c>
      <c r="K32" s="33">
        <f t="shared" si="0"/>
        <v>247</v>
      </c>
      <c r="L32" s="33">
        <f t="shared" si="0"/>
        <v>0</v>
      </c>
      <c r="M32" s="33">
        <f t="shared" si="0"/>
        <v>0</v>
      </c>
      <c r="N32" s="16"/>
    </row>
    <row r="35" spans="1:1" x14ac:dyDescent="0.25">
      <c r="A35" t="s">
        <v>74</v>
      </c>
    </row>
    <row r="36" spans="1:1" x14ac:dyDescent="0.25">
      <c r="A36" t="s">
        <v>75</v>
      </c>
    </row>
    <row r="37" spans="1:1" x14ac:dyDescent="0.25">
      <c r="A37" t="s">
        <v>76</v>
      </c>
    </row>
    <row r="38" spans="1:1" x14ac:dyDescent="0.25">
      <c r="A38" t="s">
        <v>77</v>
      </c>
    </row>
    <row r="39" spans="1:1" x14ac:dyDescent="0.25">
      <c r="A39" t="s">
        <v>78</v>
      </c>
    </row>
    <row r="40" spans="1:1" x14ac:dyDescent="0.25">
      <c r="A40" t="s">
        <v>79</v>
      </c>
    </row>
  </sheetData>
  <mergeCells count="10">
    <mergeCell ref="A1:H1"/>
    <mergeCell ref="H3:H5"/>
    <mergeCell ref="A7:G7"/>
    <mergeCell ref="G9:G10"/>
    <mergeCell ref="A24:N24"/>
    <mergeCell ref="A31:N31"/>
    <mergeCell ref="A12:E12"/>
    <mergeCell ref="E14:E15"/>
    <mergeCell ref="A17:E17"/>
    <mergeCell ref="E19:E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2B1A-D2C8-48D6-8A2A-A5DEB6A810B5}">
  <dimension ref="A1:G45"/>
  <sheetViews>
    <sheetView workbookViewId="0">
      <selection activeCell="D14" sqref="D14"/>
    </sheetView>
  </sheetViews>
  <sheetFormatPr baseColWidth="10" defaultColWidth="11.42578125" defaultRowHeight="15" x14ac:dyDescent="0.25"/>
  <cols>
    <col min="1" max="1" width="49.28515625" style="4" customWidth="1"/>
    <col min="2" max="2" width="58.5703125" style="4" customWidth="1"/>
    <col min="6" max="6" width="16.7109375" bestFit="1" customWidth="1"/>
    <col min="7" max="7" width="29.140625" customWidth="1"/>
  </cols>
  <sheetData>
    <row r="1" spans="1:7" x14ac:dyDescent="0.25">
      <c r="A1" s="10" t="s">
        <v>80</v>
      </c>
      <c r="B1" s="10" t="s">
        <v>81</v>
      </c>
    </row>
    <row r="2" spans="1:7" ht="30" x14ac:dyDescent="0.25">
      <c r="A2" s="8" t="s">
        <v>82</v>
      </c>
      <c r="B2" s="5">
        <v>64114</v>
      </c>
      <c r="F2" t="s">
        <v>104</v>
      </c>
      <c r="G2" t="s">
        <v>106</v>
      </c>
    </row>
    <row r="3" spans="1:7" x14ac:dyDescent="0.25">
      <c r="A3" s="11"/>
      <c r="B3" s="7"/>
      <c r="F3" t="s">
        <v>105</v>
      </c>
      <c r="G3" t="s">
        <v>107</v>
      </c>
    </row>
    <row r="4" spans="1:7" x14ac:dyDescent="0.25">
      <c r="G4" t="s">
        <v>108</v>
      </c>
    </row>
    <row r="5" spans="1:7" x14ac:dyDescent="0.25">
      <c r="A5" s="99" t="s">
        <v>83</v>
      </c>
      <c r="B5" s="99"/>
      <c r="G5" t="s">
        <v>152</v>
      </c>
    </row>
    <row r="6" spans="1:7" ht="30" x14ac:dyDescent="0.25">
      <c r="A6" s="9" t="s">
        <v>84</v>
      </c>
      <c r="B6" s="12" t="s">
        <v>85</v>
      </c>
      <c r="G6" t="s">
        <v>11</v>
      </c>
    </row>
    <row r="7" spans="1:7" ht="30" x14ac:dyDescent="0.25">
      <c r="A7" s="8" t="s">
        <v>86</v>
      </c>
      <c r="B7" s="8" t="s">
        <v>87</v>
      </c>
      <c r="G7" t="s">
        <v>109</v>
      </c>
    </row>
    <row r="8" spans="1:7" ht="30" x14ac:dyDescent="0.25">
      <c r="A8" s="9" t="s">
        <v>88</v>
      </c>
      <c r="B8" s="8" t="s">
        <v>89</v>
      </c>
      <c r="G8" t="s">
        <v>110</v>
      </c>
    </row>
    <row r="9" spans="1:7" x14ac:dyDescent="0.25">
      <c r="G9" t="s">
        <v>111</v>
      </c>
    </row>
    <row r="10" spans="1:7" x14ac:dyDescent="0.25">
      <c r="G10" t="s">
        <v>113</v>
      </c>
    </row>
    <row r="11" spans="1:7" x14ac:dyDescent="0.25">
      <c r="A11" s="99" t="s">
        <v>90</v>
      </c>
      <c r="B11" s="99"/>
      <c r="G11" t="s">
        <v>153</v>
      </c>
    </row>
    <row r="12" spans="1:7" ht="38.25" customHeight="1" x14ac:dyDescent="0.25">
      <c r="A12" s="9" t="s">
        <v>84</v>
      </c>
      <c r="B12" s="8" t="s">
        <v>91</v>
      </c>
    </row>
    <row r="13" spans="1:7" ht="45" x14ac:dyDescent="0.25">
      <c r="A13" s="8" t="s">
        <v>86</v>
      </c>
      <c r="B13" s="8" t="s">
        <v>92</v>
      </c>
    </row>
    <row r="14" spans="1:7" ht="30" x14ac:dyDescent="0.25">
      <c r="A14" s="9" t="s">
        <v>93</v>
      </c>
      <c r="B14" s="8" t="s">
        <v>94</v>
      </c>
    </row>
    <row r="17" spans="1:2" x14ac:dyDescent="0.25">
      <c r="A17" s="99" t="s">
        <v>95</v>
      </c>
      <c r="B17" s="99"/>
    </row>
    <row r="18" spans="1:2" ht="30" x14ac:dyDescent="0.25">
      <c r="A18" s="9" t="s">
        <v>84</v>
      </c>
      <c r="B18" s="8" t="s">
        <v>91</v>
      </c>
    </row>
    <row r="19" spans="1:2" ht="30" x14ac:dyDescent="0.25">
      <c r="A19" s="8" t="s">
        <v>86</v>
      </c>
      <c r="B19" s="8" t="s">
        <v>96</v>
      </c>
    </row>
    <row r="20" spans="1:2" x14ac:dyDescent="0.25">
      <c r="A20" s="9" t="s">
        <v>93</v>
      </c>
      <c r="B20" s="8" t="s">
        <v>97</v>
      </c>
    </row>
    <row r="23" spans="1:2" x14ac:dyDescent="0.25">
      <c r="A23" s="99" t="s">
        <v>70</v>
      </c>
      <c r="B23" s="99"/>
    </row>
    <row r="24" spans="1:2" ht="30.75" customHeight="1" x14ac:dyDescent="0.25">
      <c r="A24" s="9" t="s">
        <v>84</v>
      </c>
      <c r="B24" s="8" t="s">
        <v>91</v>
      </c>
    </row>
    <row r="25" spans="1:2" ht="30" x14ac:dyDescent="0.25">
      <c r="A25" s="8" t="s">
        <v>86</v>
      </c>
      <c r="B25" s="8" t="s">
        <v>98</v>
      </c>
    </row>
    <row r="26" spans="1:2" ht="30.75" customHeight="1" x14ac:dyDescent="0.25">
      <c r="A26" s="9" t="s">
        <v>93</v>
      </c>
      <c r="B26" s="8" t="s">
        <v>99</v>
      </c>
    </row>
    <row r="29" spans="1:2" x14ac:dyDescent="0.25">
      <c r="A29" s="98" t="s">
        <v>100</v>
      </c>
      <c r="B29" s="98"/>
    </row>
    <row r="30" spans="1:2" ht="30" x14ac:dyDescent="0.25">
      <c r="A30" s="9" t="s">
        <v>84</v>
      </c>
      <c r="B30" s="8" t="s">
        <v>91</v>
      </c>
    </row>
    <row r="31" spans="1:2" ht="36.75" customHeight="1" x14ac:dyDescent="0.25">
      <c r="A31" s="8" t="s">
        <v>86</v>
      </c>
      <c r="B31" s="8" t="s">
        <v>101</v>
      </c>
    </row>
    <row r="32" spans="1:2" ht="18.75" customHeight="1" x14ac:dyDescent="0.25">
      <c r="A32" s="9" t="s">
        <v>93</v>
      </c>
      <c r="B32" s="8" t="s">
        <v>102</v>
      </c>
    </row>
    <row r="35" spans="1:2" x14ac:dyDescent="0.25">
      <c r="A35" s="98" t="s">
        <v>119</v>
      </c>
      <c r="B35" s="98"/>
    </row>
    <row r="36" spans="1:2" x14ac:dyDescent="0.25">
      <c r="A36" s="9" t="s">
        <v>120</v>
      </c>
      <c r="B36" s="8">
        <v>3611101</v>
      </c>
    </row>
    <row r="37" spans="1:2" x14ac:dyDescent="0.25">
      <c r="A37" s="8"/>
      <c r="B37" s="8"/>
    </row>
    <row r="38" spans="1:2" x14ac:dyDescent="0.25">
      <c r="A38" s="9"/>
      <c r="B38" s="8"/>
    </row>
    <row r="42" spans="1:2" x14ac:dyDescent="0.25">
      <c r="A42" s="98" t="s">
        <v>122</v>
      </c>
      <c r="B42" s="98"/>
    </row>
    <row r="43" spans="1:2" x14ac:dyDescent="0.25">
      <c r="A43" s="9" t="s">
        <v>120</v>
      </c>
      <c r="B43" s="8" t="s">
        <v>29</v>
      </c>
    </row>
    <row r="44" spans="1:2" x14ac:dyDescent="0.25">
      <c r="A44" s="8"/>
      <c r="B44" s="8"/>
    </row>
    <row r="45" spans="1:2" x14ac:dyDescent="0.25">
      <c r="A45" s="9"/>
      <c r="B45" s="8"/>
    </row>
  </sheetData>
  <mergeCells count="7">
    <mergeCell ref="A35:B35"/>
    <mergeCell ref="A42:B42"/>
    <mergeCell ref="A5:B5"/>
    <mergeCell ref="A11:B11"/>
    <mergeCell ref="A17:B17"/>
    <mergeCell ref="A23:B23"/>
    <mergeCell ref="A29:B2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0AF5CE21E27C47BBCB83646D75D6AD" ma:contentTypeVersion="17" ma:contentTypeDescription="Crear nuevo documento." ma:contentTypeScope="" ma:versionID="7c73e5e5f64e40b27788a9cd10513f35">
  <xsd:schema xmlns:xsd="http://www.w3.org/2001/XMLSchema" xmlns:xs="http://www.w3.org/2001/XMLSchema" xmlns:p="http://schemas.microsoft.com/office/2006/metadata/properties" xmlns:ns2="f4fa468c-8814-4491-b99b-cd1c3229aaf8" xmlns:ns3="d9072d42-13af-4ea7-95ff-e435d8265c75" targetNamespace="http://schemas.microsoft.com/office/2006/metadata/properties" ma:root="true" ma:fieldsID="f73e1fb18b79c12fc14c65735741b19c" ns2:_="" ns3:_="">
    <xsd:import namespace="f4fa468c-8814-4491-b99b-cd1c3229aaf8"/>
    <xsd:import namespace="d9072d42-13af-4ea7-95ff-e435d8265c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a468c-8814-4491-b99b-cd1c3229a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155352a-bc38-4ac2-9ec9-19e96c713e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72d42-13af-4ea7-95ff-e435d8265c7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0d971a6-e1ad-4c82-800f-0e7915a5a15d}" ma:internalName="TaxCatchAll" ma:showField="CatchAllData" ma:web="d9072d42-13af-4ea7-95ff-e435d8265c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CC4F87-AD07-488D-983B-AA9807AEA6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FFFA82-57FD-470B-B9A6-40C86793F1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fa468c-8814-4491-b99b-cd1c3229aaf8"/>
    <ds:schemaRef ds:uri="d9072d42-13af-4ea7-95ff-e435d8265c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REPORTE 2026</vt:lpstr>
      <vt:lpstr>INDICADORES 2024 - 2025</vt:lpstr>
      <vt:lpstr>TD_2025</vt:lpstr>
      <vt:lpstr>REPORTE 2025</vt:lpstr>
      <vt:lpstr>INFORMACIÓN BASE 2025</vt:lpstr>
      <vt:lpstr>CONSOLIDADO EMPRESTUR 2024</vt:lpstr>
      <vt:lpstr>Hoja2</vt:lpstr>
      <vt:lpstr>REPORTE DAVIDUS 2024</vt:lpstr>
      <vt:lpstr>TD_REP_DAVIDUS_2024</vt:lpstr>
      <vt:lpstr>DAVIDUS 2024</vt:lpstr>
      <vt:lpstr>EMPRESTUR 2024</vt:lpstr>
      <vt:lpstr>REPORTE 2023</vt:lpstr>
      <vt:lpstr>EMPRESTUR 2023</vt:lpstr>
      <vt:lpstr>DAVIDUS 2023</vt:lpstr>
      <vt:lpstr>INFORMACIÓN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Marín</dc:creator>
  <cp:keywords/>
  <dc:description/>
  <cp:lastModifiedBy>Alejandra Betancur</cp:lastModifiedBy>
  <cp:revision/>
  <dcterms:created xsi:type="dcterms:W3CDTF">2024-03-07T15:52:10Z</dcterms:created>
  <dcterms:modified xsi:type="dcterms:W3CDTF">2026-07-28T23:33:44Z</dcterms:modified>
  <cp:category/>
  <cp:contentStatus/>
</cp:coreProperties>
</file>