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19"/>
  <workbookPr/>
  <mc:AlternateContent xmlns:mc="http://schemas.openxmlformats.org/markup-compatibility/2006">
    <mc:Choice Requires="x15">
      <x15ac:absPath xmlns:x15ac="http://schemas.microsoft.com/office/spreadsheetml/2010/11/ac" url="C:\Users\qinzen\Downloads\"/>
    </mc:Choice>
  </mc:AlternateContent>
  <xr:revisionPtr revIDLastSave="0" documentId="8_{3DA710B1-881A-4FBF-A895-2968B19CB60A}" xr6:coauthVersionLast="47" xr6:coauthVersionMax="47" xr10:uidLastSave="{00000000-0000-0000-0000-000000000000}"/>
  <bookViews>
    <workbookView xWindow="0" yWindow="0" windowWidth="28800" windowHeight="13905" firstSheet="2" activeTab="2" xr2:uid="{00000000-000D-0000-FFFF-FFFF00000000}"/>
  </bookViews>
  <sheets>
    <sheet name="report" sheetId="1" r:id="rId1"/>
    <sheet name="IINDICADORES" sheetId="4" r:id="rId2"/>
    <sheet name="CARACTERIZACIÓN ACCIDENTALIDAD " sheetId="2" r:id="rId3"/>
    <sheet name="Dato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41" i="2" l="1"/>
  <c r="CI41" i="2"/>
  <c r="CL40" i="2"/>
  <c r="CI40" i="2"/>
  <c r="CN40" i="2" s="1"/>
  <c r="CT39" i="2"/>
  <c r="CI39" i="2"/>
  <c r="CI45" i="2"/>
  <c r="CI44" i="2"/>
  <c r="CI38" i="2"/>
  <c r="CI37" i="2"/>
  <c r="CI36" i="2"/>
  <c r="CI35" i="2"/>
  <c r="CI34" i="2"/>
  <c r="CT33" i="2"/>
  <c r="CI33" i="2"/>
  <c r="CT32" i="2"/>
  <c r="CI32" i="2"/>
  <c r="CT31" i="2"/>
  <c r="CI31" i="2"/>
  <c r="CT30" i="2"/>
  <c r="CI30" i="2"/>
  <c r="CT29" i="2"/>
  <c r="CI29" i="2"/>
  <c r="CT28" i="2"/>
  <c r="CI28" i="2"/>
  <c r="CT27" i="2"/>
  <c r="CI27" i="2"/>
  <c r="CT22" i="2"/>
  <c r="CI22" i="2"/>
  <c r="CT26" i="2"/>
  <c r="CI26" i="2"/>
  <c r="CI25" i="2"/>
  <c r="CT24" i="2"/>
  <c r="CI24" i="2"/>
  <c r="CT23" i="2"/>
  <c r="CI23" i="2"/>
  <c r="CT21" i="2"/>
  <c r="CI21" i="2"/>
  <c r="CI20" i="2"/>
  <c r="CT19" i="2"/>
  <c r="CI19" i="2"/>
  <c r="CT18" i="2"/>
  <c r="CI18" i="2"/>
  <c r="CI16" i="2"/>
  <c r="CT17" i="2"/>
  <c r="CI17" i="2"/>
  <c r="CI15" i="2"/>
  <c r="CI14" i="2"/>
  <c r="CI13" i="2"/>
  <c r="CI12" i="2"/>
  <c r="CI11" i="2"/>
  <c r="CI10" i="2"/>
  <c r="CI9" i="2"/>
  <c r="CT8" i="2"/>
  <c r="CT9" i="2"/>
  <c r="CT10" i="2"/>
  <c r="CT11" i="2"/>
  <c r="CT14" i="2"/>
  <c r="CT15" i="2"/>
  <c r="CT16" i="2"/>
  <c r="CT20" i="2"/>
  <c r="CT25" i="2"/>
  <c r="CT7" i="2"/>
  <c r="CT6" i="2"/>
  <c r="CI8" i="2"/>
  <c r="CI6" i="2"/>
  <c r="CI7" i="2"/>
  <c r="Y6" i="2"/>
  <c r="Y7" i="2"/>
  <c r="AB2" i="2"/>
  <c r="CI5" i="2"/>
  <c r="CI4" i="2"/>
  <c r="CO4" i="2" s="1"/>
  <c r="CI3" i="2"/>
  <c r="AB3" i="2"/>
  <c r="AB4" i="2"/>
  <c r="AB5" i="2"/>
  <c r="M3" i="2"/>
  <c r="CL2" i="2"/>
  <c r="CI2" i="2"/>
  <c r="CN2" i="2" s="1"/>
  <c r="A2" i="2"/>
  <c r="B2" i="2"/>
  <c r="C2" i="2"/>
  <c r="D2" i="2"/>
  <c r="E2" i="2"/>
  <c r="F2" i="2"/>
  <c r="G2" i="2"/>
  <c r="H2" i="2"/>
  <c r="I2" i="2"/>
  <c r="J2" i="2"/>
  <c r="K2" i="2"/>
  <c r="L2" i="2"/>
  <c r="M2" i="2"/>
  <c r="N2" i="2"/>
  <c r="O2" i="2"/>
  <c r="P2" i="2"/>
  <c r="Q2" i="2"/>
  <c r="R2" i="2"/>
  <c r="S2" i="2"/>
  <c r="T2" i="2"/>
  <c r="U2" i="2"/>
  <c r="V2" i="2"/>
  <c r="W2" i="2"/>
  <c r="X2" i="2"/>
  <c r="Y2" i="2"/>
  <c r="Z2" i="2"/>
  <c r="AA2" i="2"/>
  <c r="A3" i="2"/>
  <c r="B3" i="2"/>
  <c r="C3" i="2"/>
  <c r="D3" i="2"/>
  <c r="E3" i="2"/>
  <c r="F3" i="2"/>
  <c r="G3" i="2"/>
  <c r="H3" i="2"/>
  <c r="I3" i="2"/>
  <c r="J3" i="2"/>
  <c r="K3" i="2"/>
  <c r="L3" i="2"/>
  <c r="N3" i="2"/>
  <c r="O3" i="2"/>
  <c r="P3" i="2"/>
  <c r="Q3" i="2"/>
  <c r="R3" i="2"/>
  <c r="S3" i="2"/>
  <c r="T3" i="2"/>
  <c r="U3" i="2"/>
  <c r="V3" i="2"/>
  <c r="W3" i="2"/>
  <c r="X3" i="2"/>
  <c r="Y3" i="2"/>
  <c r="Z3" i="2"/>
  <c r="AA3" i="2"/>
  <c r="A4" i="2"/>
  <c r="B4" i="2"/>
  <c r="C4" i="2"/>
  <c r="D4" i="2"/>
  <c r="E4" i="2"/>
  <c r="F4" i="2"/>
  <c r="G4" i="2"/>
  <c r="H4" i="2"/>
  <c r="I4" i="2"/>
  <c r="J4" i="2"/>
  <c r="K4" i="2"/>
  <c r="L4" i="2"/>
  <c r="N4" i="2"/>
  <c r="O4" i="2"/>
  <c r="P4" i="2"/>
  <c r="Q4" i="2"/>
  <c r="R4" i="2"/>
  <c r="S4" i="2"/>
  <c r="T4" i="2"/>
  <c r="U4" i="2"/>
  <c r="V4" i="2"/>
  <c r="W4" i="2"/>
  <c r="X4" i="2"/>
  <c r="Y4" i="2"/>
  <c r="Z4" i="2"/>
  <c r="AA4" i="2"/>
  <c r="A5" i="2"/>
  <c r="B5" i="2"/>
  <c r="C5" i="2"/>
  <c r="D5" i="2"/>
  <c r="E5" i="2"/>
  <c r="F5" i="2"/>
  <c r="G5" i="2"/>
  <c r="H5" i="2"/>
  <c r="I5" i="2"/>
  <c r="J5" i="2"/>
  <c r="K5" i="2"/>
  <c r="L5" i="2"/>
  <c r="M5" i="2"/>
  <c r="N5" i="2"/>
  <c r="O5" i="2"/>
  <c r="P5" i="2"/>
  <c r="Q5" i="2"/>
  <c r="R5" i="2"/>
  <c r="S5" i="2"/>
  <c r="T5" i="2"/>
  <c r="U5" i="2"/>
  <c r="V5" i="2"/>
  <c r="W5" i="2"/>
  <c r="X5" i="2"/>
  <c r="Y5" i="2"/>
  <c r="Z5" i="2"/>
  <c r="AA5" i="2"/>
  <c r="CN41" i="2" l="1"/>
  <c r="CO3" i="2"/>
  <c r="CN3" i="2"/>
  <c r="CT3" i="2" s="1"/>
  <c r="CN4" i="2"/>
  <c r="CT4" i="2" s="1"/>
  <c r="CO5" i="2"/>
  <c r="CT5" i="2" s="1"/>
  <c r="CT2" i="2"/>
</calcChain>
</file>

<file path=xl/sharedStrings.xml><?xml version="1.0" encoding="utf-8"?>
<sst xmlns="http://schemas.openxmlformats.org/spreadsheetml/2006/main" count="6966" uniqueCount="1787">
  <si>
    <t>Hora de inicio</t>
  </si>
  <si>
    <t>Hora de finalización</t>
  </si>
  <si>
    <t>Correo electrónico</t>
  </si>
  <si>
    <t>Nombre</t>
  </si>
  <si>
    <t>Jefe directo responsable del reporte</t>
  </si>
  <si>
    <t>Fecha de la novedad o accidente</t>
  </si>
  <si>
    <t>A que horas le reportan que ocurrieron los hechos</t>
  </si>
  <si>
    <t>Placa del vehículo (si es administrativo colocar NO APLICA)</t>
  </si>
  <si>
    <t>Contrato o cliente</t>
  </si>
  <si>
    <t>Los hechos ocurrieron durante la prestación del servicio</t>
  </si>
  <si>
    <t>Código Servicio</t>
  </si>
  <si>
    <t>Nombre de Empleado que presenta el accidente o la novedad</t>
  </si>
  <si>
    <t>Cedula del Empleado que presenta el accidente o la novedad</t>
  </si>
  <si>
    <t>Número Celular del Empleado que presenta el accidente o la novedad</t>
  </si>
  <si>
    <t>Identifique que tipo de novedad o accidente le indican en el reporte inicial, y describa si fue:</t>
  </si>
  <si>
    <t>Que Afectación identifica usted inicialmente en la versión dada en el reporte</t>
  </si>
  <si>
    <t>Causa que genera el evento</t>
  </si>
  <si>
    <t>Lesionados</t>
  </si>
  <si>
    <t>Nombre y teléfono de Funcionario (Empleado del Cliente) lesionado</t>
  </si>
  <si>
    <t>Nombre y teléfono de Tercero (otro actor vial) lesionado</t>
  </si>
  <si>
    <t>Por favor, DESCRIBA la versión de los hechos que le da el empleado en el reporte inicial</t>
  </si>
  <si>
    <t>ACCIONES TOMADAS POR EL JEFE DIRECTO DE EMPRESTUR S.A.S.: Se reemplaza el servicio</t>
  </si>
  <si>
    <t>ACCIONES TOMADAS POR EL JEFE DIRECTO DE EMPRESTUR S.A.S.: Se informa al cliente verbalmente</t>
  </si>
  <si>
    <t>ACCIONES TOMADAS POR EL JEFE DIRECTO DE EMPRESTUR S.A.S.: Se dan indicaciones al conductor (llamar tránsito, ambulancia)</t>
  </si>
  <si>
    <t>ACCIONES TOMADAS POR EL JEFE DIRECTO DE EMPRESTUR S.A.S.: Realiza acompañamiento en sitio</t>
  </si>
  <si>
    <t>ACCIONES TOMADAS POR EL JEFE DIRECTO DE EMPRESTUR S.A.S.: Se reporta inmediatamente a SSTA de Emprestur</t>
  </si>
  <si>
    <t>Acciones adicionales realizadas por el Gestor logístico de Emprestur o Jefe Directo</t>
  </si>
  <si>
    <t>Registro Fotográfico Características del registro fotográfico: Frente, laterales, panorámica de los vehículos implicados; afectación a tercero foto escenario completo; Posición bosquejo o zona lugar d</t>
  </si>
  <si>
    <t xml:space="preserve">SOPORTES PARA ANEXAR (Registro fotográfico, preoperacional de la ultima semana, bimestral vigente, soportes de mantenimiento, Reporte de GPS, planilla de servicio o asignación del servicio, Ficha del </t>
  </si>
  <si>
    <t>anonymous</t>
  </si>
  <si>
    <t>JUAN DAVID BLANDON ARENAS</t>
  </si>
  <si>
    <t>08:51</t>
  </si>
  <si>
    <t>NNM056</t>
  </si>
  <si>
    <t>FUNDACION EPM</t>
  </si>
  <si>
    <t>Si</t>
  </si>
  <si>
    <t>SE008805</t>
  </si>
  <si>
    <t>DIEGO ALEXIS MONGUA GARCIA</t>
  </si>
  <si>
    <t>98702123</t>
  </si>
  <si>
    <t>311 7137391</t>
  </si>
  <si>
    <t>Incidente de trabajo (Se pudo presentar una lesión en el trabajador)</t>
  </si>
  <si>
    <t>Daño Material a Tercero</t>
  </si>
  <si>
    <t>Acto inseguro de Tercero</t>
  </si>
  <si>
    <t>N/A</t>
  </si>
  <si>
    <t xml:space="preserve">JUAN DAVID BLANDON
Logistico de Transporte Emprestur
Asunto: Informe de Novedad Vehiculo NNM 056
Respetuosamente me dirijo a usted con e fin de poner en conocimiento los hechos ocurridos el dia de hoy 20 de marzo del presente año, en las instalaciones de la UVA Pedregal de EPM.
Siendo aproximadamente las 05:45 am me dispuse a recoger a la señorita Laura Llanos funcionaria de la Fundacion EPM en el sector de la terminal de transporte del Norte de Medellin, seguid a esto aproximadamente las 06: 00 horas me dirigi a la uva pederegal de acuerdo a lo coordinado con la funcionaria, ingresamos a las instalaciones luego de cumplir con los requisitos de seguridad.
Siendo las 08:45 am la funcionaria luego de realizar sus labores en las instalaciones, nos dispusimos a continuar la ruta establecida, al momento de llegar a la porteria pase la tarjeta chip para abrir la talanquera de salida, en este punto se encontrba el vigilante de turno al cual le entregue el carnet de chip luego de pasar la talanquera, en este punto la funcionaria descendio del vehiculo para salir por el sector peatonal y marcar la salida, al pasar por el torniquete nuevamente ingreso a vehiculo e iniciamos la marcha para continuar con la ruta, cuando el heiculo a la altura de los espejos retrovisores cruza el porton siento un golpe al lado derecho del vehiculo, observo y me percato que la puerta del lado derecho del porton habia golpeado el vehiculo ya que habia iniciado a cerrarse.
Al ver lo que estaba sucendiendo busco visualmente al vigilante la para que detuviera la puerta que intentaba cerrase y al ver que esto no paraba y seguia golpenando el vehiculo lo lleve hacia adelante para evitar algun daño.
Luego de esto deciendo del vehiculo para verificar el vehiculo y encuentro que el retrovisor en la punta estaba tallado y otro en el centro, la presion tambien habia sacado el borde de la tapa del retrovisor del marco del espejo, ya en la puerta derecha tenia un tallon a lo lago de la puerta que saco un trapo del carro para mirara si solo eran residuos de la puerta del porton. Pero cuando veo que no desaparece procedo a pasar la mano sobre el sitio afectado y al tacto siento que tiene un sumido a lo largo del tallon siendo un poco mas profundo al inicio tomandolo de arriba hacia abajo.
Al ver lo anterior mecinado me dirijo hacia la caseta donde se encuentra el vigilante y le informo que al cerrar la puerta golpeo el carro ya que no dejo que el carro saliera en su totalidad, quien respondio lo siguiente cito “que el penso que ya habia salido y que ademas la puerta tenia sensores y que si eso paso fue que habian fallado los sensores”, ha esto le respondi que el deberia estar pendiente que el carro salga, el señor responde “yo debo mantener la puerta cerrada” e ingreso a la caseta.
Aunque es de logica y politicas de seguridad de la empresa, tambien es de logica que debe estar pendiente y cumplir las demas medidas de seguridad, como verificar que los carros crusen la linea amarilla que delimita el alcance de la puerta asi como se debe verificar que los carros que van a ingresar no sobre pasen la linea ya que los puede golpear tal cual como lo advierte el letrero que esta instalado en el porton.
Al escuchar estas respuestas y ver la actitud poco consiliadora y falta de interes por lo sucedido decido informarle a don Juan logistico Emprestur y al señor Andres Ramirez dueño del vehiculo con el fin de dar a conocer lo sucedido en tiempo real.
Quiero resaltar que todo lo anterior puede ser verificado con la funcionaria Laura Llanos y dentro de lo posible en los vedeos de las camaras de seguridad que vigilan el sector asi mismo en las ayudas fotograficas y audiovisuales que anexo al presente documento como tambien la cotizacion del costo de la correccion de las novedades presentadas al vehiculo la cual es algo modesta teniendo en cuenta que no se realizo atraves del consecionario ya que alli los costo puede ser mas elevado.        
</t>
  </si>
  <si>
    <t>NO</t>
  </si>
  <si>
    <t>SI</t>
  </si>
  <si>
    <t>Se reporta vía telefónica al cliente y luego se envía el correo, explicando lo sucedido y se adjuntan registros fotográficos y la cotización de la reparación de los daños.</t>
  </si>
  <si>
    <t>https://emprestur-my.sharepoint.com/personal/alejandra_betancur_emprestur_com/Documents/Aplicaciones/Microsoft%20Forms/INFORMACI%C3%93N%20NOVEDAD%20_%20ACCIDENTES%2026042022%20(2)/SOPORTES%20PARA%20ANEXAR/WhatsApp%20Image%202025-03-20%20at%209.14.39%20AM_anonymous.jpeg; https://emprestur-my.sharepoint.com/personal/alejandra_betancur_emprestur_com/Documents/Aplicaciones/Microsoft%20Forms/INFORMACI%C3%93N%20NOVEDAD%20_%20ACCIDENTES%2026042022%20(2)/SOPORTES%20PARA%20ANEXAR/WhatsApp%20Video%202025-03-20%20at%2010.01.49%20PM_anonymous.mp4; https://emprestur-my.sharepoint.com/personal/alejandra_betancur_emprestur_com/Documents/Aplicaciones/Microsoft%20Forms/INFORMACI%C3%93N%20NOVEDAD%20_%20ACCIDENTES%2026042022%20(2)/SOPORTES%20PARA%20ANEXAR/WhatsApp%20Image%202025-03-20%20at%2010.01.49%20PM_anonymous.jpeg; https://emprestur-my.sharepoint.com/personal/alejandra_betancur_emprestur_com/Documents/Aplicaciones/Microsoft%20Forms/INFORMACI%C3%93N%20NOVEDAD%20_%20ACCIDENTES%2026042022%20(2)/SOPORTES%20PARA%20ANEXAR/WhatsApp%20Video%202025-03-20%20at%2010.01.48%20PM_anonymous.mp4; https://emprestur-my.sharepoint.com/personal/alejandra_betancur_emprestur_com/Documents/Aplicaciones/Microsoft%20Forms/INFORMACI%C3%93N%20NOVEDAD%20_%20ACCIDENTES%2026042022%20(2)/SOPORTES%20PARA%20ANEXAR/WhatsApp%20Image%202025-03-20%20at%209.55.20%20PM_anonymous.jpeg; https://emprestur-my.sharepoint.com/personal/alejandra_betancur_emprestur_com/Documents/Aplicaciones/Microsoft%20Forms/INFORMACI%C3%93N%20NOVEDAD%20_%20ACCIDENTES%2026042022%20(2)/SOPORTES%20PARA%20ANEXAR/WhatsApp%20Image%202025-03-20%20at%209.55.19%20PM_anonymous.jpeg; https://emprestur-my.sharepoint.com/personal/alejandra_betancur_emprestur_com/Documents/Aplicaciones/Microsoft%20Forms/INFORMACI%C3%93N%20NOVEDAD%20_%20ACCIDENTES%2026042022%20(2)/SOPORTES%20PARA%20ANEXAR/Cotizaci%C3%B3n%20NNM%20056_anonymous.pdf</t>
  </si>
  <si>
    <t>Diego Mendez</t>
  </si>
  <si>
    <t>12 del dia</t>
  </si>
  <si>
    <t>EQX451</t>
  </si>
  <si>
    <t>EPM</t>
  </si>
  <si>
    <t>0</t>
  </si>
  <si>
    <t>LUIS EDUARDO AGUDELO SALAS</t>
  </si>
  <si>
    <t>98545061</t>
  </si>
  <si>
    <t>3046399455</t>
  </si>
  <si>
    <t>Accidente de tránsito y transporte dentro del desarrollo de la labor (Si ocurre en la vía con otros vehículos o con otros actores viales implicados)</t>
  </si>
  <si>
    <t>Afectación a Personas (lesionados)</t>
  </si>
  <si>
    <t>Acto inseguro propio (conductor)</t>
  </si>
  <si>
    <t>Tercero (Comunidad)</t>
  </si>
  <si>
    <t>CAMILO MESA 3207078251</t>
  </si>
  <si>
    <t>El día 21/03/2025 siendo las 12:00m, salía del del Campamento Tacuí con 3 funcionarios de EPM, durante el recorrido ninguna anomalía, vinimos a parar en Betania almorzar y a descansar un poco, al salir de Betania directo a Medellín justo después del Peaje de Don Matías en la recta después de estadero mm me encontré un mula a baja velocidad que iba aproximadamente 40 km/h y en uno de esos espacios identifiqué de que podía hacer el adelantamiento de ella, procedí hacer el adelantamiento ya que vi que no venía ningún vehículo, pero cuando estaba terminando de adelantar la mula, ella saca el cabezote para esquivar un vehículo que se encontraba estacionado entre la berma y la vía.
Al ver la maniobra de la tractomula, me dispongo a parar en el carril contrario y en ese momento veo un ciclista que venía en el carril contrario mirando hacía atrás y al ver que la camioneta estaba parada logra esquivar y colisiona con el lado izquierdo del vehículo.
Después de eso, procedo a estacionar el vehículo en el carril derecho para identificar lo que había sucedido y auxiliar el ciclista. Cuando nos bajamos del vehículo, el ciclista ya venía hacia el vehículo, se logra identificar unos leves raspones en los codos, en la cabeza y en la palma de la mano, se le presto la atención correspondiente y se realizo el traslado hacía el Hospital de Don Matías.
Cuando llegamos al hospital le realizaron el proceso de ingreso y revisión para descartar lesiones de gravedad, yo procedo a entregar lo documento del vehículo para que fuera atendido. Mientras realizaban el proceso de atención del ciclista llegaron los agentes de tránsito de Don Matías, pero indican que el proceso no era con ellos y proceden a llamar al policía de carretera, este llega y damos versión de lo sucedido, pero en común acuerdo con el ciclista logramos conciliar y llegar a un acuerdo, ya que el policía de carretera indica que no hay necesidad de hacer algún procedimiento legal, ya que el ciclista se encontraba bien.
El ciclista y su mamá todo el tiempo estuvo en buena actitud, agradeciendo todo el acompañamiento en el momento del evento.
Incluso el ciclista en todo momento se declaraba culpable ya que venía mirando hacia atrás."</t>
  </si>
  <si>
    <t>Se le indica que debe de hacer acompañamiento a la tercero lesionado y estar atento a instrucciones del area SST</t>
  </si>
  <si>
    <t>JOHN FREDY CALLE RESTREPO</t>
  </si>
  <si>
    <t>17:30 HORAS</t>
  </si>
  <si>
    <t>GDZ164</t>
  </si>
  <si>
    <t>ISAGEN</t>
  </si>
  <si>
    <t>NO APLICA</t>
  </si>
  <si>
    <t>ACOSTA RODAS GUILLERMO LEON</t>
  </si>
  <si>
    <t>98586405</t>
  </si>
  <si>
    <t>3146393071</t>
  </si>
  <si>
    <t>Daño Material propio</t>
  </si>
  <si>
    <t>Condición insegura</t>
  </si>
  <si>
    <t xml:space="preserve">Siendo las 17:20 horas aproximadamente mientras el conductor en mención realizaba maniobra de reversa (sin usuarios) en Casa de Maquinas para colocar el bus en posición de salida golpeo con la parte superior trasera derecha del bus el ducto de ventilación que esta en la "Y" ocasionando que el vidrio de la ventanilla se agrietara. </t>
  </si>
  <si>
    <t>Se informa al SST de ISAGEN Oscar Cano y también al Coordinador Administrativo Alejandro Berrio.</t>
  </si>
  <si>
    <t>https://emprestur-my.sharepoint.com/personal/alejandra_betancur_emprestur_com/Documents/Aplicaciones/Microsoft%20Forms/INFORMACI%C3%93N%20NOVEDAD%20_%20ACCIDENTES%2026042022%20(2)/SOPORTES%20PARA%20ANEXAR/WhatsApp%20Image%202025-03-27%20at%2011.19.21%20AM%20(1)_anonymous.jpeg; https://emprestur-my.sharepoint.com/personal/alejandra_betancur_emprestur_com/Documents/Aplicaciones/Microsoft%20Forms/INFORMACI%C3%93N%20NOVEDAD%20_%20ACCIDENTES%2026042022%20(2)/SOPORTES%20PARA%20ANEXAR/WhatsApp%20Image%202025-03-27%20at%2011.19.21%20AM_anonymous.jpeg; https://emprestur-my.sharepoint.com/personal/alejandra_betancur_emprestur_com/Documents/Aplicaciones/Microsoft%20Forms/INFORMACI%C3%93N%20NOVEDAD%20_%20ACCIDENTES%2026042022%20(2)/SOPORTES%20PARA%20ANEXAR/WhatsApp%20Image%202025-03-27%20at%2011.19.18%20AM%20(1)_anonymous.jpeg; https://emprestur-my.sharepoint.com/personal/alejandra_betancur_emprestur_com/Documents/Aplicaciones/Microsoft%20Forms/INFORMACI%C3%93N%20NOVEDAD%20_%20ACCIDENTES%2026042022%20(2)/SOPORTES%20PARA%20ANEXAR/WhatsApp%20Image%202025-03-27%20at%2011.19.18%20AM_anonymous.jpeg; https://emprestur-my.sharepoint.com/personal/alejandra_betancur_emprestur_com/Documents/Aplicaciones/Microsoft%20Forms/INFORMACI%C3%93N%20NOVEDAD%20_%20ACCIDENTES%2026042022%20(2)/SOPORTES%20PARA%20ANEXAR/WhatsApp%20Image%202025-03-27%20at%2011.18.44%20AM_anonymous.jpeg; https://emprestur-my.sharepoint.com/personal/alejandra_betancur_emprestur_com/Documents/Aplicaciones/Microsoft%20Forms/INFORMACI%C3%93N%20NOVEDAD%20_%20ACCIDENTES%2026042022%20(2)/SOPORTES%20PARA%20ANEXAR/WhatsApp%20Image%202025-03-27%20at%2011.18.43%20AM_anonymous.jpeg</t>
  </si>
  <si>
    <t>anónimo</t>
  </si>
  <si>
    <t>EDWIN AGUIRRE</t>
  </si>
  <si>
    <t>14:30</t>
  </si>
  <si>
    <t>ESR437</t>
  </si>
  <si>
    <t>CHEMICAL</t>
  </si>
  <si>
    <t xml:space="preserve">758 </t>
  </si>
  <si>
    <t xml:space="preserve">ZAPATA GUZMAN HECTOR ELI  </t>
  </si>
  <si>
    <t>70128434</t>
  </si>
  <si>
    <t>314 7701452</t>
  </si>
  <si>
    <t>Afectación al Cliente</t>
  </si>
  <si>
    <t>Funcionario de cliente</t>
  </si>
  <si>
    <t>Karina Silgado Silgado - 310 4043694</t>
  </si>
  <si>
    <t>n/a</t>
  </si>
  <si>
    <t xml:space="preserve">Conductor al momento de dar reversa atrapa funcionaria contra cajas de icopor que se encuentran contra la pared, aprisionando las dos rodillas provocando un leve dolor en la rodilla derecha, </t>
  </si>
  <si>
    <t>En compañía de Daniela Vergara, se llama al conductor para a hondar un poco mas en lo sucedido.  Me comunico con la funcionaria  me expresa  que no es grave que se tomara un par un par de antibióticos, se le ofrece  vehículo para llevarle a un centro medico, me dice que no es necesario que se tomara  un par de pastillas</t>
  </si>
  <si>
    <t>https://emprestur-my.sharepoint.com/personal/alejandra_betancur_emprestur_com/Documents/Aplicaciones/Microsoft%20Forms/INFORMACI%C3%93N%20NOVEDAD%20_%20ACCIDENTES%2026042022%20(2)/SOPORTES%20PARA%20ANEXAR/WhatsApp%20Image%202025-04-01%20at%203.17.01%20PM_anonymous.jpeg</t>
  </si>
  <si>
    <t xml:space="preserve">DAYHANA SOSSA GIRALDO </t>
  </si>
  <si>
    <t>3:00 PM</t>
  </si>
  <si>
    <t xml:space="preserve">JARDIN BOTANICO </t>
  </si>
  <si>
    <t>01046</t>
  </si>
  <si>
    <t>DENNIS VILLA</t>
  </si>
  <si>
    <t>98571216</t>
  </si>
  <si>
    <t xml:space="preserve"> 305 2656118</t>
  </si>
  <si>
    <t xml:space="preserve">El ing a cargo del proyecto le solicito trasladar un maquina podadora, y el conductor la sube a la camioneta sin amarrarla ni asegurarla. </t>
  </si>
  <si>
    <t>https://emprestur-my.sharepoint.com/personal/alejandra_betancur_emprestur_com/Documents/Aplicaciones/Microsoft%20Forms/INFORMACI%C3%93N%20NOVEDAD%20_%20ACCIDENTES%2026042022%20(2)/SOPORTES%20PARA%20ANEXAR/WhatsApp%20Video%202025-04-01%20at%203.43.18%20PM_anonymous.mp4</t>
  </si>
  <si>
    <t>DIANA ALVAREZ</t>
  </si>
  <si>
    <t>14:50</t>
  </si>
  <si>
    <t>GDY059</t>
  </si>
  <si>
    <t>MANUEL ANTONIO CARMONA MONTAÑO</t>
  </si>
  <si>
    <t>70568599</t>
  </si>
  <si>
    <t>3212583021</t>
  </si>
  <si>
    <t xml:space="preserve">El conductor iba en masivo de JAGUAS, pasando por la vía de SAN RAFAEL hacia MEDELLIN, el conductor da paso a un camión que llevaba una maquina, luego el conductor saca un poco el carro para continuar con la marcha, pero con la parte trasera del bus, toca una moto en el manubrio, el conductor se baja del carro para organizar con el dueño de la moto, (la cual se encontraba mal parqueada, ya que es un espacio de vía principal), en ese momento pasaron 3 volquetas, dos de ellas pasaron normal, pero la tercera, pasó y tenia un tornillo en el volco y con ese daño el espejo del bus.
se hizo presencia el transito, evidenciaron que ninguno de los dos implicados externos tenían documentos, hicieron mover los vehículos para no obstaculizar el paso y se retiran sin dar solución.
</t>
  </si>
  <si>
    <t>Solicitar fotos e informe  de lo sucedido</t>
  </si>
  <si>
    <t>https://emprestur-my.sharepoint.com/personal/alejandra_betancur_emprestur_com/Documents/Aplicaciones/Microsoft%20Forms/INFORMACI%C3%93N%20NOVEDAD%20_%20ACCIDENTES%2026042022%20(2)/SOPORTES%20PARA%20ANEXAR/WhatsApp%20Image%202025-04-11%20at%207.53.06%20PM_anonymous.jpeg; https://emprestur-my.sharepoint.com/personal/alejandra_betancur_emprestur_com/Documents/Aplicaciones/Microsoft%20Forms/INFORMACI%C3%93N%20NOVEDAD%20_%20ACCIDENTES%2026042022%20(2)/SOPORTES%20PARA%20ANEXAR/WhatsApp%20Image%202025-04-11%20at%207.53.05%20PM%20(3)_anonymous.jpeg; https://emprestur-my.sharepoint.com/personal/alejandra_betancur_emprestur_com/Documents/Aplicaciones/Microsoft%20Forms/INFORMACI%C3%93N%20NOVEDAD%20_%20ACCIDENTES%2026042022%20(2)/SOPORTES%20PARA%20ANEXAR/WhatsApp%20Image%202025-04-11%20at%207.53.05%20PM%20(2)_anonymous.jpeg; https://emprestur-my.sharepoint.com/personal/alejandra_betancur_emprestur_com/Documents/Aplicaciones/Microsoft%20Forms/INFORMACI%C3%93N%20NOVEDAD%20_%20ACCIDENTES%2026042022%20(2)/SOPORTES%20PARA%20ANEXAR/WhatsApp%20Image%202025-04-11%20at%207.53.05%20PM%20(1)_anonymous.jpeg; https://emprestur-my.sharepoint.com/personal/alejandra_betancur_emprestur_com/Documents/Aplicaciones/Microsoft%20Forms/INFORMACI%C3%93N%20NOVEDAD%20_%20ACCIDENTES%2026042022%20(2)/SOPORTES%20PARA%20ANEXAR/WhatsApp%20Image%202025-04-11%20at%207.53.05%20PM_anonymous.jpeg; https://emprestur-my.sharepoint.com/personal/alejandra_betancur_emprestur_com/Documents/Aplicaciones/Microsoft%20Forms/INFORMACI%C3%93N%20NOVEDAD%20_%20ACCIDENTES%2026042022%20(2)/SOPORTES%20PARA%20ANEXAR/WhatsApp%20Image%202025-04-11%20at%207.53.04%20PM_anonymous.jpeg</t>
  </si>
  <si>
    <t>JUAN DAVID BLANDÓN</t>
  </si>
  <si>
    <t>14:20</t>
  </si>
  <si>
    <t>NLW531</t>
  </si>
  <si>
    <t>TELEMEDELLIN</t>
  </si>
  <si>
    <t>995</t>
  </si>
  <si>
    <t>YAMID SERNA</t>
  </si>
  <si>
    <t>8005509</t>
  </si>
  <si>
    <t>310 4688172</t>
  </si>
  <si>
    <t>Siendo las 13:10 aproximadamente del día 23-04-2025 se presenta novedad con vehículo tipo jaula, éste se presentó sobre la Carrera 43F con 18, al frente del Canal de Televisión Telemedellín.
Me dirigía en sentido Norte-Sur y antes de llegar al retorno había fila para regresar, así que procedo a detenerme, estando ya quieto esperando el avance de los carros de adelante siento el impacto por detrás del otro vehículo. Desciendo del carro, se revisa el estado de los daños, el Presentador y Camarografo del canal deciden descender, cruzar la calle y llegar al canal a pie. Yo continuo con el registro fotográfico, el otro conductor acepta la responsabilidad y asume los gastos del ése daño. Hablando con Alejandro Gomez autoriza llevar el vehículo afectado al taller, donde se cotiza el daño y la persona responsable paga el total, quedando pendiente el arreglo para el día 24-04-2025 a las 8:00 am.</t>
  </si>
  <si>
    <t>https://emprestur-my.sharepoint.com/personal/alejandra_betancur_emprestur_com/Documents/Aplicaciones/Microsoft%20Forms/INFORMACI%C3%93N%20NOVEDAD%20_%20ACCIDENTES%2026042022%20(2)/SOPORTES%20PARA%20ANEXAR/WhatsApp%20Image%202025-04-23%20at%202.49.52%20PM%20(1)_anonymous.jpeg; https://emprestur-my.sharepoint.com/personal/alejandra_betancur_emprestur_com/Documents/Aplicaciones/Microsoft%20Forms/INFORMACI%C3%93N%20NOVEDAD%20_%20ACCIDENTES%2026042022%20(2)/SOPORTES%20PARA%20ANEXAR/WhatsApp%20Image%202025-04-23%20at%202.49.52%20PM_anonymous.jpeg</t>
  </si>
  <si>
    <t>JONATHAN GIRALDO ORREGO</t>
  </si>
  <si>
    <t>06:12 AM</t>
  </si>
  <si>
    <t>JYO404</t>
  </si>
  <si>
    <t>RUTA METRO</t>
  </si>
  <si>
    <t>CRISTIAN ANDRES TABORDA TABORDA</t>
  </si>
  <si>
    <t>1128438613</t>
  </si>
  <si>
    <t>3124601727</t>
  </si>
  <si>
    <t>Conductor y/o Empleado</t>
  </si>
  <si>
    <t>CRISTIAN ANDRES TABORDA TABORDA 3124601727</t>
  </si>
  <si>
    <t xml:space="preserve">El conductor CRISTIAN ANDRES TABORDA TABORDA se encontraba realizando la ruta Metro el día 24 de abril, y sale de la estación del metro siendo aproximadamente las 6:10 am. saliendo con el personal de ISAGEN, cuando mas o menos a las 6:12 am antes de llegar al semáforo de la glorieta de Monterrey (Carrera48c con la calle 10 cerca del rompoy de Monterrey) se me atraviesa un taxista y se baja del taxi a agredirme diciendo que yo lo había cerrado cosa que no fue así ya que desde que salí del punto de recogida salí por el carril izquierdo ya que el costado derecho se encontraban los taxis estacionados. el taxista abrió la puerta de mi carro y me agredió físicamente. </t>
  </si>
  <si>
    <t>se toma versión de los hechos, se revisa la novedad en cámaras de video y se le comparten al cliente.</t>
  </si>
  <si>
    <t>07:37 AM</t>
  </si>
  <si>
    <t>GTW934</t>
  </si>
  <si>
    <t>AYUDA HUMANITARIA</t>
  </si>
  <si>
    <t>No</t>
  </si>
  <si>
    <t>EMERGENCIA 123</t>
  </si>
  <si>
    <t xml:space="preserve">JUAN MANUEL GALINDO GOMEZ	</t>
  </si>
  <si>
    <t>1000644388</t>
  </si>
  <si>
    <t>3019029552 - 3128810679</t>
  </si>
  <si>
    <t>Accidente de tránsito (se produce en las vías y fuera de horario laboral)</t>
  </si>
  <si>
    <t xml:space="preserve">"El conductor JUAN MANUEL GALINDO GOMEZ con cedula de ciudadanía numero 1000644388  y número de teléfono 3019029552 - 3128810679, quien se encuentra asignado al vehículo de flota propia de placas GTW934  para el contrato de AYUDA HUMANITARIA - Componente Emergencias 123, el día sábado 3 de mayo del 2025 siendo las 7:37 de la mañana aproximadamente el conductor se dirigía hacia la corporación para iniciar turno; el conductor iba en el carro bajando por la avenida Ferrocarril a la altura del puente peatonal de plaza mayor (para entrar a la alpujarra), transitaba por carril del medio y enciende direccional para pasar al carril de la derecha y voltear para coger la calle 42 (plaza de la libertad), cuando se pasa al carril derecho una moto que venia muy rápido golpea contra el carro en un costado del vehículo al lado derecho, el conductor Juan Manuel Galindo al decirle al conductor de la moto que iba a llamar al transito, este le contesta que la culpa era de nuestro conductor por meterse así en el carril, nuestro conductor le dice que llamaran ambulancia que si estaba aporreado y este le contesta que no que porque le quitaban la porque no tenía papeles y salió y se fue del lugar.
El conductor de los nervios que tenia por el accidente, no alcanza a tomar la placa de la moto ni los datos de la persona, realiza el reporte de la novedad al coordinador Edwin y al día siguiente nos realiza el reporte a Flota propia (Director).
Al momento de los hechos no se tenia presencia de funcionarios en el vehículo.
Para hacer el análisis del accidente le solicito al conductor que me haga el reporte de lo ocurrido y me envié las fotos del evento, donde se evidencia que el carro sufre daños en nave trasera derecha y rin de la llanta trasera lado derecho.
Teniendo en cuenta que en el reporte, el conductor indica que va por el carril del medio y se pasa al carril derecho para voltear en la calle 42, asumo una presunta invasión del carril por lo que reviso el GPS y puedo evidenciar que a la altura del carril donde el conductor hace el giro hacia el lado derecho ya había una línea blanca continua en la via lo que me ratificaba lo que estaba pensando, por lo cual le escalo la pregunta al conductor Juan Manuel donde le consulto que si el era consciente que debía haber buscado pasar al carril derecho mucho antes  lo que este me contesta ""Si jefe mirando el retrovisor de pronto no vi que cambiaba la línea descontinúa ahi, Si hay tuve el error"".
en el momento de los hechos no se realiza reporte a la aseguradora ya que como lo indique solo hasta el día siguiente el conductor reporta a Flota."	
</t>
  </si>
  <si>
    <t xml:space="preserve">
Se realiza reporte del accidente de transito con la informacion que el conductor nos suministra al area de SST, Juridica, Talento humano y agencia de seguros para realiza el reporte a la aseguradora."		
</t>
  </si>
  <si>
    <t>https://emprestur-my.sharepoint.com/personal/alejandra_betancur_emprestur_com/Documents/Aplicaciones/Microsoft%20Forms/INFORMACI%C3%93N%20NOVEDAD%20_%20ACCIDENTES%2026042022%20(2)/SOPORTES%20PARA%20ANEXAR/ACIDENTE%20DE%20TRANSITO%20VEHICULO%20GTW934%20-%20JUAN%20M_anonymous.pdf</t>
  </si>
  <si>
    <t>Alejandra Velasquez</t>
  </si>
  <si>
    <t>4:30 pm</t>
  </si>
  <si>
    <t>WCQ263</t>
  </si>
  <si>
    <t>Mejia y Acevedo</t>
  </si>
  <si>
    <t>Ronald Graterol Quintero</t>
  </si>
  <si>
    <t>1434177</t>
  </si>
  <si>
    <t>3011414949</t>
  </si>
  <si>
    <t>Accidente de trabajo (Empleado de Emprestur Lesionado)</t>
  </si>
  <si>
    <t>Ronald Graterol Quintero 3011414949</t>
  </si>
  <si>
    <t>El conductor de emprestur Ronal graterol reporta sufrió una caida el dia de hoy mientras cargaba un balde con agua, refiere mucho dolor en hombro y pierna.</t>
  </si>
  <si>
    <t>Se informa a SST emprestur, se comunica y da indicaciones al conductor implicado y se indica información solicitada con el cliente Mejia y Acevedo</t>
  </si>
  <si>
    <t>Ramon Andres Quintero Cardona</t>
  </si>
  <si>
    <t>23:36</t>
  </si>
  <si>
    <t>NLW559</t>
  </si>
  <si>
    <t>Corporación Ayuda Humanitaria</t>
  </si>
  <si>
    <t>OS0305496</t>
  </si>
  <si>
    <t xml:space="preserve">JUAN JOSE ROA GARCIA </t>
  </si>
  <si>
    <t>1062088177</t>
  </si>
  <si>
    <t>3245030239</t>
  </si>
  <si>
    <t>Venía por la avenida regional lado derecho y en el  instante se me atraviesa un motociclista sin casco y sin ningúna señalización como la direccional afortunadamente no hubo perdidas humanas ni lecciones personales solo hubieron perdidas materiales, El siniestro ocurrió debido al mal manejo del motociclista y condiciones climáticas, Realicé varias llamadas a la aseguradora en diferentes momentos, pero lamentablemente no obtuve respuesta en ninguna de ellas, y el motociclista no contaba con documentación y fue inmovilizado</t>
  </si>
  <si>
    <t>Debido a que el incidente de transito fue a altas horas de la noche, se toma la versión de los acontecimientos del conductor al otro día y se reporta al área encargada</t>
  </si>
  <si>
    <t>https://emprestur-my.sharepoint.com/personal/alejandra_betancur_emprestur_com/Documents/Aplicaciones/Microsoft%20Forms/INFORMACI%C3%93N%20NOVEDAD%20_%20ACCIDENTES%2026042022%20(2)/SOPORTES%20PARA%20ANEXAR/Evidencia%20Fotografica_anonymous.pdf</t>
  </si>
  <si>
    <t>Julián david Valencia Ballesteros</t>
  </si>
  <si>
    <t>12:36</t>
  </si>
  <si>
    <t>ETL617</t>
  </si>
  <si>
    <t>CHEC</t>
  </si>
  <si>
    <t xml:space="preserve">TR2509173 </t>
  </si>
  <si>
    <t>DEYDI LEANDRO HEANO</t>
  </si>
  <si>
    <t>1053863471</t>
  </si>
  <si>
    <t>+57 324 4539219</t>
  </si>
  <si>
    <t>NO IBA FUNCIONARIO</t>
  </si>
  <si>
    <t>El conductor informa que el funcionario lo despacho a la 8 pm saliendo de victoria caldas hacia Manizales, después de pasar el sector el 8, el conductor informa sobre las 11:23 pm al coger una curva pierde el control y golpea el contra borde de la vía, se activó el airbag, el conductor indica no presentar lesiones.</t>
  </si>
  <si>
    <t>se reemplaza el servicio del dia 28 de mayo, se comunica con el conductor para solicitar desplazarse a revisión medica independiente de sentirse bien</t>
  </si>
  <si>
    <t>https://emprestur-my.sharepoint.com/personal/alejandra_betancur_emprestur_com/Documents/Aplicaciones/Microsoft%20Forms/INFORMACI%C3%93N%20NOVEDAD%20_%20ACCIDENTES%2026042022%20(2)/SOPORTES%20PARA%20ANEXAR/Imagen%20de%20WhatsApp%202025-05-28%20a%20las%2006.01.07__anonymous.jpg; https://emprestur-my.sharepoint.com/personal/alejandra_betancur_emprestur_com/Documents/Aplicaciones/Microsoft%20Forms/INFORMACI%C3%93N%20NOVEDAD%20_%20ACCIDENTES%2026042022%20(2)/SOPORTES%20PARA%20ANEXAR/Imagen%20de%20WhatsApp%202025-05-28%20a%20las%2006.01.00__anonymous.jpg</t>
  </si>
  <si>
    <t xml:space="preserve">13:22 </t>
  </si>
  <si>
    <t>SNW912</t>
  </si>
  <si>
    <t>ID86</t>
  </si>
  <si>
    <t>JONATHAN ATEHORTUA USME</t>
  </si>
  <si>
    <t>1001452215</t>
  </si>
  <si>
    <t>310 7272289</t>
  </si>
  <si>
    <t xml:space="preserve"> Wilson Alesis Marin Marin - 3239729782</t>
  </si>
  <si>
    <t>Me desplazada en la vía peñol marinilla  los vehículos de adelante se detuvieron  por la presencia de una animal  en la vía yo me detuve detrás iba una motocicleta  de placas RBG03F conducida por el sr. Wilson Alesis Marin Marin  cel. 3239729782 la cual no estaba respetando la distancia establecida  no alcanzo a frenar me golpeó por la parte trasera del vehículo</t>
  </si>
  <si>
    <t>Se entregan orientaciones via telefonica al conductor para proceder frente al desarrollo del evento, con respecto al reporte a la aseguradora y juridica de la compañia.</t>
  </si>
  <si>
    <t>https://emprestur-my.sharepoint.com/personal/alejandra_betancur_emprestur_com/Documents/Aplicaciones/Microsoft%20Forms/INFORMACI%C3%93N%20NOVEDAD%20_%20ACCIDENTES%2026042022%20(2)/SOPORTES%20PARA%20ANEXAR/Evidencia%20Fotografica_anonymous%201.pdf</t>
  </si>
  <si>
    <t>09:30 Pm</t>
  </si>
  <si>
    <t>FWK341</t>
  </si>
  <si>
    <t>CORPORACION AYUA HUMANITARIA</t>
  </si>
  <si>
    <t>123 EMERGENCIA</t>
  </si>
  <si>
    <t>MIGUEL ANGEL BEDOYA CASTAÑEDA</t>
  </si>
  <si>
    <t>1018229452</t>
  </si>
  <si>
    <t>3205182447</t>
  </si>
  <si>
    <t>Buenas tardes a todos
Espero estén muy bien.
Quiero informar que el día de ayer viernes 30 de mayo, el conductor de flota propia MIGUEL ANGEL BEDOYA CASTAÑEDA cc 1018229452 asignado al vehículo de placas FWK341 y quien labora para el contrato de la corporación Ayuda humanitaria, se encoraba cubriendo le turno de 10 de la mañana a  9 de la noche. luego de descargar a la funcionaria en su casa, siendo aproximadamente las 9:30 de la noche, ya se dirigía para el parqueadero de la empresa cuando en la Avenida 80 Con calle 78 Sentido norte-sur,  el conductor venia por el carril derecho a 40 Km/h (según informa el conductor), el piso se encontraba mojado porque estaba lloviendo, cuando al momento de frenar el carro cuando transitaba sobre una de las demarcaciones (pintura) que tiene en la vía para las paradas del metro plus, el vehículo pierde la tracción y el conductor pierde el control del vehículo lo cual genera que el carro le haga una especie de trompo he imparte contra dos vehículo y al final contra el separador (baranda tubos) ocasionando daños a los dos vehículos terceros, un carro de comidas rápidas que estaba siendo halado en esos momentos por uno de los vehículos con que se colisiona y el carro propio quien lleva la peor parte en el accidente por haber golpeado contra el separador.
los datos de los vehículos afectados son:
VEHICULO # 1
PLACA: IOV085 
TIPO DE VEHICULO: Renault Logan
NOMBRE: Juan Santiago Velasco
TELÉFONO: 3014047238
DAÑO: Afectación en bómper delantero derecho 
VEHICULO # 2
PLACA: ISS752 
TIPO DE VEHICULO: Renault Duster
NOMBRE: Jorge andres onofre
TELEFONO: 3216840974
DAÑOS: Afectacion en parte trasera y daños al carro de comidas rapidas en general.
El conductor se pone en contacto conmigo, y le pregunto si en el evento se presentan lesionados a lo que este me informa que ni el ni los tripulantes de los dos carros afectados estaban lesionados y que el accidente solo habia sido daños materiales, de inmediato le solicito que se ponga en contacto con la aseguradora SBS al #360 para que le presten la asistencia juridica en el sitio, ademas de servicio de grua y asignacion de taller para la reparacion del vehiculo propios.
El abogado de la aseguradora, llega al sitio y le explica a los terceros afectados como pueden realizar el proceso de reclamacion ante la aseguradora para la reparacion de los daños ocacionados por nuestro vehiculo. ademas se comunica tambien conmigo el abogado quien me informa el proceso que realizo con los terceros y que explica que debemos solicitar cita en el taller Multimarca de Envigado para que reciban el carro y valoren lo daños; por la hora del evento nos vimos en la necesidad de trasladar el carro en grua hasta nuestras intalaciones para ya el martes solicitar la cita en el taller que nos designo la aseguradora.
El día de hoy analice  el accidente teniendo en cuenta las imágenes y el reportes del conductor donde evidencio por reporte de GPS que el conductor nuestro segundos antes de accidente iba a una velocidad de 52,2 Km/h. y la velocidad máxima permitida en la via por donde transitaba es de 50Km/H.</t>
  </si>
  <si>
    <t>Se llama al conductor y le dan las infracciones de llamar a la aseguradora y se reporta a SST y abogadas.</t>
  </si>
  <si>
    <t>Jonathan Giraldo Orrego</t>
  </si>
  <si>
    <t>5:20 am</t>
  </si>
  <si>
    <t>CORPORACION</t>
  </si>
  <si>
    <t>CONHYDRA</t>
  </si>
  <si>
    <t>EDUAR ALEXANDER LONDOÑO CARO</t>
  </si>
  <si>
    <t>98710320</t>
  </si>
  <si>
    <t xml:space="preserve"> 3022234175</t>
  </si>
  <si>
    <t xml:space="preserve">Quiero informar que el día de hoy sábado 31 de mayo, el conductor de flota propia EDUAR ALEXANDER LONDOÑO CARO cc 98710320 asignado al vehículo de placas SNR611 y quien labora para el contrato de la CONHYDRA, se encoraba cubriendo le turno de la noche de 9 Pm hasta las  5 de la mañana.
El conductor siendo aproximadamente las 5:20 de la mañana me llama y me informa que ya había terminado el turno de trabajo y que cuando iba por la calle 62 A en el sector de fuente clara con destino para su casa, indica que le dio un micro sueño y que por ello se había chocado contra una motocicleta que estaba estacionada y que además se había golpeado el contra el timón del carro por lo que se había reventado un poco la boca. informa también que no hubieron más afectaciones ni heridos en el accidente. De inmediato le doy indicación al conductor de que se ponga en contacto con nuestra aseguradora SBS en el #360 para que solicite asistencia de grúa y de abogado en sitio para que se atendiera la moto afectada y el tránsito.
Pasados más o menos 30 minutos me comunico con el conductor nuevamente ya que no me respondía los mensajes para consultarle que si ya había solicitado la asistencia y que le habían respondido, a lo que este me informa que ya estaba por llegar el abogado de la aseguradora, también me indico que no solicitaría transito porque no habían lesionados, de inmediato le pido al conductor que llame al tránsito pues el cómo conductor si estaba lastimado por el golpe en la boca.  
Paso seguido y como acción tomada por mi parte fue enviar dos conductores de la flota al sitio para que realizaran el acompañamiento a Aduar Londoño ya que como había trasnochado y había reportado micro sueño lo ms prudente era llevarlo a la casa y que los compañeros terminaran el proceso con la aseguradora; no obstante, cuando los conductores de apoyo llegaron al lugar encontraron un escenario muy diferente a lo que el conductor aduar había reportado, resulta que nuestro conductor choco primero a una camioneta que estaba estacionada a un lado de la vía y luego golpeo dos motos que estaban estacionadas. 
Los daños de los carros fueron
CARRO PROPIO
SNR611:  Daños en bómper delantero farola izquierda - persiana - boca llantas delantero izquierdo, guardabarros, capot 
MOTO # 1
Bóxer 100: la moto se ve muy deteriorada y acabada, no se puede determinar si es que esta moto estaba desvalijada o en que estado estaba.
MOTO # 2
QWD19G: la moto se ve muy deteriorada y acabada, no se puede determinar si es que esta moto estaba desvalijada o en que estado estaba.
CAMIONETA PARTICULAR
KHS242: El carro tiene daños en bómper lado izquierdo, nave delantero, persiana.
Cuando llego el tránsito y el abogado de la aseguradora, se realizaron los procesos correspondientes, el abogado informó a todos los propietarios de los afectados que debían realizar la reclamación a la aseguradora, también me llamo y me informo que el transito se llevaría el carro para los patios pues debían realizar prueba de alcohol al conductor, pues se evidenciaba que estaba embriagado, por lo cual procedí a solicitarle a los conductores que envié, que se fueran con ellos para el transito y luego pudiera transportar al conductor a su casa.
Luego del procedimiento de prueba de alcohol el abogado me contacta y me informa que la prueba había salido positiva con grado 3 de alcalemia, le informe al conductor que se viniera para la empresa junto con los conductores para tomarle la versión de los hechos , no obstante, este se negó y dijo que no vendría a la empresa. 
El abogado me informa que el carro debe quedar retenido en patios hasta 10 días hábiles (17 de junio) y que al conductor le debían suspender la licencia de conducción. 
Le escribí al conductor aduar para solicitarle que llegara a la empresa para que nos contara lo ocurrido y me dijo que estaba muy apenado que el si se había tomado una cerveza que le había ofrecido uno de los contratistas y que luego lo venció el sueño.
el conductor no llego a </t>
  </si>
  <si>
    <t>Se hace presencia en sitio, se hace investigacion., se reporta a operaciones</t>
  </si>
  <si>
    <t>https://emprestur-my.sharepoint.com/personal/alejandra_betancur_emprestur_com/Documents/Aplicaciones/Microsoft%20Forms/INFORMACI%C3%93N%20NOVEDAD%20_%20ACCIDENTES%2026042022%20(2)/SOPORTES%20PARA%20ANEXAR/FOTOS%20DEL%20ACCIDENTE%20-%20SNR611_anonymous.pdf</t>
  </si>
  <si>
    <t>JHON HAWER MURCIA OROZCO</t>
  </si>
  <si>
    <t>12:27 PM</t>
  </si>
  <si>
    <t>LKL437</t>
  </si>
  <si>
    <t>SALUD EN CASA (SURA)</t>
  </si>
  <si>
    <t xml:space="preserve">le solicitan el soat  al vehículo por que la  funcionaria fua  a la clinica para ser atendida </t>
  </si>
  <si>
    <t>ANDRES DE JESUS TABORDA BOTERO</t>
  </si>
  <si>
    <t>71222989</t>
  </si>
  <si>
    <t>324 2433112</t>
  </si>
  <si>
    <t>3115209242</t>
  </si>
  <si>
    <t>YADIT REQUEME</t>
  </si>
  <si>
    <t>Dirección 
Calle 30 # 136-106
Belén aguas frías 
En camino se interpone motorizado el cual esquivó para ebitar incidente. 
Por lo tanto la llanta trasera del lado derecho del vehículo pasa una piedra por encima.</t>
  </si>
  <si>
    <t>comunicarme con el conductor  para saber que  sucedió y ayudarlo en lo que necesitaba</t>
  </si>
  <si>
    <t>ANDRES QUINTERO CARDONA</t>
  </si>
  <si>
    <t>13:17</t>
  </si>
  <si>
    <t>EXU714</t>
  </si>
  <si>
    <t>OS0321710</t>
  </si>
  <si>
    <t>EDISON STIVEN SALDARRIAGA HENAO</t>
  </si>
  <si>
    <t>1007669856</t>
  </si>
  <si>
    <t>3226609827</t>
  </si>
  <si>
    <t>vehículo tercero realiza giro a la izquierda en una vía doble sentido, frena de manera repentina por dar paso a peatón en la vía, frene tambien inmediatamente pero alcance a impactarlo en la parte de atras, Ocasionando solo pintura pequeña en ambos vehículos 
Sin heridos ni afectados</t>
  </si>
  <si>
    <t xml:space="preserve">Se acompaña telefónicamente al conductor hasta finalizar el proceso. </t>
  </si>
  <si>
    <t>https://emprestur-my.sharepoint.com/personal/alejandra_betancur_emprestur_com/Documents/Aplicaciones/Microsoft%20Forms/INFORMACI%C3%93N%20NOVEDAD%20_%20ACCIDENTES%2026042022%20(2)/SOPORTES%20PARA%20ANEXAR/Registro%20fotografico_anonymous.pdf</t>
  </si>
  <si>
    <t>Carlos Franco</t>
  </si>
  <si>
    <t>10:00 am</t>
  </si>
  <si>
    <t>NNM458</t>
  </si>
  <si>
    <t>SDT. 111166</t>
  </si>
  <si>
    <t>ALEJANDRO LOPERA BEDOYA</t>
  </si>
  <si>
    <t>1007243076</t>
  </si>
  <si>
    <t>3173471864</t>
  </si>
  <si>
    <t xml:space="preserve">CESAR ALFONSO TOVAR ARIAS Teléfono 3015182469 							</t>
  </si>
  <si>
    <t>"Yo venía por la autopista norte, sentido sur - norte a la altura de la feria de ganado, específicamente donde se realizan las subastas. Al rededor de las 10 de la mañana, venía delante de mi un vehículo tipo furgón el cual frena repentinamente por otro vehículo que frena delante de él ocasionando que yo impacte en la parte trasera del furgón"</t>
  </si>
  <si>
    <t>Se establece conversación con el funcionario donde manifiesta que no les pasó nada y que sólo fue el susto para que se le asigne vehículo de reemplazo y continuar con el recorrido programado</t>
  </si>
  <si>
    <t>https://emprestur-my.sharepoint.com/personal/alejandra_betancur_emprestur_com/Documents/Aplicaciones/Microsoft%20Forms/INFORMACI%C3%93N%20NOVEDAD%20_%20ACCIDENTES%2026042022%20(2)/SOPORTES%20PARA%20ANEXAR/WhatsApp%20Image%202025-06-08%20at%2020.26.17_anonymous.jpeg; https://emprestur-my.sharepoint.com/personal/alejandra_betancur_emprestur_com/Documents/Aplicaciones/Microsoft%20Forms/INFORMACI%C3%93N%20NOVEDAD%20_%20ACCIDENTES%2026042022%20(2)/SOPORTES%20PARA%20ANEXAR/WhatsApp%20Image%202025-06-08%20at%2020.26.18_anonymous.jpeg; https://emprestur-my.sharepoint.com/personal/alejandra_betancur_emprestur_com/Documents/Aplicaciones/Microsoft%20Forms/INFORMACI%C3%93N%20NOVEDAD%20_%20ACCIDENTES%2026042022%20(2)/SOPORTES%20PARA%20ANEXAR/WhatsApp%20Image%202025-06-08%20at%2020.26.20_anonymous.jpeg; https://emprestur-my.sharepoint.com/personal/alejandra_betancur_emprestur_com/Documents/Aplicaciones/Microsoft%20Forms/INFORMACI%C3%93N%20NOVEDAD%20_%20ACCIDENTES%2026042022%20(2)/SOPORTES%20PARA%20ANEXAR/WhatsApp%20Image%202025-06-08%20at%2020.26.20%20(1)_anonymous.jpeg; https://emprestur-my.sharepoint.com/personal/alejandra_betancur_emprestur_com/Documents/Aplicaciones/Microsoft%20Forms/INFORMACI%C3%93N%20NOVEDAD%20_%20ACCIDENTES%2026042022%20(2)/SOPORTES%20PARA%20ANEXAR/WhatsApp%20Image%202025-06-08%20at%2020.26.21_anonymous.jpeg; https://emprestur-my.sharepoint.com/personal/alejandra_betancur_emprestur_com/Documents/Aplicaciones/Microsoft%20Forms/INFORMACI%C3%93N%20NOVEDAD%20_%20ACCIDENTES%2026042022%20(2)/SOPORTES%20PARA%20ANEXAR/WhatsApp%20Image%202025-06-09%20at%2013.55.09_anonymous.jpeg</t>
  </si>
  <si>
    <t>Jeiner Morales</t>
  </si>
  <si>
    <t>1 pm</t>
  </si>
  <si>
    <t>SNV726</t>
  </si>
  <si>
    <t>EEP</t>
  </si>
  <si>
    <t>NA</t>
  </si>
  <si>
    <t>Wilder Ramos</t>
  </si>
  <si>
    <t>18516706</t>
  </si>
  <si>
    <t>+57 318 5094343</t>
  </si>
  <si>
    <t>Accidente Ambienta (afectación al ecosistema por derrames, impacto con animal en la vía)</t>
  </si>
  <si>
    <t>Afectación al medio ambiente</t>
  </si>
  <si>
    <t>na</t>
  </si>
  <si>
    <t>Sobre el medio día el conductor es chocado por un perro que se lanzo a la carretera generándole lesiones al perro</t>
  </si>
  <si>
    <t>Se reporta a SST</t>
  </si>
  <si>
    <t>10:51 AM</t>
  </si>
  <si>
    <t>SNV729</t>
  </si>
  <si>
    <t>FABIAN GENARO CARDENAS SANCHEZ</t>
  </si>
  <si>
    <t>1053849967</t>
  </si>
  <si>
    <t>3117672947</t>
  </si>
  <si>
    <t>Quiero realizar el reporte del accidente ocurrido el pasado miércoles 2 de julio del 2025; donde el conductor del vehículo administrado de placas SNV729 quien es conducido por nuestro colaborador FABIAN GENARO CARDENAS SANCHEZ CC 1053849967, teléfono 3117672947,se encontraba prestando servicio para el cliente CHEC. estando en inmediaciones de la base militar Montezuma - parque nacional natural Tatamá y que queda a mas o menos 2 horas y media de Pueblo rico Risaralda; los funcionarios descienden del vehículo, puesto que debían hacer unos trabajos de reconocimiento del terreno y este recorrido lo realizaban caminando; mientras tanto nuestro conductor seguía a los funcionarios montado en el vehículo a un una baja velocidad (7Km/h aproximadamente). siendo aproximadamente las 10:51 mientras iban bajando por una pendiente, el conductor siente que el pedal del freno no le responde y su reacción fue recostar el carro contra el barranco lo cual genera que el vehículo sufra un volcamiento, el conductor no sufre lesiones y los funcionarios al estar un poco retirados del vehículo tampoco sufren lesiones.
al lugar de los hechos, llegaron unos soldados quienes ayudaron a nuevamente voltear el vehículo y ponerlo sobre las ruedas; dado que el carro permaneció por un buen rato con las llantas hacia arriba, este no se debía encender pues podría generar afectaciones significativas dado que el aceite del vehículo pudo ingresar a las recamaras del motor; además el carro quedaba No operativo por las afectaciones que tenia.
Luego de que el carro estuvo sobre las Ruedas solicite al conductor que me realizara un video donde se evidenciara que el freno estaba "blandito" y no cogía, a lo que el conductor me informa "Jefe el freno está duro pero cuando yo empecé a bajar el pedal se fue a fondo". por lo que mi hipótesis es que el carro si le freno pero al ser un terreno de lodo amarrillo el carro se le fue resbalado, 
desde operaciones Manizales activaron el protocolo de mandar un carro de remplazo pero mientras llegaba el vehículo, tanto los funcionarios como el conductor se bajaron en un jeep para Pueblo Rico dejando el vehículo en el lugar de los hechos.
Se activo el protocolo de reporte de la novedad a la aseguradora SBS el cual quedo bajo el radicado (1708033), donde nos informan que debido a que donde quedo el carro es una zona roja y por lo inclinado del terreno y ser destapado, la grúa no entraba por el vehículo lo que nos llevo a tener que pagarle a un señor de un jeep para que subiera y arrastrara el carro hasta la entrada al parque nacional (pueblo rico) el cual nos cobro 600.000 mil pesos. luego de que sacaron el carro de la zona lo recogió la grúa de la aseguradora y lo traslado a Manizales para el taller casa López el cual nos designo la aseguradora para la reparación.
Esta novedad se le informo al propietario del vehículo (Juan Jose Roa) y el protocolo que esto tenia.</t>
  </si>
  <si>
    <t>desde operaciones Manizales activaron el protocolo de mandar un carro de remplazo pero mientras llegaba el vehículo, tanto los funcionarios como el conductor se bajaron en un jeep para Pueblo Rico dejando el vehículo en el lugar de los hechos.
Se activo el protocolo de reporte de la novedad a la aseguradora SBS el cual quedo bajo el radicado (1708033), donde nos informan que debido a que donde quedo el carro es una zona roja y por lo inclinado del terreno y ser destapado, la grúa no entraba por el vehículo lo que nos llevo a tener que pagarle a un señor de un jeep para que subiera y arrastrara el carro hasta la entrada al parque nacional (pueblo rico) el cual nos cobro 600.000 mil pesos. luego de que sacaron el carro de la zona lo recogió la grúa de la aseguradora y lo traslado a Manizales para el taller casa López el cual nos designo la aseguradora para la reparación.
Se envia notificacion a las areas encargadas para el proceso de investigacion del evento.</t>
  </si>
  <si>
    <t>https://emprestur-my.sharepoint.com/personal/alejandra_betancur_emprestur_com/Documents/Aplicaciones/Microsoft%20Forms/INFORMACI%C3%93N%20NOVEDAD%20_%20ACCIDENTES%2026042022%20(2)/SOPORTES%20PARA%20ANEXAR/FOTOS%20DEL%20ACCIDENTE%20SNV729%20-%20REPORTE%20GPS_anonymous.pdf</t>
  </si>
  <si>
    <t>Julian Davi Valencia Ballesteros</t>
  </si>
  <si>
    <t>12:50 pm</t>
  </si>
  <si>
    <t>EXU705</t>
  </si>
  <si>
    <t>TR2512634</t>
  </si>
  <si>
    <t>Milton Stivel Cardona Castaño</t>
  </si>
  <si>
    <t>1060650008</t>
  </si>
  <si>
    <t>+573165799327</t>
  </si>
  <si>
    <t>No se tiene contacto</t>
  </si>
  <si>
    <t>El día 18/07/2025, el conductor se dirigía a la residencia del funcionario para finalizar el servicio asignado. Al ingresar a la calle donde se encuentra la vivienda, observó que había varios caninos en el sector, por lo cual redujo la velocidad y continuó avanzando con precaución.
En ese momento, sintió un golpe en la llanta trasera del vehículo, acompañado de un chillido. Al detenerse y descender del vehículo, una vecina se acercó y le preguntó si había atropellado a un perro, a lo que el conductor respondió que no lo sabía con certeza.
Seguidamente, observó que un canino de gran tamaño salía por la parte delantera del vehículo, y al revisar por debajo, notó que había un canino más pequeño que estaba lesionado. El conductor procedió a retroceder el vehículo ligeramente para observar con mayor claridad el estado del animal.
En ese momento, un menor salió de una vivienda cercana, recogió al perro y lo ingresó a la casa. Posteriormente, una joven salió y preguntó por el estado del perro. Desde el interior de la vivienda se escuchaban llantos, pero ninguna otra persona salió a atender la situación.
Tanto el funcionario como algunos vecinos que presenciaron lo ocurrido le manifestaron al conductor que no había tenido la culpa y que podía retirarse del lugar. El conductor intentó hacer señas a los dueños del perro para obtener algún tipo de respuesta, pero no obtuvo ninguna y se retiro del sitio.</t>
  </si>
  <si>
    <t>Se le solicito al conductor evidencia fotografica del lugar del incidente.</t>
  </si>
  <si>
    <t>https://emprestur-my.sharepoint.com/personal/alejandra_betancur_emprestur_com/Documents/Aplicaciones/Microsoft%20Forms/INFORMACI%C3%93N%20NOVEDAD%20_%20ACCIDENTES%2026042022%20(2)/SOPORTES%20PARA%20ANEXAR/IMG-20250718-WA0017_anonymous.jpg; https://emprestur-my.sharepoint.com/personal/alejandra_betancur_emprestur_com/Documents/Aplicaciones/Microsoft%20Forms/INFORMACI%C3%93N%20NOVEDAD%20_%20ACCIDENTES%2026042022%20(2)/SOPORTES%20PARA%20ANEXAR/IMG-20250718-WA0018_anonymous.jpg; https://emprestur-my.sharepoint.com/personal/alejandra_betancur_emprestur_com/Documents/Aplicaciones/Microsoft%20Forms/INFORMACI%C3%93N%20NOVEDAD%20_%20ACCIDENTES%2026042022%20(2)/SOPORTES%20PARA%20ANEXAR/IMG-20250718-WA0016_anonymous.jpg; https://emprestur-my.sharepoint.com/personal/alejandra_betancur_emprestur_com/Documents/Aplicaciones/Microsoft%20Forms/INFORMACI%C3%93N%20NOVEDAD%20_%20ACCIDENTES%2026042022%20(2)/SOPORTES%20PARA%20ANEXAR/IMG-20250718-WA0014_anonymous.jpg; https://emprestur-my.sharepoint.com/personal/alejandra_betancur_emprestur_com/Documents/Aplicaciones/Microsoft%20Forms/INFORMACI%C3%93N%20NOVEDAD%20_%20ACCIDENTES%2026042022%20(2)/SOPORTES%20PARA%20ANEXAR/IMG-20250718-WA0015_anonymous.jpg; https://emprestur-my.sharepoint.com/personal/alejandra_betancur_emprestur_com/Documents/Aplicaciones/Microsoft%20Forms/INFORMACI%C3%93N%20NOVEDAD%20_%20ACCIDENTES%2026042022%20(2)/SOPORTES%20PARA%20ANEXAR/IMG-20250718-WA0013_anonymous.jpg</t>
  </si>
  <si>
    <t>Adriana Castillo</t>
  </si>
  <si>
    <t>13:30 p.m.</t>
  </si>
  <si>
    <t>NNN344</t>
  </si>
  <si>
    <t>SURA</t>
  </si>
  <si>
    <t>YEISON ACEVEDO ARIAS</t>
  </si>
  <si>
    <t>1007567428</t>
  </si>
  <si>
    <t>3052001475</t>
  </si>
  <si>
    <t>3003456544 Juan Pablo Sanchez</t>
  </si>
  <si>
    <t>Yo Yeison Acevedo Arias El día 30 de julio del 2025 
A las 13:45 en la calle 14 me dirigía a la empresa a entregar el vehículo al frente de la terminal del Sur ingresando a la glorieta del aeropuerto Olaya Herrera tuve un choque simple contra otro automóvil.
Lo que paso fue que el señor conductor arrancó a incorporace y yo también arranque en ese momento paso una motocicleta por la glorieta y el conductor del particulat se frenó de forma brusca no tuve tiempo de reacción y lo choque con el bomper delantero lado derecho en la parte izquierda trasera  del otro vehículo</t>
  </si>
  <si>
    <t>Se le indica que llame a la aseguradora, toma de fotograficas y traer el vehículo al parqueadero</t>
  </si>
  <si>
    <t>https://emprestur-my.sharepoint.com/personal/alejandra_betancur_emprestur_com/Documents/Aplicaciones/Microsoft%20Forms/INFORMACI%C3%93N%20NOVEDAD%20_%20ACCIDENTES%2026042022%20(2)/SOPORTES%20PARA%20ANEXAR/REGISTRO%20FOTOGRAFICO%20NNN344_anonymous.pdf</t>
  </si>
  <si>
    <t>7:40 AM</t>
  </si>
  <si>
    <t>FWL446</t>
  </si>
  <si>
    <t>FLOTA PROPIA</t>
  </si>
  <si>
    <t>CARAVANA RUTA 2025</t>
  </si>
  <si>
    <t>JUAN CAMILO SEPULVEDA MORALES</t>
  </si>
  <si>
    <t>1037618189 </t>
  </si>
  <si>
    <t>3019640447</t>
  </si>
  <si>
    <t>Angie Arzuza</t>
  </si>
  <si>
    <t>Quiero oficializar el reporte del accidente que ocurrió el pasado domingo 27 de julio del 2025. En el evento llamado caravana Ruta 2025 que la empresa organizo como parte de la celebración del día del conductor y la familia; 5 minutos luego de haber iniciado la caravana que salió de Ayurá motor de la avenida las Vegas, siendo aproximadamente las 7:40 de la mañana el conductor de flota propia JUAN CAMILO SEPULVEDA MORALES CC 1037618189 quien conducía el vehículo de placas FWL446 me reporta que había acabado de tener un accidente por la avenida regional a la altura de la calle 14, indica que el compañero LUIS FERNANDO GAVIRIA DURANGO cc 71753945 del vehículo de placas LKL570  que iba adelante de él freno y que no alcanzó a frenar el carro chocando contra el carro del compañero.
Ambos vehículos sufren afectaciones en su estructura, el carro de placas FWL446 es quien tiene mas afectaciones, pues se generan daños de bómper delantero, persiana, nave delantera, capot, calandria, radiador, farolas; por otro lado el vehículo de placas LKL570 sufre daños en bómper trasero, compuerta, stop y nave trasera.
Al momento del accidente en el vehículo de placas FWL446 viajaba nuestro conductor Juan camilo y su esposa, quienes indicaron no haber sufrido ninguna lesión; por otro lado en el carro de placas LKL570 viajaba nuestro conductor Luis Gaviria en compañía de Angie Arzuza, quien luego del evento si manifestó tener sensación de dolor en su cuerpo por el evento.
Se valida el GPS y se identifica que al momento del evento el carro FWL446 iba a una velocidad de 38 Km/h.
el caso fue reportado a la aseguradora Zurich Colombia Seguros el cual quedo bajo el radicado # -175129.
agradezco por favor realicemos el proceso de investigación del evento y dejemos los registros necesarios.
@Manuela Jaramillo - @Nancy Arias
Antes de iniciar la caravana todos los conductores firmaron un documento llamado exoneración de responsabilidad de la empresa donde ellos asumían cualquier daño o afectación. estos documentos los tenia Angie, por favor vinculemos el documento que debió firmar juan camilo para que realicemos el descuento de nomina del deducible por afectaciones 2 SMMLV.
Se anexan fotos de los carros.
reporte GPS
Se registra evento en el enlace.</t>
  </si>
  <si>
    <t>Se realiza reporte de la novedad SST - y talento humano, se reporta aseguradora</t>
  </si>
  <si>
    <t>https://emprestur-my.sharepoint.com/personal/alejandra_betancur_emprestur_com/Documents/Aplicaciones/Microsoft%20Forms/INFORMACI%C3%93N%20NOVEDAD%20_%20ACCIDENTES%2026042022%20(2)/SOPORTES%20PARA%20ANEXAR/FOTOS%20DEL%20EVENTO%20FWL446%20-%20LKL570_anonymous.pdf</t>
  </si>
  <si>
    <t xml:space="preserve">Adriana Castillo </t>
  </si>
  <si>
    <t>17:30 p.m.</t>
  </si>
  <si>
    <t>Yeison Acevedo Arias</t>
  </si>
  <si>
    <t xml:space="preserve">Henry de Jesus Lopera </t>
  </si>
  <si>
    <t>El día 28 de julio a las 17:30 En la carrera 48c a la altura del centro comercial monterrey 
Me desplazaba en el bus de placa JYO404 con la ruta del masivo de ISAGEN., Un taxi iba adelante y pone su direccional izquierda y se empieza a mover a el carril izquierdo, adelante del taxi había otros vehículos lo cierran y el devuelve la dirección hacia la derecha yo iba a seguir derecho me cierra y no pude frenar totalmente y lo choque en la parte trasera. Yo creo que el incidente pasó porque el otro conductor no puso direccional y se salió de imprevisto lo cual me dejó sin tiempo de reacción aunque logre frenar lo más que pude! Pensando en los usuarios que llevaba</t>
  </si>
  <si>
    <t xml:space="preserve">El Director de flota es a quien le reporta la novedad y procede a revisar las cámaras del vehículo para dar la respuesta inicial a Jorge Correa Coordinador Lider </t>
  </si>
  <si>
    <t>https://emprestur-my.sharepoint.com/personal/alejandra_betancur_emprestur_com/Documents/Aplicaciones/Microsoft%20Forms/INFORMACI%C3%93N%20NOVEDAD%20_%20ACCIDENTES%2026042022%20(2)/SOPORTES%20PARA%20ANEXAR/REGISTRO%20FOTOGR%C3%81FICO%20JYO404_anonymous.pdf</t>
  </si>
  <si>
    <t>08:12</t>
  </si>
  <si>
    <t>GDW822</t>
  </si>
  <si>
    <t>CARLOS ARTURO GOMEZ ESPINOSA</t>
  </si>
  <si>
    <t>7547809</t>
  </si>
  <si>
    <t>3155550550</t>
  </si>
  <si>
    <t>El conductor llama sobre las 08:12 am a informar que tuvo accidente, no explica muy bien la situación, se entiende que es un choque con otro vehículo</t>
  </si>
  <si>
    <t>Se llama a Dalila para informar del evento, aclarando que, si bien la camioneta es afiliada a Emprestur, en la actualidad no labora con nuestra empresa, labora mediante convenio con la empresa Trandecol. De acuerdo a la información proporcionada por Dalila se le informa al conductor que debe hacer el reporte a la empresa para la que presta el servicio.</t>
  </si>
  <si>
    <t>3:15 pm</t>
  </si>
  <si>
    <t>TMZ390</t>
  </si>
  <si>
    <t>MEJIA ACEVEDO</t>
  </si>
  <si>
    <t>WILSON EUGENIO CALLE HENAO</t>
  </si>
  <si>
    <t>98589488</t>
  </si>
  <si>
    <t>3128040278</t>
  </si>
  <si>
    <t>WILSON EUGENIO CALLE HENAO 3128040278</t>
  </si>
  <si>
    <t xml:space="preserve">El conductor en labor de cargue se cortó con unas latas </t>
  </si>
  <si>
    <t xml:space="preserve">Se recibe el reporte e inmediatamente se reporta a SSTA de Emprestur </t>
  </si>
  <si>
    <t>Kevin Arenas - Director contable</t>
  </si>
  <si>
    <t>11:00 am</t>
  </si>
  <si>
    <t>Viviana Sepúlveda</t>
  </si>
  <si>
    <t>1151447574</t>
  </si>
  <si>
    <t>3104682615</t>
  </si>
  <si>
    <t>Viviana Sepúlveda me informa que se encontraba con su hija en el parque de las aguas en la actividad del día de la familia, al bajar las escalas en uno de sus trayectos resbala y cae sobre su coxis, inicialmente lesión no le impide caminar, pero el dolor se mantiene en el tiempo.</t>
  </si>
  <si>
    <t>Una vez se me informe del accidente y el dolor constante le recomiendo que pida cita en su EPS.</t>
  </si>
  <si>
    <t xml:space="preserve">Alejandra faisuri botero </t>
  </si>
  <si>
    <t>12 pm</t>
  </si>
  <si>
    <t>JOW870</t>
  </si>
  <si>
    <t xml:space="preserve">Chec pasajeros </t>
  </si>
  <si>
    <t>TR2513673</t>
  </si>
  <si>
    <t xml:space="preserve">Diego Alejandro ramirez </t>
  </si>
  <si>
    <t>1057788127</t>
  </si>
  <si>
    <t>3044860852</t>
  </si>
  <si>
    <t>Anyinson scappeta</t>
  </si>
  <si>
    <t>3128732688</t>
  </si>
  <si>
    <t xml:space="preserve">En la carretera destapada una motocicleta  invadiendo el caril de la camioneta </t>
  </si>
  <si>
    <t xml:space="preserve">Se realiza llamada para realizar  seguimiento  qué todos estén bien </t>
  </si>
  <si>
    <t>8:51 a.m.</t>
  </si>
  <si>
    <t xml:space="preserve">LKK451 </t>
  </si>
  <si>
    <t>JHON DAYRO COLORADO OSORIO</t>
  </si>
  <si>
    <t>71263405</t>
  </si>
  <si>
    <t>3137526315</t>
  </si>
  <si>
    <t>Daniel Alexis 3233988099</t>
  </si>
  <si>
    <t>El conductor se le había dado la indicación que debía llevar unos funcionarios de Telemedellin para el Municipio de Barbosa, al cruzar el peaje uno de los tripulantes le indicó que debía haber volteado en el ingreso para la subestación Tasajera, como el conductor ya había pasado este cruce procede a frenar y empezar a dar reversa, en la reversa no se fijó que un tractocamión se encontraba saliendo y el tractocamión al no percatarse del vehículo ocurrió el choque. 
No se presentaron afectados, se tomó registro fotográfico,  el conductor procede a realizar el reporte a la aseguradora.</t>
  </si>
  <si>
    <t>Se procede a indicarle al conductor que reporte a la aseguradora y el Gestor logístico procede a realizar el relevo del vehículo.</t>
  </si>
  <si>
    <t>https://emprestur-my.sharepoint.com/personal/alejandra_betancur_emprestur_com/Documents/Aplicaciones/Microsoft%20Forms/INFORMACI%C3%93N%20NOVEDAD%20_%20ACCIDENTES%2026042022%20(2)/SOPORTES%20PARA%20ANEXAR/REGISTRO%20FOTOGR%C3%81FICO%20ACCIDENTE%20VIAL%20LKK451_anonymous.pdf</t>
  </si>
  <si>
    <t>10:50 p.m.</t>
  </si>
  <si>
    <t>SNU647</t>
  </si>
  <si>
    <t>Conhydra</t>
  </si>
  <si>
    <t>Wilson Orlando Mora Marin</t>
  </si>
  <si>
    <t>98704217</t>
  </si>
  <si>
    <t>3196835309</t>
  </si>
  <si>
    <t>El conductor manifiesto que iba subiendo por la calle 24A por cabañas y había un vehículo adelante muy lento, entonces el señor como sabia que iba lento, el señor se corrió al costado derecho para dejarme pasar y cuando se iba a adelantar, un señor de la moto de una de las casas salió sin percatarse que iba adelantando, por no coger el de la moto lo que hice fué irme al lado derecho lo que ocasionó que le pegara al vehículo que me estaba dando paso, una vez lo adelanté me hice al costado derecho para revisar el daño, el señor pensó que me iba a volar y lo que hizo fue adelantarme y se hizo al lado y ya parqueo adelante mío.</t>
  </si>
  <si>
    <t xml:space="preserve">Se solicita llamar a la aseguradora reportar </t>
  </si>
  <si>
    <t>https://emprestur-my.sharepoint.com/personal/alejandra_betancur_emprestur_com/Documents/Aplicaciones/Microsoft%20Forms/INFORMACI%C3%93N%20NOVEDAD%20_%20ACCIDENTES%2026042022%20(2)/SOPORTES%20PARA%20ANEXAR/REGISTRO%20FOTOGR%C3%81FICO%20SNU647_anonymous.pdf</t>
  </si>
  <si>
    <t>Adriana Marcela Castillo</t>
  </si>
  <si>
    <t>15:30 p.m.</t>
  </si>
  <si>
    <t>NNL058</t>
  </si>
  <si>
    <t xml:space="preserve">Wilder Pardo Pamplona </t>
  </si>
  <si>
    <t>1017148606</t>
  </si>
  <si>
    <t>3023837194</t>
  </si>
  <si>
    <t>Iba transitando por el parque de San Antonio de prado y anterior a una cebra iba una adulta mayor cruzando lo cual detuve el vehículo con luces estacionarias para darle paso y la moto que venía detrás de mí no le dio tiempo de frenar y me impactó, se procede a hablar con el de la moto para arreglar y conciliamos con 200 mil pesos.</t>
  </si>
  <si>
    <t>Una vez indicado el reporte se le indica al conductor que por favor concilie con el señor de la moto, para no afectar la póliza, el motorizado le cancela al conductor la suma de 200 mil pesos, se adjunta evidencia de la consignación del dinero a la cuenta de Emprestur.</t>
  </si>
  <si>
    <t>https://emprestur-my.sharepoint.com/personal/alejandra_betancur_emprestur_com/Documents/Aplicaciones/Microsoft%20Forms/INFORMACI%C3%93N%20NOVEDAD%20_%20ACCIDENTES%2026042022%20(2)/SOPORTES%20PARA%20ANEXAR/REGISTRO%20FOTOGR%C3%81FICO%20NNN058_anonymous.pdf</t>
  </si>
  <si>
    <t>7:15 p.m.</t>
  </si>
  <si>
    <t>CORPORACION AYUDA HUMANITARIA</t>
  </si>
  <si>
    <t>JUAN PABLO GONZALEZ PADILLA</t>
  </si>
  <si>
    <t>1007979469</t>
  </si>
  <si>
    <t>3024190757</t>
  </si>
  <si>
    <t>Fecha y hora del incidente:
23 de agosto de 2025, aproximadamente a las 19:15 horas.
Lugar:
Autopista Norte, sentido sur–norte, en desplazamiento hacia el municipio de Bello, barrio París, a la dirección carrera 72 #20–36.
Descripción de los hechos:
A las 19:00 horas se inició un servicio con destino a recoger a una pasajera en el sector de París, municipio de Bello. Durante el trayecto, me desplazaba por la Autopista Norte en el carril izquierdo.
Alrededor de las 19:15 horas procedí a realizar un cambio de carril hacia la derecha, momento en el cual se presentó un incidente de tránsito en dicho carril, donde ya se encontraban involucrados cuatro vehículos. El quinto vehículo, que circulaba adelante, se encontraba detenido.
Al intentar incorporarme al carril derecho, el vehículo que iba delante frenó de manera repentina. A pesar de accionar los frenos, no fue posible detener el vehículo a tiempo y se produjo una colisión en la parte frontal izquierda del vehículo que yo conducía contra la parte trasera del otro automotor.
Consecuencias: 
Daños materiales en el vehículo de la empresa, específicamente:
Farola izquierda.
Bomper delantero.
Capó delantero (principalmente en el costado izquierdo).
No se presentaron personas lesionadas, únicamente daños materiales.</t>
  </si>
  <si>
    <t>Se le solicita al conductor llamar a la aseguradora</t>
  </si>
  <si>
    <t>https://emprestur-my.sharepoint.com/personal/alejandra_betancur_emprestur_com/Documents/Aplicaciones/Microsoft%20Forms/INFORMACI%C3%93N%20NOVEDAD%20_%20ACCIDENTES%2026042022%20(2)/SOPORTES%20PARA%20ANEXAR/REGISTRO%20FOTOGR%C3%81FICO%20LKL631_anonymous.pdf</t>
  </si>
  <si>
    <t>04:40 HORAS</t>
  </si>
  <si>
    <t>NNN253</t>
  </si>
  <si>
    <t>VARGAS GARCÍA LEONEL ALEXANDER</t>
  </si>
  <si>
    <t>71174247</t>
  </si>
  <si>
    <t>3146391790</t>
  </si>
  <si>
    <t>EXPRESO BRASILIA</t>
  </si>
  <si>
    <t>NO SE TIENE</t>
  </si>
  <si>
    <t>El conductor reporta a las 06:30 horas aproximadamente que siendo las 04:45 horas de la mañana de hoy cuando llego a la Bahía de la Terminal del Norte mientras estaba estacionado para recoger los usuarios de ISAGEN, un bus de la empresa Expreso Brasilia golpeo la parte trasera izquierda del bómper y la parte lateral izquierda desde atrás. Manifiesta que no llamo al transito porque el golpe había sido muy leve y aparentemente salía con copao. Cuando llego al Palacio de los Frijoles en Cocorná y que ya estaba con mas luz de dia fue que evidencio que el rayón era mas profundo.</t>
  </si>
  <si>
    <t>Se reporto a Jonathan Giraldo y Angie Arzuza después de haber recibido reporte por parte del conductor Leonel Vargas.</t>
  </si>
  <si>
    <t>https://emprestur-my.sharepoint.com/personal/alejandra_betancur_emprestur_com/Documents/Aplicaciones/Microsoft%20Forms/INFORMACI%C3%93N%20NOVEDAD%20_%20ACCIDENTES%2026042022%20(2)/SOPORTES%20PARA%20ANEXAR/WhatsApp%20Image%202025-09-10%20at%206.36.21%20AM_anonymous.jpeg; https://emprestur-my.sharepoint.com/personal/alejandra_betancur_emprestur_com/Documents/Aplicaciones/Microsoft%20Forms/INFORMACI%C3%93N%20NOVEDAD%20_%20ACCIDENTES%2026042022%20(2)/SOPORTES%20PARA%20ANEXAR/WhatsApp%20Image%202025-09-10%20at%206.36.15%20AM_anonymous.jpeg; https://emprestur-my.sharepoint.com/personal/alejandra_betancur_emprestur_com/Documents/Aplicaciones/Microsoft%20Forms/INFORMACI%C3%93N%20NOVEDAD%20_%20ACCIDENTES%2026042022%20(2)/SOPORTES%20PARA%20ANEXAR/WhatsApp%20Image%202025-09-10%20at%206.36.14%20AM%20(1)_anonymous.jpeg; https://emprestur-my.sharepoint.com/personal/alejandra_betancur_emprestur_com/Documents/Aplicaciones/Microsoft%20Forms/INFORMACI%C3%93N%20NOVEDAD%20_%20ACCIDENTES%2026042022%20(2)/SOPORTES%20PARA%20ANEXAR/WhatsApp%20Image%202025-09-10%20at%206.36.14%20AM_anonymous.jpeg</t>
  </si>
  <si>
    <t>16:30</t>
  </si>
  <si>
    <t>FWL212</t>
  </si>
  <si>
    <t>SDT. 103128</t>
  </si>
  <si>
    <t>EMANUEL YESID CORREA QUINTERO</t>
  </si>
  <si>
    <t>1036963501</t>
  </si>
  <si>
    <t>3225207591</t>
  </si>
  <si>
    <t>"Venía con los funcionarios por la autopista Medellín - Bogotá desde Rionegro y antes de llegar a Guarne en el PR 25, hay un paso peatonal y yo disminuí velocidad pero cuando menos pensé sentí un golpe fuerte atrás y era un bus que me había dado"</t>
  </si>
  <si>
    <t xml:space="preserve">Se hace acompañamiento vía telefónica validando el estado de salud del conductor y los acompañantes donde confirman que no les pasó nada, sólo el conductor manifiesta un leve dolor en el cuello que más tarde le pasó y se dieron indicaciones para que se comunique con la aseguradora </t>
  </si>
  <si>
    <t>https://emprestur-my.sharepoint.com/personal/alejandra_betancur_emprestur_com/Documents/Aplicaciones/Microsoft%20Forms/INFORMACI%C3%93N%20NOVEDAD%20_%20ACCIDENTES%2026042022%20(2)/SOPORTES%20PARA%20ANEXAR/WhatsApp%20Image%202025-09-09%20at%2016.41.22_anonymous.jpeg; https://emprestur-my.sharepoint.com/personal/alejandra_betancur_emprestur_com/Documents/Aplicaciones/Microsoft%20Forms/INFORMACI%C3%93N%20NOVEDAD%20_%20ACCIDENTES%2026042022%20(2)/SOPORTES%20PARA%20ANEXAR/WhatsApp%20Video%202025-09-09%20at%2016.43.23_anonymous.mp4</t>
  </si>
  <si>
    <t>7:45 p.m.</t>
  </si>
  <si>
    <t>NLW529</t>
  </si>
  <si>
    <t>OVIDIO DE JESUS VARGAS BAENA</t>
  </si>
  <si>
    <t>71677396</t>
  </si>
  <si>
    <t>3117188011</t>
  </si>
  <si>
    <t>Fernando de Jesús Hincapié</t>
  </si>
  <si>
    <t>No tiene número</t>
  </si>
  <si>
    <t>El dia11 de septiembre de2025, siendo aprox.las7:45pm.me dirigía, junto con un equipo psico social en sentido oriente ,occidente tomando el puente que cruza la Av.80.
Mientras ascendíamos por el carril izquierdo, se presentó una colisión  en el carril derecho  entre 2 motos, una biwis de placaVKG86D.y pulsar de placa SIO82G.  Está al frenar de repente por un cuarto VH fue impactada por la  biwis, que a su vez al caer ,hacia la izquierda alcanza a impactar al vehiculo NLW559 en la puerta delantera derecha. El conductor de la moto biwis presento un golpe en rodilla derecha, por tal motivo se procede a llamar asistencia. el conductor de la moto biwis en negativa de ser atendido, se pacta por medio de documento ,eximir a la empresa de alguna responsabilidad. En análisis: La imprudencia de ambos conductores (motos). Por no guardar distancia ,pierden capacidad en maniobrar y evitar Daños materiales a propiedad ajena.</t>
  </si>
  <si>
    <t xml:space="preserve">Jonathan asistió el evento por celular y adicional hizo firmar </t>
  </si>
  <si>
    <t>https://emprestur-my.sharepoint.com/personal/alejandra_betancur_emprestur_com/Documents/Aplicaciones/Microsoft%20Forms/INFORMACI%C3%93N%20NOVEDAD%20_%20ACCIDENTES%2026042022%20(2)/SOPORTES%20PARA%20ANEXAR/REGISTRO%20FOTOGR%C3%81FICO%20NLW559_anonymous.pdf</t>
  </si>
  <si>
    <t>JULIAN DAVID VALENCIA BALLESTEROS</t>
  </si>
  <si>
    <t>08:38 AM</t>
  </si>
  <si>
    <t>GTU760</t>
  </si>
  <si>
    <t>TR2516891</t>
  </si>
  <si>
    <t>GILBERTO VARGAS</t>
  </si>
  <si>
    <t>10231695</t>
  </si>
  <si>
    <t>3054487899</t>
  </si>
  <si>
    <t>JOHN JAIRO PIEDRAHITA HURTADO y telefono  3137195143</t>
  </si>
  <si>
    <t>Descripción del incidente:
El conductor se encontraba realizando maniobra en reversa con el fin de parquear el vehículo y proceder con la carga de material. Durante dicha maniobra, el conductor manifiesta que no observó un vehículo que se encontraba estacionado en el área, percatándose de su presencia únicamente en el momento en que se produjo el golpe.
Daños:
Se registraron daños en el vehículo parqueado. Posteriormente, el conductor conversó directamente con el funcionario propietario del vehículo afectado, llegando a un acuerdo de reparación por un valor de $1.000.000 COP.</t>
  </si>
  <si>
    <t>Se estableció comunicación entre las partes involucradas.
Se pactó el valor de la compensación de manera directa.</t>
  </si>
  <si>
    <t>https://emprestur-my.sharepoint.com/personal/alejandra_betancur_emprestur_com/Documents/Aplicaciones/Microsoft%20Forms/INFORMACI%C3%93N%20NOVEDAD%20_%20ACCIDENTES%2026042022%20(2)/SOPORTES%20PARA%20ANEXAR/IMG-20250918-WA0011_anonymous.jpg; https://emprestur-my.sharepoint.com/personal/alejandra_betancur_emprestur_com/Documents/Aplicaciones/Microsoft%20Forms/INFORMACI%C3%93N%20NOVEDAD%20_%20ACCIDENTES%2026042022%20(2)/SOPORTES%20PARA%20ANEXAR/IMG-20250918-WA0012_anonymous.jpg; https://emprestur-my.sharepoint.com/personal/alejandra_betancur_emprestur_com/Documents/Aplicaciones/Microsoft%20Forms/INFORMACI%C3%93N%20NOVEDAD%20_%20ACCIDENTES%2026042022%20(2)/SOPORTES%20PARA%20ANEXAR/IMG-20250918-WA0013_anonymous.jpg; https://emprestur-my.sharepoint.com/personal/alejandra_betancur_emprestur_com/Documents/Aplicaciones/Microsoft%20Forms/INFORMACI%C3%93N%20NOVEDAD%20_%20ACCIDENTES%2026042022%20(2)/SOPORTES%20PARA%20ANEXAR/IMG-20250918-WA0014_anonymous.jpg; https://emprestur-my.sharepoint.com/personal/alejandra_betancur_emprestur_com/Documents/Aplicaciones/Microsoft%20Forms/INFORMACI%C3%93N%20NOVEDAD%20_%20ACCIDENTES%2026042022%20(2)/SOPORTES%20PARA%20ANEXAR/IMG-20250918-WA0009_anonymous.jpg; https://emprestur-my.sharepoint.com/personal/alejandra_betancur_emprestur_com/Documents/Aplicaciones/Microsoft%20Forms/INFORMACI%C3%93N%20NOVEDAD%20_%20ACCIDENTES%2026042022%20(2)/SOPORTES%20PARA%20ANEXAR/IMG-20250918-WA0010_anonymous.jpg</t>
  </si>
  <si>
    <t>6:30</t>
  </si>
  <si>
    <t>SNX276</t>
  </si>
  <si>
    <t>SDT. 114927</t>
  </si>
  <si>
    <t>SEBASTIAN CUERVO GEORGE</t>
  </si>
  <si>
    <t>1041204179</t>
  </si>
  <si>
    <t>3122611347</t>
  </si>
  <si>
    <t>"Venía de Yarumal sólo y recoger un funcionario en Bello para regresar, pero 3 kilómetros después de Don Matías de un momento a otro perdí el control de la camioneta y al evitar que se saliera de la vía y rodara por la manga se fue contra el barranco y volqué de lado. No me pasó nada y salí del vehículo para hacer el reporte y al revisar el piso que estaba mojado por la lluvia, identifiqué que había mucho reguero de combustible lo q probablemente fue la causa de la pérdida del control del vehículo"</t>
  </si>
  <si>
    <t>Se da la instrucción de llamar a la aseguradora, después de haber sido atendido por la concesión de la vía y policía de carreteras quienes le facilitaron la grúa para traerlo hasta el parque de las aguas en Barbosa donde lo recogía la grúa de la aseguradora quien dejó el vehículo en custodia</t>
  </si>
  <si>
    <t>https://emprestur-my.sharepoint.com/personal/alejandra_betancur_emprestur_com/Documents/Aplicaciones/Microsoft%20Forms/INFORMACI%C3%93N%20NOVEDAD%20_%20ACCIDENTES%2026042022%20(2)/SOPORTES%20PARA%20ANEXAR/WhatsApp%20Image%202025-09-18%20at%2008.02.49_anonymous.jpeg; https://emprestur-my.sharepoint.com/personal/alejandra_betancur_emprestur_com/Documents/Aplicaciones/Microsoft%20Forms/INFORMACI%C3%93N%20NOVEDAD%20_%20ACCIDENTES%2026042022%20(2)/SOPORTES%20PARA%20ANEXAR/6e75ba91-4097-4bbc-89c3-ccadfad8000d_anonymous.jpg; https://emprestur-my.sharepoint.com/personal/alejandra_betancur_emprestur_com/Documents/Aplicaciones/Microsoft%20Forms/INFORMACI%C3%93N%20NOVEDAD%20_%20ACCIDENTES%2026042022%20(2)/SOPORTES%20PARA%20ANEXAR/WhatsApp%20Image%202025-09-18%20at%2008.03.02_anonymous.jpeg; https://emprestur-my.sharepoint.com/personal/alejandra_betancur_emprestur_com/Documents/Aplicaciones/Microsoft%20Forms/INFORMACI%C3%93N%20NOVEDAD%20_%20ACCIDENTES%2026042022%20(2)/SOPORTES%20PARA%20ANEXAR/WhatsApp%20Image%202025-09-18%20at%2008.03.03_anonymous.jpeg; https://emprestur-my.sharepoint.com/personal/alejandra_betancur_emprestur_com/Documents/Aplicaciones/Microsoft%20Forms/INFORMACI%C3%93N%20NOVEDAD%20_%20ACCIDENTES%2026042022%20(2)/SOPORTES%20PARA%20ANEXAR/WhatsApp%20Image%202025-09-18%20at%2008.03.03%20(1)_anonymous.jpeg; https://emprestur-my.sharepoint.com/personal/alejandra_betancur_emprestur_com/Documents/Aplicaciones/Microsoft%20Forms/INFORMACI%C3%93N%20NOVEDAD%20_%20ACCIDENTES%2026042022%20(2)/SOPORTES%20PARA%20ANEXAR/WhatsApp%20Image%202025-09-18%20at%2008.09.28_anonymous.jpeg; https://emprestur-my.sharepoint.com/personal/alejandra_betancur_emprestur_com/Documents/Aplicaciones/Microsoft%20Forms/INFORMACI%C3%93N%20NOVEDAD%20_%20ACCIDENTES%2026042022%20(2)/SOPORTES%20PARA%20ANEXAR/WhatsApp%20Image%202025-09-18%20at%2008.09.27_anonymous.jpeg</t>
  </si>
  <si>
    <t>9:25</t>
  </si>
  <si>
    <t>WNP927</t>
  </si>
  <si>
    <t>SDT. 112071</t>
  </si>
  <si>
    <t>DAVID ALEXANDER GOMEZ GALVIS</t>
  </si>
  <si>
    <t>98495157</t>
  </si>
  <si>
    <t>3122726717</t>
  </si>
  <si>
    <t>"Iba camino a La Sierra sin funcionarios para regresarme desde allá mañana por la programación que me habían dado y después de Cisneros en el PR 13-6206 en una curva la camioneta sacó la cola y se me fue al barranco la vía estaba muy mojada pero no pude frenar bien. No me pasó nada"</t>
  </si>
  <si>
    <t xml:space="preserve">Se da la instrucción de reportar a la policía de carreteras quienes llegan con la ambulancia y la grúa de la concesión para llevar el vehículo hasta Cisneros y lo pueda recoger la otra grúa que lo traiga a Medellín </t>
  </si>
  <si>
    <t>https://emprestur-my.sharepoint.com/personal/alejandra_betancur_emprestur_com/Documents/Aplicaciones/Microsoft%20Forms/INFORMACI%C3%93N%20NOVEDAD%20_%20ACCIDENTES%2026042022%20(2)/SOPORTES%20PARA%20ANEXAR/WhatsApp%20Image%202025-09-18%20at%2013.56.52_anonymous.jpeg; https://emprestur-my.sharepoint.com/personal/alejandra_betancur_emprestur_com/Documents/Aplicaciones/Microsoft%20Forms/INFORMACI%C3%93N%20NOVEDAD%20_%20ACCIDENTES%2026042022%20(2)/SOPORTES%20PARA%20ANEXAR/WhatsApp%20Image%202025-09-18%20at%2013.56.54_anonymous.jpeg; https://emprestur-my.sharepoint.com/personal/alejandra_betancur_emprestur_com/Documents/Aplicaciones/Microsoft%20Forms/INFORMACI%C3%93N%20NOVEDAD%20_%20ACCIDENTES%2026042022%20(2)/SOPORTES%20PARA%20ANEXAR/WhatsApp%20Image%202025-09-18%20at%2013.56.56_anonymous.jpeg; https://emprestur-my.sharepoint.com/personal/alejandra_betancur_emprestur_com/Documents/Aplicaciones/Microsoft%20Forms/INFORMACI%C3%93N%20NOVEDAD%20_%20ACCIDENTES%2026042022%20(2)/SOPORTES%20PARA%20ANEXAR/WhatsApp%20Image%202025-09-18%20at%2013.56.56%20(1)_anonymous.jpeg; https://emprestur-my.sharepoint.com/personal/alejandra_betancur_emprestur_com/Documents/Aplicaciones/Microsoft%20Forms/INFORMACI%C3%93N%20NOVEDAD%20_%20ACCIDENTES%2026042022%20(2)/SOPORTES%20PARA%20ANEXAR/WhatsApp%20Image%202025-09-18%20at%2013.56.57_anonymous.jpeg</t>
  </si>
  <si>
    <t>18:56 p.m.</t>
  </si>
  <si>
    <t>FLOTA PROPIA SNU647</t>
  </si>
  <si>
    <t>JARDIN BOTÁNICO</t>
  </si>
  <si>
    <t xml:space="preserve">No cuenta con datos </t>
  </si>
  <si>
    <t>Me permito informar que el día 22 de Septiembre a las 5:57 p.m., el conductor C.C. 1007567428 Yeison Acevedo Arias, se encontraba desplazándose para su lugar de residencia en Bello, cuando se encontraba en la Carrera 52 con calle 55 en Bello, iba atravesando la calle y había un señor de una moto montándose en un andén en contravía para devolverse, más sin embargo tenía una parte de la moto sobre la vía a lo que el conductor se dispuso a pitarle y esquivar la moto para continuar el trayecto, en el semáforo el señor de la moto se le hizo al costado del copiloto y empezó a golpear las ventanas, y lo estaba insultando, el conductor bajó un poco la ventana para hablar con el señor e intentar mediar con él, sin embargo el señor siguió golpeando y metiendo el brazo para intentar golpearlo, cuando cambió el semáforo el conductor avanzó un poco colocó estacionarias y el señor recogió la moto y la colocó detrás del vehículo y continuó golpeando el carro, el conductor indica que colocó el freno de emergencia y que esta no se activó sino que el carro se rodó e hizo caer la moto, y con esta situación el señor terminó de ofuscarse y le siguió golpeando el carro tumbó el retrovisor del conductor, el hundió el capó, le dañó una direccional de guardabarros.
El conductor en todo este tiempo intentó comunicarse con el cuadrante más sin embargo no hicieron presencia en el sitio, y el conductor se quedó esperando, y el conductor llamó a una persona conocida como los de la vuelta para que lo pudiera respaldar, el hizo presencia en el sitio para mediar la situación y calmar al conductor de la moto, le indicaron que el conductor tenia que responder por los daños de la moto, y que él señor de la moto tenía que responder por los daños del vehículo, pero que tenía que ser cotizado los daños del vehículo en un taller de Bello, pero el conductor  les indicó que el vehículo es de una empresa y es donde la empresa indique que debe realizarse el arreglo.</t>
  </si>
  <si>
    <t>Se toma la versión inicial, y se le indica llegar al parqueadero a traer el vehículo.</t>
  </si>
  <si>
    <t>https://emprestur-my.sharepoint.com/personal/alejandra_betancur_emprestur_com/Documents/Aplicaciones/Microsoft%20Forms/INFORMACI%C3%93N%20NOVEDAD%20_%20ACCIDENTES%2026042022%20(2)/SOPORTES%20PARA%20ANEXAR/REPORTE%20GPS%20SNU647_anonymous.pdf</t>
  </si>
  <si>
    <t>13:20</t>
  </si>
  <si>
    <t>LKP040</t>
  </si>
  <si>
    <t>SDT. 115657</t>
  </si>
  <si>
    <t>LUIS FERNANDO GAVIRIA ESPINOSA</t>
  </si>
  <si>
    <t>15321769</t>
  </si>
  <si>
    <t>3017500902</t>
  </si>
  <si>
    <t>"tuve una colisión con otro vehículo, pero gracias a Dios solo fueron latas y el carro está trabajando normal, ya reportamos el incidente a la aseguradora. Esto fue en la Vereda El Machete entre la 1 y 1:30 pm subiendo hacia Guadalupe III, en una curva habían unas piedras, yo me abrí a la izquierda y en este momento bajaba un vehículo con el cual tuve la colisión."</t>
  </si>
  <si>
    <t>Se hace reporte extemporáneo ya que el conductor no reportó el incidente y por esto tampoco hubo acciones o se dieron indicaciones en el momento de lo sucedido</t>
  </si>
  <si>
    <t>https://emprestur-my.sharepoint.com/personal/alejandra_betancur_emprestur_com/Documents/Aplicaciones/Microsoft%20Forms/INFORMACI%C3%93N%20NOVEDAD%20_%20ACCIDENTES%2026042022%20(2)/SOPORTES%20PARA%20ANEXAR/LKP040-FOTO_anonymous.jpg; https://emprestur-my.sharepoint.com/personal/alejandra_betancur_emprestur_com/Documents/Aplicaciones/Microsoft%20Forms/INFORMACI%C3%93N%20NOVEDAD%20_%20ACCIDENTES%2026042022%20(2)/SOPORTES%20PARA%20ANEXAR/LKP040-FOTO2_anonymous.jpg; https://emprestur-my.sharepoint.com/personal/alejandra_betancur_emprestur_com/Documents/Aplicaciones/Microsoft%20Forms/INFORMACI%C3%93N%20NOVEDAD%20_%20ACCIDENTES%2026042022%20(2)/SOPORTES%20PARA%20ANEXAR/LKP040-FOTO3_anonymous.jpg; https://emprestur-my.sharepoint.com/personal/alejandra_betancur_emprestur_com/Documents/Aplicaciones/Microsoft%20Forms/INFORMACI%C3%93N%20NOVEDAD%20_%20ACCIDENTES%2026042022%20(2)/SOPORTES%20PARA%20ANEXAR/WhatsApp%20Image%202025-09-23%20at%2009.02.22_anonymous.jpeg</t>
  </si>
  <si>
    <t>8:30</t>
  </si>
  <si>
    <t>LKK397</t>
  </si>
  <si>
    <t>SDT. 116460</t>
  </si>
  <si>
    <t>FABIO LEON RUIZ GARCIA</t>
  </si>
  <si>
    <t>71693884</t>
  </si>
  <si>
    <t>3054661267</t>
  </si>
  <si>
    <t>"Yo iba después de Don Diego, a una velocidad prudente, el funcionario es testigo y un vehículo que iba adelante fue frenando y yo también, cuando menos pensamos fue porque sentimos el golpe fuerte por detrás y era una camioncito que nos había chocado"</t>
  </si>
  <si>
    <t>Se valida con el conductor que a él ni al funcionario les haya pasado nada y manifiesta que siente un dolor abdominal pero el funcionario se encuentra bien informando que sólo el susto. Se dan indicaciones para llamar a la policía de carreteras para que lleguen con ambulancia y lo revisen al igual que a la aseguradora para que lo asistan jurídicamente y le envíen la grúa</t>
  </si>
  <si>
    <t>https://emprestur-my.sharepoint.com/personal/alejandra_betancur_emprestur_com/Documents/Aplicaciones/Microsoft%20Forms/INFORMACI%C3%93N%20NOVEDAD%20_%20ACCIDENTES%2026042022%20(2)/SOPORTES%20PARA%20ANEXAR/WhatsApp%20Video%202025-10-01%20at%2008.45.16_anonymous.mp4</t>
  </si>
  <si>
    <t>JORGE IVAN CORREA PEREZ</t>
  </si>
  <si>
    <t>05:31 HORAS</t>
  </si>
  <si>
    <t>NNN908</t>
  </si>
  <si>
    <t>TE GUIO S735133 - Recorrido hacia SOG con equipos y materiales</t>
  </si>
  <si>
    <t>JUAN GILBERTOJIMENEZ YALI</t>
  </si>
  <si>
    <t>1039686676</t>
  </si>
  <si>
    <t>320 8788706</t>
  </si>
  <si>
    <t xml:space="preserve">Cordial saludo,
El día de hoy alrededor de las 05:00, mientras se desplazaba desde Medellín hacia la Central Hidroeléctrica SOGAMOSO de ISAGEN, el conductor Juan Gilberto Jiménez Yalí en la Camioneta de placas NNN908 reporta el siguiente incidente vial:
Versión de Juan Gilberto Jiménez “Siendo las 5:00am de la fecha 07/10/2025 venía por el carril derecho y adelante del camión tipo carro tanque venía un particular, cuando freno el particular en la vía sin estacionarias el camión le tocó frenar y alcance a desquivarle al camión cuando lo ví encima y lo golpeó en la cola del camión,  con el retrovisor lado derecho y la cola de la camioneta, Pero el particular y el camión no pusieron estacionarias y el camión por no darle al particular le tocó pegarse del freno y lo golpeo, origen sur - norte 
Sector Girardota - llegando al peaje del trapiche, cerca de la bomba de PRIMAX, hago evidencia de las fotos y video y documentos del conductor del camión de placas TDT662”
Cabe anotar que la unidad de transporte iba sin pasajeros, sólo estaba realizando el traslado de unos materiales requeridos por el cliente para el mantenimiento mayor que se lleva a cabo en la Central SOG, no llevaba usuarios.  Dado que se presenta la pérdida del retrovisor derecho, la unidad de transporte no puede continuar su recorrido y se está gestionando su reemplazo.
</t>
  </si>
  <si>
    <t>Se reemplaza el vehículo y se le dan indicaciones al conductor de acordar con Jonathan Giraldo (Director de Flota) cómo será el movimiento del vehículo (grúa o medios propios)</t>
  </si>
  <si>
    <t>https://emprestur-my.sharepoint.com/personal/alejandra_betancur_emprestur_com/Documents/Aplicaciones/Microsoft%20Forms/INFORMACI%C3%93N%20NOVEDAD%20_%20ACCIDENTES%2026042022%20(2)/SOPORTES%20PARA%20ANEXAR/Imagen%2015%20-%20Incidente%20NNN908_anonymous.jpeg; https://emprestur-my.sharepoint.com/personal/alejandra_betancur_emprestur_com/Documents/Aplicaciones/Microsoft%20Forms/INFORMACI%C3%93N%20NOVEDAD%20_%20ACCIDENTES%2026042022%20(2)/SOPORTES%20PARA%20ANEXAR/Imagen%2014%20-%20Incidente%20NNN908_anonymous.jpeg; https://emprestur-my.sharepoint.com/personal/alejandra_betancur_emprestur_com/Documents/Aplicaciones/Microsoft%20Forms/INFORMACI%C3%93N%20NOVEDAD%20_%20ACCIDENTES%2026042022%20(2)/SOPORTES%20PARA%20ANEXAR/Imagen%2013%20-%20Incidente%20NNN908_anonymous.jpeg; https://emprestur-my.sharepoint.com/personal/alejandra_betancur_emprestur_com/Documents/Aplicaciones/Microsoft%20Forms/INFORMACI%C3%93N%20NOVEDAD%20_%20ACCIDENTES%2026042022%20(2)/SOPORTES%20PARA%20ANEXAR/Imagen%2012%20-%20Incidente%20NNN908_anonymous.jpeg; https://emprestur-my.sharepoint.com/personal/alejandra_betancur_emprestur_com/Documents/Aplicaciones/Microsoft%20Forms/INFORMACI%C3%93N%20NOVEDAD%20_%20ACCIDENTES%2026042022%20(2)/SOPORTES%20PARA%20ANEXAR/Imagen%2011%20-%20Incidente%20NNN908_anonymous.jpeg; https://emprestur-my.sharepoint.com/personal/alejandra_betancur_emprestur_com/Documents/Aplicaciones/Microsoft%20Forms/INFORMACI%C3%93N%20NOVEDAD%20_%20ACCIDENTES%2026042022%20(2)/SOPORTES%20PARA%20ANEXAR/Imagen%2010%20-%20Incidente%20NNN908_anonymous.jpeg; https://emprestur-my.sharepoint.com/personal/alejandra_betancur_emprestur_com/Documents/Aplicaciones/Microsoft%20Forms/INFORMACI%C3%93N%20NOVEDAD%20_%20ACCIDENTES%2026042022%20(2)/SOPORTES%20PARA%20ANEXAR/Imagen%209%20-%20Incidente%20NNN908_anonymous.jpeg; https://emprestur-my.sharepoint.com/personal/alejandra_betancur_emprestur_com/Documents/Aplicaciones/Microsoft%20Forms/INFORMACI%C3%93N%20NOVEDAD%20_%20ACCIDENTES%2026042022%20(2)/SOPORTES%20PARA%20ANEXAR/Imagen%208%20-%20Incidente%20NNN908_anonymous.jpeg; https://emprestur-my.sharepoint.com/personal/alejandra_betancur_emprestur_com/Documents/Aplicaciones/Microsoft%20Forms/INFORMACI%C3%93N%20NOVEDAD%20_%20ACCIDENTES%2026042022%20(2)/SOPORTES%20PARA%20ANEXAR/Imagen%207%20-%20Incidente%20NNN908_anonymous.jpeg</t>
  </si>
  <si>
    <t>07:00 AM</t>
  </si>
  <si>
    <t>JYN640</t>
  </si>
  <si>
    <t>COMFAMA</t>
  </si>
  <si>
    <t>10136418</t>
  </si>
  <si>
    <t>ANDREW MEJIA</t>
  </si>
  <si>
    <t>1128479183</t>
  </si>
  <si>
    <t>315 4959675</t>
  </si>
  <si>
    <t>YOHEMI QUINTANE</t>
  </si>
  <si>
    <t>3106653942</t>
  </si>
  <si>
    <t xml:space="preserve">accidente múltiple  </t>
  </si>
  <si>
    <t>preguntar si  había algún lesionado, como estaba el conductor y el funcionario y mandar su respectivo relevo</t>
  </si>
  <si>
    <t>https://emprestur-my.sharepoint.com/personal/alejandra_betancur_emprestur_com/Documents/Aplicaciones/Microsoft%20Forms/INFORMACI%C3%93N%20NOVEDAD%20_%20ACCIDENTES%2026042022%20(2)/SOPORTES%20PARA%20ANEXAR/WhatsApp%20Image%202025-10-07%20at%207.02.03%20AM_anonymous.jpeg; https://emprestur-my.sharepoint.com/personal/alejandra_betancur_emprestur_com/Documents/Aplicaciones/Microsoft%20Forms/INFORMACI%C3%93N%20NOVEDAD%20_%20ACCIDENTES%2026042022%20(2)/SOPORTES%20PARA%20ANEXAR/WhatsApp%20Image%202025-10-07%20at%207.02.04%20AM%20(1)_anonymous.jpeg; https://emprestur-my.sharepoint.com/personal/alejandra_betancur_emprestur_com/Documents/Aplicaciones/Microsoft%20Forms/INFORMACI%C3%93N%20NOVEDAD%20_%20ACCIDENTES%2026042022%20(2)/SOPORTES%20PARA%20ANEXAR/WhatsApp%20Image%202025-10-07%20at%207.02.04%20AM_anonymous.jpeg; https://emprestur-my.sharepoint.com/personal/alejandra_betancur_emprestur_com/Documents/Aplicaciones/Microsoft%20Forms/INFORMACI%C3%93N%20NOVEDAD%20_%20ACCIDENTES%2026042022%20(2)/SOPORTES%20PARA%20ANEXAR/WhatsApp%20Image%202025-10-07%20at%207.02.05%20AM_anonymous.jpeg; https://emprestur-my.sharepoint.com/personal/alejandra_betancur_emprestur_com/Documents/Aplicaciones/Microsoft%20Forms/INFORMACI%C3%93N%20NOVEDAD%20_%20ACCIDENTES%2026042022%20(2)/SOPORTES%20PARA%20ANEXAR/WhatsApp%20Image%202025-10-07%20at%207.02.06%20AM_anonymous.jpeg; https://emprestur-my.sharepoint.com/personal/alejandra_betancur_emprestur_com/Documents/Aplicaciones/Microsoft%20Forms/INFORMACI%C3%93N%20NOVEDAD%20_%20ACCIDENTES%2026042022%20(2)/SOPORTES%20PARA%20ANEXAR/WhatsApp%20Image%202025-10-07%20at%207.02.07%20AM_anonymous.jpeg</t>
  </si>
  <si>
    <t>05:30 PM</t>
  </si>
  <si>
    <t>NNN416</t>
  </si>
  <si>
    <t>TR2517468</t>
  </si>
  <si>
    <t>ANDRES FELIPE CADAVIC GOMEZ</t>
  </si>
  <si>
    <t>98694985</t>
  </si>
  <si>
    <t>3136428711</t>
  </si>
  <si>
    <t>JOSE LEONARDO ACEVEDO 3127151357</t>
  </si>
  <si>
    <t>BREINER VARGAS 3147452781</t>
  </si>
  <si>
    <t>El conductor se desplazaba desde el sector de Esmeralda hacia la ciudad de Manizales. Al llegar al sector de la Plaza de Toros, un vehículo que transitaba por el lado izquierdo se detuvo para dar vía a los peatones en la cebra. En consecuencia, el conductor redujo la velocidad, activó las luces estacionarias y también se detuvo para permitir el paso.
En ese momento, sintió un golpe en la parte trasera del vehículo. Al descender para verificar, observó que una motocicleta lo había impactado. Según manifestaciones de los testigos presentes, la motocicleta se desplazaba a una velocidad considerable.
El conductor de la motocicleta movió su vehículo del lugar, mientras que la camioneta permaneció en el sitio del siniestro. Posteriormente, las partes involucradas llegaron a un acuerdo voluntario para el pago de los daños ocasionados, específicamente del stop trasero.</t>
  </si>
  <si>
    <t xml:space="preserve">se reporta la novedad, </t>
  </si>
  <si>
    <t>https://emprestur-my.sharepoint.com/personal/alejandra_betancur_emprestur_com/Documents/Aplicaciones/Microsoft%20Forms/INFORMACI%C3%93N%20NOVEDAD%20_%20ACCIDENTES%2026042022%20(2)/SOPORTES%20PARA%20ANEXAR/Imagen%20de%20WhatsApp%202025-10-14%20a%20las%2009.45.55__anonymous.jpg; https://emprestur-my.sharepoint.com/personal/alejandra_betancur_emprestur_com/Documents/Aplicaciones/Microsoft%20Forms/INFORMACI%C3%93N%20NOVEDAD%20_%20ACCIDENTES%2026042022%20(2)/SOPORTES%20PARA%20ANEXAR/Imagen%20de%20WhatsApp%202025-10-14%20a%20las%2009.45.54__anonymous.jpg; https://emprestur-my.sharepoint.com/personal/alejandra_betancur_emprestur_com/Documents/Aplicaciones/Microsoft%20Forms/INFORMACI%C3%93N%20NOVEDAD%20_%20ACCIDENTES%2026042022%20(2)/SOPORTES%20PARA%20ANEXAR/Imagen%20de%20WhatsApp%202025-10-14%20a%20las%2009.45.54_%202_anonymous.jpg</t>
  </si>
  <si>
    <t>Lizzeth Arbelaez Soto</t>
  </si>
  <si>
    <t>5:40am</t>
  </si>
  <si>
    <t>LKM032</t>
  </si>
  <si>
    <t>Isagen</t>
  </si>
  <si>
    <t>S735545</t>
  </si>
  <si>
    <t>JUAN GUILLERMO CHAVARRIA CORREA</t>
  </si>
  <si>
    <t>1037545635</t>
  </si>
  <si>
    <t>3122807581</t>
  </si>
  <si>
    <t>Siendo las 6:00
Me llama el conductor Juan Guillermo del vehículo LKM032
Me informa que yendo para el municipio de Santa Rosa de osos a la altura de Don Matías, un caballo le sale a la vía generando un impacto 
Tanto el conductor como el funcionario están bien no les pasó nada, respecto al vehículo están esperando que lleguen las autoridades de tránsito y la grúa ya que quedó inoperable</t>
  </si>
  <si>
    <t>https://emprestur-my.sharepoint.com/personal/alejandra_betancur_emprestur_com/Documents/Aplicaciones/Microsoft%20Forms/INFORMACI%C3%93N%20NOVEDAD%20_%20ACCIDENTES%2026042022%20(2)/SOPORTES%20PARA%20ANEXAR/WhatsApp%20Image%202025-10-14%20at%207.33.21%20AM_anonymous.jpeg</t>
  </si>
  <si>
    <t>GUSTAVO ALONSO ZAPATA MUÑOZ</t>
  </si>
  <si>
    <t>05:43AM</t>
  </si>
  <si>
    <t>ALEJANDRO OSORNO LOPERA</t>
  </si>
  <si>
    <t>3226015487</t>
  </si>
  <si>
    <t xml:space="preserve">Inicio servicio para el cliente ISAGEN. Saliendo del edificio 04:30am de Medellín. Pasando por el municipio de Don Matías, a la altura del Hotel-Restaurante El Talibán, a las 05:41am. De repente sale un caballo en la vía e impacta el vehículo sin tener espacio de reaccionar para evitar la colisión. Me bajo y aseguro la zona del incidente, tomo evidencias fílmicas y procedo a informar la novedad al Director de Flota, Coordinadora de Transporte del contrato ISAGEN, Coordinadora Administrativa y Coordinador de Flota. Se realiza el procedimiento con las autoridades de policía de carreteras del municipio, al igual que con la aseguradora de la compañía; solicitando asistencia de grúa en el sitio y acompañamiento del incidente. El propietario del caballo se presenta y comenta que se encontraba ordeñando unas vacas en el potrero cuando el equino se asusta y sale corriendo hacia la vía sin control impactando el vehículo. La ruta no tiene señalización de cruce de ganado o de animales en la vía, los bordes de carretera tienen maleza alta que dificulta la visibilidad hacia el interior. La concesión de la vía asiste al sitio, apoya el siniestro y el propietario queda encargado de retirar el cuerpo del caballo en un vehículo contratado conocido. La grúa llega a recoger la camioneta hacia taller Ayurá en Envigado. </t>
  </si>
  <si>
    <t>Acompañamiento y soporte telefónico.</t>
  </si>
  <si>
    <t>https://emprestur-my.sharepoint.com/personal/alejandra_betancur_emprestur_com/Documents/Aplicaciones/Microsoft%20Forms/INFORMACI%C3%93N%20NOVEDAD%20_%20ACCIDENTES%2026042022%20(2)/SOPORTES%20PARA%20ANEXAR/Novedad%20LKM032_anonymous.pdf</t>
  </si>
  <si>
    <t>JHON HAWER MURCIA</t>
  </si>
  <si>
    <t>9:32 AM</t>
  </si>
  <si>
    <t>KTN382</t>
  </si>
  <si>
    <t>FUNDACION</t>
  </si>
  <si>
    <t>SE020842</t>
  </si>
  <si>
    <t>LEONARDO VILLEGAS</t>
  </si>
  <si>
    <t>96186728</t>
  </si>
  <si>
    <t>3102019074</t>
  </si>
  <si>
    <t>Cristian Morales - 3102019074</t>
  </si>
  <si>
    <t>EL VEHICULO  PASA POR LA  DERECHA  Y GOLPEA EL VEHICULO EN LA PARTE DELANTERA</t>
  </si>
  <si>
    <t>INDICARLE  AL CONDUCTOR QUE CONCILIARA CON EL  CONDUCTOR DEL OTRO VEHICULO POR LO QUE FUE SOLO LATAS</t>
  </si>
  <si>
    <t>https://emprestur-my.sharepoint.com/personal/alejandra_betancur_emprestur_com/Documents/Aplicaciones/Microsoft%20Forms/INFORMACI%C3%93N%20NOVEDAD%20_%20ACCIDENTES%2026042022%20(2)/SOPORTES%20PARA%20ANEXAR/WhatsApp%20Image%202025-10-15%20at%209.32.35%20AM%20(1)_anonymous.jpeg; https://emprestur-my.sharepoint.com/personal/alejandra_betancur_emprestur_com/Documents/Aplicaciones/Microsoft%20Forms/INFORMACI%C3%93N%20NOVEDAD%20_%20ACCIDENTES%2026042022%20(2)/SOPORTES%20PARA%20ANEXAR/WhatsApp%20Image%202025-10-15%20at%209.32.35%20AM_anonymous.jpeg; https://emprestur-my.sharepoint.com/personal/alejandra_betancur_emprestur_com/Documents/Aplicaciones/Microsoft%20Forms/INFORMACI%C3%93N%20NOVEDAD%20_%20ACCIDENTES%2026042022%20(2)/SOPORTES%20PARA%20ANEXAR/WhatsApp%20Image%202025-10-15%20at%209.32.36%20AM%20(1)_anonymous.jpeg; https://emprestur-my.sharepoint.com/personal/alejandra_betancur_emprestur_com/Documents/Aplicaciones/Microsoft%20Forms/INFORMACI%C3%93N%20NOVEDAD%20_%20ACCIDENTES%2026042022%20(2)/SOPORTES%20PARA%20ANEXAR/WhatsApp%20Image%202025-10-15%20at%209.32.36%20AM%20(2)_anonymous.jpeg; https://emprestur-my.sharepoint.com/personal/alejandra_betancur_emprestur_com/Documents/Aplicaciones/Microsoft%20Forms/INFORMACI%C3%93N%20NOVEDAD%20_%20ACCIDENTES%2026042022%20(2)/SOPORTES%20PARA%20ANEXAR/WhatsApp%20Image%202025-10-15%20at%209.32.36%20AM_anonymous.jpeg</t>
  </si>
  <si>
    <t>DIANA PATRICIA ALVAREZ PEREZ</t>
  </si>
  <si>
    <t>12:42</t>
  </si>
  <si>
    <t>LKK246</t>
  </si>
  <si>
    <t>IVAN GARZON</t>
  </si>
  <si>
    <t>70162911</t>
  </si>
  <si>
    <t xml:space="preserve"> 321 2584220</t>
  </si>
  <si>
    <t>MARINA - 3136776060</t>
  </si>
  <si>
    <t xml:space="preserve">El conductor informa que no se dio cuenta que el perro estaba cerca, el salía en el vehículo hacia la central calderas cuando escuchó el chillido, ´pero no sabe donde estaba situado el perro. 
el conductor se hace presente en el sitio nuevamente después de terminar el recorrido con los usuarios y la señora le dice que se puede retirar que no hay inconveniente, que cualquier cosa le avisa. </t>
  </si>
  <si>
    <t xml:space="preserve">Me comuniqué con la dueña el perro, la señora Marina de alcatraz, ella me indica que fue un incidente sin culpa, que el conductor no vio al perro, le indicó a la señora si lo llevamos al veterinario y me dice que no, que el veterinario le mando unas gotas y que a las 4p, ira a verlo, estaremos atentos a la evolución. </t>
  </si>
  <si>
    <t>Alexander López Orozco</t>
  </si>
  <si>
    <t>13:07</t>
  </si>
  <si>
    <t>TTR852</t>
  </si>
  <si>
    <t>SUN COLOMBIA</t>
  </si>
  <si>
    <t>ALEXANDER PEÑA RESTREPO</t>
  </si>
  <si>
    <t>9923838</t>
  </si>
  <si>
    <t>3172825740</t>
  </si>
  <si>
    <t>Me permito informar un incidente ocurrido el día de hoy con el vehículo de placas TTR852, el cual se encuentra prestando servicios para el cliente Sun Colombia.
Durante el desplazamiento hacia la vereda Alto de la Cruz en Villamaría, Caldas, el vehículo presentó un inconveniente debido a la topografía del terreno, registrando únicamente un daño en el bomper delantero.
El conductor y el personal que lo acompañaban no presentaron ningún tipo de afectación o incidente personal. Se realizó la retroalimentación al conductor, recordándole que, en futuras ocasiones, debe verificar previamente si el acceso y las vías se encuentran en condiciones adecuadas para el tránsito normal del vehículo.</t>
  </si>
  <si>
    <t>No se presentaron lesiones al personal transportado, únicamente se registró un daño en el bomper delantero del vehículo.
Se realiza retroalimentación al conductor, indicándole que, para futuras ocasiones, debe revisar o indagar previamente si las vías cuentan con un acceso adecuado y en condiciones apropiadas para poder transitar.</t>
  </si>
  <si>
    <t>https://emprestur-my.sharepoint.com/personal/alejandra_betancur_emprestur_com/Documents/Aplicaciones/Microsoft%20Forms/INFORMACI%C3%93N%20NOVEDAD%20_%20ACCIDENTES%2026042022%20(2)/SOPORTES%20PARA%20ANEXAR/WhatsApp%20Image%202025-10-23%20at%201.39.35%20PM%20(1)_anonymous.jpeg; https://emprestur-my.sharepoint.com/personal/alejandra_betancur_emprestur_com/Documents/Aplicaciones/Microsoft%20Forms/INFORMACI%C3%93N%20NOVEDAD%20_%20ACCIDENTES%2026042022%20(2)/SOPORTES%20PARA%20ANEXAR/WhatsApp%20Image%202025-10-23%20at%201.39.35%20PM_anonymous.jpeg; https://emprestur-my.sharepoint.com/personal/alejandra_betancur_emprestur_com/Documents/Aplicaciones/Microsoft%20Forms/INFORMACI%C3%93N%20NOVEDAD%20_%20ACCIDENTES%2026042022%20(2)/SOPORTES%20PARA%20ANEXAR/WhatsApp%20Image%202025-10-23%20at%201.12.02%20PM_anonymous.jpeg; https://emprestur-my.sharepoint.com/personal/alejandra_betancur_emprestur_com/Documents/Aplicaciones/Microsoft%20Forms/INFORMACI%C3%93N%20NOVEDAD%20_%20ACCIDENTES%2026042022%20(2)/SOPORTES%20PARA%20ANEXAR/WhatsApp%20Image%202025-10-23%20at%201.12.03%20PM_anonymous.jpeg; https://emprestur-my.sharepoint.com/personal/alejandra_betancur_emprestur_com/Documents/Aplicaciones/Microsoft%20Forms/INFORMACI%C3%93N%20NOVEDAD%20_%20ACCIDENTES%2026042022%20(2)/SOPORTES%20PARA%20ANEXAR/WhatsApp%20Image%202025-10-23%20at%201.12.04%20PM%20(1)_anonymous.jpeg; https://emprestur-my.sharepoint.com/personal/alejandra_betancur_emprestur_com/Documents/Aplicaciones/Microsoft%20Forms/INFORMACI%C3%93N%20NOVEDAD%20_%20ACCIDENTES%2026042022%20(2)/SOPORTES%20PARA%20ANEXAR/WhatsApp%20Image%202025-10-23%20at%201.12.04%20PM_anonymous.jpeg; https://emprestur-my.sharepoint.com/personal/alejandra_betancur_emprestur_com/Documents/Aplicaciones/Microsoft%20Forms/INFORMACI%C3%93N%20NOVEDAD%20_%20ACCIDENTES%2026042022%20(2)/SOPORTES%20PARA%20ANEXAR/GPS%20TTR852%2023-10-2025_anonymous.jpg</t>
  </si>
  <si>
    <t xml:space="preserve">12:00 </t>
  </si>
  <si>
    <t>FVY742</t>
  </si>
  <si>
    <t xml:space="preserve">CAH </t>
  </si>
  <si>
    <t>1238</t>
  </si>
  <si>
    <t xml:space="preserve">	HERNANDEZ MIRANDA CARLOS ALBERTO</t>
  </si>
  <si>
    <t>1042090113</t>
  </si>
  <si>
    <t>3218549625</t>
  </si>
  <si>
    <t xml:space="preserve">El propietario del vehículo me manifiesta que el conductor tuvo un microsueño ocasionado el accidente </t>
  </si>
  <si>
    <t>Me comunique inmediatamente con SST</t>
  </si>
  <si>
    <t>15:10 HORAS</t>
  </si>
  <si>
    <t>JYO995</t>
  </si>
  <si>
    <t>1</t>
  </si>
  <si>
    <t>HENAO ROJAS OSCAR JAVIER</t>
  </si>
  <si>
    <t>1128624260</t>
  </si>
  <si>
    <t>3146389269</t>
  </si>
  <si>
    <t>NO HUBO LESIONADOS. ESTABAN EN EL VEHIUCLO LOS USUARIOS ISAGEN CLARA PEREZ cel 3104562182 Y DIANA CAMPOS cel 3158160214</t>
  </si>
  <si>
    <t>EL PROPIETARIO DEL MOTO CARGUERO NO QUISO DAR DATOS Y SE RETIRO DEL SITIO YA QUE NO HABIA AFECTACION EN SU VEHÍCULO</t>
  </si>
  <si>
    <t xml:space="preserve">El conductor reporta que siendo las 15:05 horas aproximadamente del dia 31 de octubre cuando se desplazaba en el Municipio de la Dorada sector conocido como Punto los Andes estaba llegando a encontrarse con el Masivo de Miel a Medellín para entregar a las usuarias Diana Campos y Clara Pérez de ISAGEN, llegando al sitio baja la velocidad ya que hay un reductor de velocidad para posteriormente ingresar a la bahía donde dejaría a las usuarias, delante del vehículo va un moto carguero con dos personas a bordo. Después del reductor de velocidad el conductor Oscar se dispone a realizar maniobra para orillarse a mano derecha para ingresar a la bahía donde se estaciona el masivo, se cerciora que no viniera vehículo (motocicleta) por su lado derecho y en ese instante de manera repentina el moto carguero frena generando que el conductor Oscar lo golpee con la parte delantera izquierda de la camioneta a la parte trasera derecha del moto carguero, el conductor del moto carguero manifiesta que freno repentinamente a causa de evitar caer en un hueco de la vía. 
Luego de verificar que las usuarias no estuvieran lesionadas, desciende del vehículo para verificar como estaban las personas del moto carguero pero manifestaron no haber sufrido tampoco ningún golpe. Las usuarias se desplazaron para abordar el bus del Masivo NNN253 el cual en ese momento también llego al punto. Luego de ayudarles con las maletas se dispuso a hablar con el propietario del moto carguero el cual reviso su vehículo y manifestó que como no le había pasado nada a su vehículo no se podía quedar allí porque no podía perder un compromiso que tenia de llevar unas cosas y procedió a retirarse del sitio sin permitir tomarle datos. </t>
  </si>
  <si>
    <t>LLamé a Daniela SST emprestur, a Jorge Correa Coordinador Líder, y Gustavo jefe de flota propia</t>
  </si>
  <si>
    <t>https://emprestur-my.sharepoint.com/personal/alejandra_betancur_emprestur_com/Documents/Aplicaciones/Microsoft%20Forms/INFORMACI%C3%93N%20NOVEDAD%20_%20ACCIDENTES%2026042022%20(2)/SOPORTES%20PARA%20ANEXAR/WhatsApp%20Image%202025-10-31%20at%203.45.58%20PM_anonymous.jpeg; https://emprestur-my.sharepoint.com/personal/alejandra_betancur_emprestur_com/Documents/Aplicaciones/Microsoft%20Forms/INFORMACI%C3%93N%20NOVEDAD%20_%20ACCIDENTES%2026042022%20(2)/SOPORTES%20PARA%20ANEXAR/WhatsApp%20Image%202025-10-31%20at%203.45.57%20PM_anonymous.jpeg; https://emprestur-my.sharepoint.com/personal/alejandra_betancur_emprestur_com/Documents/Aplicaciones/Microsoft%20Forms/INFORMACI%C3%93N%20NOVEDAD%20_%20ACCIDENTES%2026042022%20(2)/SOPORTES%20PARA%20ANEXAR/WhatsApp%20Image%202025-10-31%20at%203.45.56%20PM%20(1)_anonymous.jpeg; https://emprestur-my.sharepoint.com/personal/alejandra_betancur_emprestur_com/Documents/Aplicaciones/Microsoft%20Forms/INFORMACI%C3%93N%20NOVEDAD%20_%20ACCIDENTES%2026042022%20(2)/SOPORTES%20PARA%20ANEXAR/WhatsApp%20Image%202025-10-31%20at%203.45.56%20PM_anonymous.jpeg; https://emprestur-my.sharepoint.com/personal/alejandra_betancur_emprestur_com/Documents/Aplicaciones/Microsoft%20Forms/INFORMACI%C3%93N%20NOVEDAD%20_%20ACCIDENTES%2026042022%20(2)/SOPORTES%20PARA%20ANEXAR/WhatsApp%20Image%202025-10-31%20at%203.45.55%20PM_anonymous.jpeg; https://emprestur-my.sharepoint.com/personal/alejandra_betancur_emprestur_com/Documents/Aplicaciones/Microsoft%20Forms/INFORMACI%C3%93N%20NOVEDAD%20_%20ACCIDENTES%2026042022%20(2)/SOPORTES%20PARA%20ANEXAR/WhatsApp%20Image%202025-11-01%20at%207.50.57%20AM%20(1)_anonymous.jpeg; https://emprestur-my.sharepoint.com/personal/alejandra_betancur_emprestur_com/Documents/Aplicaciones/Microsoft%20Forms/INFORMACI%C3%93N%20NOVEDAD%20_%20ACCIDENTES%2026042022%20(2)/SOPORTES%20PARA%20ANEXAR/WhatsApp%20Image%202025-11-01%20at%207.50.57%20AM_anonymous.jpeg; https://emprestur-my.sharepoint.com/personal/alejandra_betancur_emprestur_com/Documents/Aplicaciones/Microsoft%20Forms/INFORMACI%C3%93N%20NOVEDAD%20_%20ACCIDENTES%2026042022%20(2)/SOPORTES%20PARA%20ANEXAR/WhatsApp%20Image%202025-11-01%20at%207.50.56%20AM_anonymous.jpeg</t>
  </si>
  <si>
    <t xml:space="preserve">DAYHANA SOSSA </t>
  </si>
  <si>
    <t xml:space="preserve">2:30 PM </t>
  </si>
  <si>
    <t>LKK422</t>
  </si>
  <si>
    <t>CAH</t>
  </si>
  <si>
    <t>1245</t>
  </si>
  <si>
    <t xml:space="preserve">JUAN MANUEL MADRID </t>
  </si>
  <si>
    <t>1047996959</t>
  </si>
  <si>
    <t>3147919991</t>
  </si>
  <si>
    <t xml:space="preserve">El conductor informa que un tercero en medio de un despiste le choca la parte trasera de su vehículo </t>
  </si>
  <si>
    <t xml:space="preserve">informe de manera inmediata al área de SST </t>
  </si>
  <si>
    <t>https://emprestur-my.sharepoint.com/personal/alejandra_betancur_emprestur_com/Documents/Aplicaciones/Microsoft%20Forms/INFORMACI%C3%93N%20NOVEDAD%20_%20ACCIDENTES%2026042022%20(2)/SOPORTES%20PARA%20ANEXAR/WhatsApp%20Image%202025-11-04%20at%202.32.12%20PM_anonymous.jpeg</t>
  </si>
  <si>
    <t>15:54</t>
  </si>
  <si>
    <t>GTY556</t>
  </si>
  <si>
    <t>RECORRIDO FIJO DE CARGA</t>
  </si>
  <si>
    <t>YUNIER ALEXANDER ATEHORTUA ZAPATA</t>
  </si>
  <si>
    <t>1146434995</t>
  </si>
  <si>
    <t>319 3036406</t>
  </si>
  <si>
    <t>El día de ayer jueves 06 de noviembre a las 15:54 el conductor Yunier Alexander Atehortúa Zapata me llama para informarme que habían acabado de volcarse en el Camión de placas GTY556, cuando transitaban por la Ruta del Sol, entre el Municipio de Puerto Salgar (Cundinamarca) y el sector conocido como Puerto Libre (Rionegrito).  Me dice que tanto él como Cristian Andrés Taborda Taborda (quien lo acompañaba en el recorrido) resultaron ilesos, que sólo se presentaron daños materiales. El vehículo venía vacío pues acabada de descargar materiales en la Central Hidroeléctrica MIEL I (ISAGEN).
Se le informa a Daniela Vergara (Profesional SST del contrato) y al Señor Jonathan Giraldo (Director Flota Propia), lo mismo que a Juan Pablo Gallo (GPS y CCTV) para las gestiones correspondientes de cada uno según su rol. Adicionalmente se mantiene el contacto con los conductores durante la maniobra de izaje del vehículo y el traslado hasta su sitio de descanso a las 19:30 horas.  Dado que el vehículo no tuvo afectaciones mecánicas, se toma la decisión de que el recorrido hacia Medellín se reinicie el día 07 de noviembre.
A continuación, la versión del conductor (se adjuntan registro fotográfico enviado por WhatsApp):
“Para reportar la novedad del siniestro del vehículo GTY556 siendo las 03:50 pm del 06/11/2025 veníamos el compañero Cristian Taborda y mi persona Yunier Atehortúa desde Norcasia luego de descargar materiales en la central MIEL venia conduciendo a uno velocidad moderada por el carril derecho en la ruta del sol entre Puerto Salgar y Puerto Libre sentido Sur - Norte (vía la cual en el momento no está demarcada por pavimentación) me aproximé mucho a la berma, razón por lo cual me fui saliendo de la vía y al intentar recuperar el carril perdí el control del vehículo, lo cual ocasionó el volcamiento del mismo. Afortunadamente sin lesionados ni daños a terceros,
Inmediatamente procedemos a informar a los Jefes inmediatos y a la aseguradora con la cual no pusimos comunicarnos por mala señal. Tuvimos acompañamiento de la policía de carretera y apoyo de la Concesión Vial parar el vehículo y revisión médica en la cual resultamos sin lesiones. Se realiza material fotográfico para adjuntar a la versión de lo sucedido.”
Quedo atento a cualquier requerimiento adicional que tengan.
Feliz día,
Jorge Iván Correa Pérez
Coordinador Líder Contrato ISAGEN</t>
  </si>
  <si>
    <t>Acompañamiento telefónico durante las labores de atención y valoración de los conductores, al igual que durante la maniobra de izaje del vehículo hasta las 19:30 cuando los conductores se reportan en su sitio de descanso.  Dado que el vehículo no sufre afectaciones mecánicas, se decide que continúen el recorrido al día siguiente (07 de noviembre).</t>
  </si>
  <si>
    <t>https://emprestur-my.sharepoint.com/personal/alejandra_betancur_emprestur_com/Documents/Aplicaciones/Microsoft%20Forms/INFORMACI%C3%93N%20NOVEDAD%20_%20ACCIDENTES%2026042022%20(2)/SOPORTES%20PARA%20ANEXAR/Evento_GTY556_06_Noviembre_2025%20-%204_anonymous.jpeg; https://emprestur-my.sharepoint.com/personal/alejandra_betancur_emprestur_com/Documents/Aplicaciones/Microsoft%20Forms/INFORMACI%C3%93N%20NOVEDAD%20_%20ACCIDENTES%2026042022%20(2)/SOPORTES%20PARA%20ANEXAR/Evento_GTY556_06_Noviembre_2025%20-%203_anonymous.jpeg; https://emprestur-my.sharepoint.com/personal/alejandra_betancur_emprestur_com/Documents/Aplicaciones/Microsoft%20Forms/INFORMACI%C3%93N%20NOVEDAD%20_%20ACCIDENTES%2026042022%20(2)/SOPORTES%20PARA%20ANEXAR/Evento_GTY556_06_Noviembre_2025%20-%202_anonymous.jpeg; https://emprestur-my.sharepoint.com/personal/alejandra_betancur_emprestur_com/Documents/Aplicaciones/Microsoft%20Forms/INFORMACI%C3%93N%20NOVEDAD%20_%20ACCIDENTES%2026042022%20(2)/SOPORTES%20PARA%20ANEXAR/Evento_GTY556_06_Noviembre_2025%20-%201_anonymous.jpeg</t>
  </si>
  <si>
    <t>4:30 AM</t>
  </si>
  <si>
    <t>SNW288</t>
  </si>
  <si>
    <t>SE026046</t>
  </si>
  <si>
    <t>GUILLERMO TAMAYO</t>
  </si>
  <si>
    <t>71315786</t>
  </si>
  <si>
    <t>3192478944</t>
  </si>
  <si>
    <t>JADER ANDRES NIEVES PEREZ</t>
  </si>
  <si>
    <t>3148473441</t>
  </si>
  <si>
    <t xml:space="preserve">me indica el conductor a las 4:30 am  que al subir  la loma en el barrio PARIS en la dirección CALLE 102 CON 82F  que al voltear  a la izquierda  el carro pierde estabilidad y se desliza ya que no tenia agarre una de las llantas  delanteras lo cual el vehículo  se desliza. no hubo lesionados </t>
  </si>
  <si>
    <t xml:space="preserve">darle indicaciones al conductor  de como proceder en el evento ocurrido </t>
  </si>
  <si>
    <t>https://emprestur-my.sharepoint.com/personal/alejandra_betancur_emprestur_com/Documents/Aplicaciones/Microsoft%20Forms/INFORMACI%C3%93N%20NOVEDAD%20_%20ACCIDENTES%2026042022%20(2)/SOPORTES%20PARA%20ANEXAR/WhatsApp%20Image%202025-11-11%20at%204.37.36%20AM_anonymous.jpeg; https://emprestur-my.sharepoint.com/personal/alejandra_betancur_emprestur_com/Documents/Aplicaciones/Microsoft%20Forms/INFORMACI%C3%93N%20NOVEDAD%20_%20ACCIDENTES%2026042022%20(2)/SOPORTES%20PARA%20ANEXAR/WhatsApp%20Video%202025-11-11%20at%204.37.56%20AM_anonymous.mp4; https://emprestur-my.sharepoint.com/personal/alejandra_betancur_emprestur_com/Documents/Aplicaciones/Microsoft%20Forms/INFORMACI%C3%93N%20NOVEDAD%20_%20ACCIDENTES%2026042022%20(2)/SOPORTES%20PARA%20ANEXAR/WhatsApp%20Image%202025-11-11%20at%205.20.35%20AM_anonymous.jpeg; https://emprestur-my.sharepoint.com/personal/alejandra_betancur_emprestur_com/Documents/Aplicaciones/Microsoft%20Forms/INFORMACI%C3%93N%20NOVEDAD%20_%20ACCIDENTES%2026042022%20(2)/SOPORTES%20PARA%20ANEXAR/WhatsApp%20Image%202025-11-11%20at%205.17.57%20AM_anonymous.jpeg; https://emprestur-my.sharepoint.com/personal/alejandra_betancur_emprestur_com/Documents/Aplicaciones/Microsoft%20Forms/INFORMACI%C3%93N%20NOVEDAD%20_%20ACCIDENTES%2026042022%20(2)/SOPORTES%20PARA%20ANEXAR/WhatsApp%20Image%202025-11-11%20at%205.17.48%20AM_anonymous.jpeg; https://emprestur-my.sharepoint.com/personal/alejandra_betancur_emprestur_com/Documents/Aplicaciones/Microsoft%20Forms/INFORMACI%C3%93N%20NOVEDAD%20_%20ACCIDENTES%2026042022%20(2)/SOPORTES%20PARA%20ANEXAR/WhatsApp%20Image%202025-11-10%20at%205.07.50%20PM_anonymous.jpeg</t>
  </si>
  <si>
    <t>15:00 horas más o menos</t>
  </si>
  <si>
    <t>NNN124</t>
  </si>
  <si>
    <t>103433</t>
  </si>
  <si>
    <t>JORGE ALEJANDRO LOPEZ GUTIERREZ</t>
  </si>
  <si>
    <t>98567367</t>
  </si>
  <si>
    <t>3006125946</t>
  </si>
  <si>
    <t>"bajándome del carro me apoyé en el estribo para bajarme y me lisé, como q tuve un movimiento de rodilla maluco"</t>
  </si>
  <si>
    <t>Se le dan instrucciones de reportar a SST para que reciba instrucciones</t>
  </si>
  <si>
    <t>11:00</t>
  </si>
  <si>
    <t>JYN546</t>
  </si>
  <si>
    <t>103069</t>
  </si>
  <si>
    <t>OMAR DE JESUS RIOS RESTREPO</t>
  </si>
  <si>
    <t>15507579</t>
  </si>
  <si>
    <t>3223804432</t>
  </si>
  <si>
    <t>"me tocó consultar por unos granos que me salieron en el cuerpo y se están llenando de pus. Me dijeron que podía ser Leishmaniasis"</t>
  </si>
  <si>
    <t>Se reporta novedad con SST ya que el conductor fue hospitalizado por confirmación de diagnóstico por Leishmaniasis</t>
  </si>
  <si>
    <t xml:space="preserve">Dayhana sossa </t>
  </si>
  <si>
    <t>9:40 am</t>
  </si>
  <si>
    <t>LKO886</t>
  </si>
  <si>
    <t>1754</t>
  </si>
  <si>
    <t>GUSTAVO ALONSO CORREA</t>
  </si>
  <si>
    <t>312 2726717</t>
  </si>
  <si>
    <t xml:space="preserve">Cerrando la puerta del vehículo se le quedo el dedo allí </t>
  </si>
  <si>
    <t xml:space="preserve">Pase el reporte al área encargada </t>
  </si>
  <si>
    <t>https://emprestur-my.sharepoint.com/personal/alejandra_betancur_emprestur_com/Documents/Aplicaciones/Microsoft%20Forms/INFORMACI%C3%93N%20NOVEDAD%20_%20ACCIDENTES%2026042022%20(2)/SOPORTES%20PARA%20ANEXAR/WhatsApp%20Image%202025-11-19%20at%209.37.08%20AM_anonymous.jpeg</t>
  </si>
  <si>
    <t>DAYHANA SOSSA</t>
  </si>
  <si>
    <t>SNV955</t>
  </si>
  <si>
    <t>Kevin Esteban Aguirre Torres</t>
  </si>
  <si>
    <t xml:space="preserve"> 1115083755</t>
  </si>
  <si>
    <t>3187000706</t>
  </si>
  <si>
    <t>Alejandra Faisuri Botero</t>
  </si>
  <si>
    <t>8:20 am</t>
  </si>
  <si>
    <t>JTZ891</t>
  </si>
  <si>
    <t xml:space="preserve">CHEC Pasajeros </t>
  </si>
  <si>
    <t>TR2519193</t>
  </si>
  <si>
    <t>Héctor Rodrigo Nieto Gallego</t>
  </si>
  <si>
    <t>10280691</t>
  </si>
  <si>
    <t>3136555037</t>
  </si>
  <si>
    <t xml:space="preserve"> JOSE LEONARDO ACEVEDO JARAMILLO </t>
  </si>
  <si>
    <t>3127151357</t>
  </si>
  <si>
    <t>El conductor informa que una tractomula estaba ingresando a una bodega de Coordinadora. Debido a esta maniobra, el conductor redujo la velocidad y se detuvo para permitir el ingreso del vehículo pesado.
En ese momento, el vehículo que venía detrás no alcanzó a frenar a tiempo y colisionó por la parte trasera. A causa del impacto, el vehículo del conductor afectado fue impulsado hacia adelante, golpeando a su vez al vehículo que tenía al frente.</t>
  </si>
  <si>
    <t>Se realizó el seguimiento al conductor, verificando que todos los involucrados se encontraran en buen estado. Posteriormente, se le informó que debía realizar el reporte correspondiente ante la aseguradora.
De inmediato, comuniqué la situación a la abogada de la empresa y al equipo de Seguridad y Salud en el Trabajo (SST) para que tuvieran conocimiento de lo ocurrido.
los funcionarios fueron finalmente transportado por un compañero que en ese momento también transitaba por la vía.</t>
  </si>
  <si>
    <t>https://emprestur-my.sharepoint.com/personal/alejandra_betancur_emprestur_com/Documents/Aplicaciones/Microsoft%20Forms/INFORMACI%C3%93N%20NOVEDAD%20_%20ACCIDENTES%2026042022%20(2)/SOPORTES%20PARA%20ANEXAR/WhatsApp%20Image%202025-11-27%20at%2008.21.00%20(1)_anonymous.jpeg; https://emprestur-my.sharepoint.com/personal/alejandra_betancur_emprestur_com/Documents/Aplicaciones/Microsoft%20Forms/INFORMACI%C3%93N%20NOVEDAD%20_%20ACCIDENTES%2026042022%20(2)/SOPORTES%20PARA%20ANEXAR/WhatsApp%20Image%202025-11-27%20at%2008.21.00_anonymous.jpeg; https://emprestur-my.sharepoint.com/personal/alejandra_betancur_emprestur_com/Documents/Aplicaciones/Microsoft%20Forms/INFORMACI%C3%93N%20NOVEDAD%20_%20ACCIDENTES%2026042022%20(2)/SOPORTES%20PARA%20ANEXAR/WhatsApp%20Image%202025-11-27%20at%2008.20.59%20(2)_anonymous.jpeg; https://emprestur-my.sharepoint.com/personal/alejandra_betancur_emprestur_com/Documents/Aplicaciones/Microsoft%20Forms/INFORMACI%C3%93N%20NOVEDAD%20_%20ACCIDENTES%2026042022%20(2)/SOPORTES%20PARA%20ANEXAR/WhatsApp%20Image%202025-11-27%20at%2008.20.59%20(1)_anonymous.jpeg; https://emprestur-my.sharepoint.com/personal/alejandra_betancur_emprestur_com/Documents/Aplicaciones/Microsoft%20Forms/INFORMACI%C3%93N%20NOVEDAD%20_%20ACCIDENTES%2026042022%20(2)/SOPORTES%20PARA%20ANEXAR/WhatsApp%20Image%202025-11-27%20at%2008.20.59_anonymous.jpeg; https://emprestur-my.sharepoint.com/personal/alejandra_betancur_emprestur_com/Documents/Aplicaciones/Microsoft%20Forms/INFORMACI%C3%93N%20NOVEDAD%20_%20ACCIDENTES%2026042022%20(2)/SOPORTES%20PARA%20ANEXAR/WhatsApp%20Image%202025-11-27%20at%2008.20.58%20(3)_anonymous.jpeg; https://emprestur-my.sharepoint.com/personal/alejandra_betancur_emprestur_com/Documents/Aplicaciones/Microsoft%20Forms/INFORMACI%C3%93N%20NOVEDAD%20_%20ACCIDENTES%2026042022%20(2)/SOPORTES%20PARA%20ANEXAR/WhatsApp%20Image%202025-11-27%20at%2008.20.58%20(2)_anonymous.jpeg; https://emprestur-my.sharepoint.com/personal/alejandra_betancur_emprestur_com/Documents/Aplicaciones/Microsoft%20Forms/INFORMACI%C3%93N%20NOVEDAD%20_%20ACCIDENTES%2026042022%20(2)/SOPORTES%20PARA%20ANEXAR/WhatsApp%20Image%202025-11-27%20at%2008.20.58%20(1)_anonymous.jpeg; https://emprestur-my.sharepoint.com/personal/alejandra_betancur_emprestur_com/Documents/Aplicaciones/Microsoft%20Forms/INFORMACI%C3%93N%20NOVEDAD%20_%20ACCIDENTES%2026042022%20(2)/SOPORTES%20PARA%20ANEXAR/WhatsApp%20Image%202025-11-27%20at%2008.20.58_anonymous.jpeg</t>
  </si>
  <si>
    <t>17:45</t>
  </si>
  <si>
    <t>LKL570</t>
  </si>
  <si>
    <t>S739067</t>
  </si>
  <si>
    <t xml:space="preserve"> Luis Fernando Gaviria Durango</t>
  </si>
  <si>
    <t>71.753.945</t>
  </si>
  <si>
    <t>3127548726</t>
  </si>
  <si>
    <t>Inmediatamente después de los hechos, el conductor se comunica para informar lo sucedido. Siendo las 5:45 p. m., un vehículo particular que transitaba por la vía entre la Medellín–Bogotá y PCH San Miguel tomó una curva demasiado abierta. Al frenar, el vehículo perdió adherencia debido a que la vía está compuesta de piedra, lo que ocasionó que impactara el lateral izquierdo del vehículo de Emprestur.
Nuestro conductor realizó una maniobra de evasión que evitó un choque frontal, logrando que el impacto fuera únicamente lateral.</t>
  </si>
  <si>
    <t>Se verifica con el conductor, mediante comunicación verbal y con apoyo de fotografías y vídeos, el estado del vehículo. No se reemplaza el servicio, ya que el incidente únicamente ocasionó daños en la carrocería. El vehículo permanece 100% operativo y en condiciones seguras para continuar prestando el servicio.</t>
  </si>
  <si>
    <t>https://emprestur-my.sharepoint.com/personal/alejandra_betancur_emprestur_com/Documents/Aplicaciones/Microsoft%20Forms/INFORMACI%C3%93N%20NOVEDAD%20_%20ACCIDENTES%2026042022%20(2)/SOPORTES%20PARA%20ANEXAR/WhatsApp%20Image%202025-12-06%20at%207.15.26%20PM%20(1)_anonymous.jpeg; https://emprestur-my.sharepoint.com/personal/alejandra_betancur_emprestur_com/Documents/Aplicaciones/Microsoft%20Forms/INFORMACI%C3%93N%20NOVEDAD%20_%20ACCIDENTES%2026042022%20(2)/SOPORTES%20PARA%20ANEXAR/WhatsApp%20Image%202025-12-06%20at%207.15.26%20PM_anonymous.jpeg; https://emprestur-my.sharepoint.com/personal/alejandra_betancur_emprestur_com/Documents/Aplicaciones/Microsoft%20Forms/INFORMACI%C3%93N%20NOVEDAD%20_%20ACCIDENTES%2026042022%20(2)/SOPORTES%20PARA%20ANEXAR/WhatsApp%20Image%202025-12-06%20at%207.15.25%20PM%20(2)_anonymous.jpeg; https://emprestur-my.sharepoint.com/personal/alejandra_betancur_emprestur_com/Documents/Aplicaciones/Microsoft%20Forms/INFORMACI%C3%93N%20NOVEDAD%20_%20ACCIDENTES%2026042022%20(2)/SOPORTES%20PARA%20ANEXAR/WhatsApp%20Image%202025-12-06%20at%207.15.25%20PM%20(1)_anonymous.jpeg</t>
  </si>
  <si>
    <t>18:40</t>
  </si>
  <si>
    <t>NNN346</t>
  </si>
  <si>
    <t xml:space="preserve">LUIS FERNANDO CIRO CIRO </t>
  </si>
  <si>
    <t>1152452982</t>
  </si>
  <si>
    <t>3003647380</t>
  </si>
  <si>
    <t xml:space="preserve">EL LESIONADO TERCERO NO QUISO BRINDAR DATOS </t>
  </si>
  <si>
    <t>Recibo llamado del Sr. Ciro, informando incidente de tránsito con motocicleta (Anexos Matricula 1-2 Tercero) en vía pública del barrio Manrique La Cruz (Anexo Ubicación Novedad). Donde al momento de abrir la puerta del conductor y bajarse del vehículo la motocicleta impacta contra este y queda aprisionada (Anexos Sitio 1-2-3). El Conductor de la moto un hombre joven de aproximadamente 26 años, nacionalidad venezolana y que no portaba casco, permiso de permanencia en el país ni licencia de conducción o documento alguno que pudiese individualizar y validar datos personales. Presento rasguños mínimos ocasionados en la caída del incidente a lo cual no manifestó mayor importancia y desiste de la asistencia medica en sitio (Ver anexo reporte aseguradora – NNN346).
Se procedió a llamar las autoridades de tránsito y policía para que asistieran al lugar, sin éxito. Por lo que se contacto a la aseguradora para solicitar acompañamiento jurídico y asistencia de grúa dado el impacto en la puerta el cual no permitía el cierre y en caso de movilizar al parqueadero de la empresa se corría el riesgo de un comparendo e inmovilización por conducción insegura. El abogado se presenta a las 20:13 e inicia el procedimiento jurídico levantando la información requerida de la novedad.
La grúa llega a sitio a las 00:05 de la madrugada (Anexo grúa 1-2 ) retirando el vehículo del lugar quedando en custodia de la aseguradora y con destino a parqueadero Emprestur para continuidad de la atención y debido proceso de la novedad.</t>
  </si>
  <si>
    <t>SE REALIZA ACOMPAÑAMIENTO TELEFONICO EN TODO EL PROCESO DEL INCIDENTE</t>
  </si>
  <si>
    <t>https://emprestur-my.sharepoint.com/personal/alejandra_betancur_emprestur_com/Documents/Aplicaciones/Microsoft%20Forms/INFORMACI%C3%93N%20NOVEDAD%20_%20ACCIDENTES%2026042022%20(2)/SOPORTES%20PARA%20ANEXAR/Reporte%20Aseguradora%20-%20NNN346_anonymous.pdf; https://emprestur-my.sharepoint.com/personal/alejandra_betancur_emprestur_com/Documents/Aplicaciones/Microsoft%20Forms/INFORMACI%C3%93N%20NOVEDAD%20_%20ACCIDENTES%2026042022%20(2)/SOPORTES%20PARA%20ANEXAR/Ubicacion%20novedad_anonymous.jpg; https://emprestur-my.sharepoint.com/personal/alejandra_betancur_emprestur_com/Documents/Aplicaciones/Microsoft%20Forms/INFORMACI%C3%93N%20NOVEDAD%20_%20ACCIDENTES%2026042022%20(2)/SOPORTES%20PARA%20ANEXAR/Grua%201_anonymous.jpeg; https://emprestur-my.sharepoint.com/personal/alejandra_betancur_emprestur_com/Documents/Aplicaciones/Microsoft%20Forms/INFORMACI%C3%93N%20NOVEDAD%20_%20ACCIDENTES%2026042022%20(2)/SOPORTES%20PARA%20ANEXAR/Grua%202_anonymous.jpeg; https://emprestur-my.sharepoint.com/personal/alejandra_betancur_emprestur_com/Documents/Aplicaciones/Microsoft%20Forms/INFORMACI%C3%93N%20NOVEDAD%20_%20ACCIDENTES%2026042022%20(2)/SOPORTES%20PARA%20ANEXAR/Sitio%201_anonymous.jpeg; https://emprestur-my.sharepoint.com/personal/alejandra_betancur_emprestur_com/Documents/Aplicaciones/Microsoft%20Forms/INFORMACI%C3%93N%20NOVEDAD%20_%20ACCIDENTES%2026042022%20(2)/SOPORTES%20PARA%20ANEXAR/Sitio%202_anonymous.jpeg; https://emprestur-my.sharepoint.com/personal/alejandra_betancur_emprestur_com/Documents/Aplicaciones/Microsoft%20Forms/INFORMACI%C3%93N%20NOVEDAD%20_%20ACCIDENTES%2026042022%20(2)/SOPORTES%20PARA%20ANEXAR/Sitio%203_anonymous.jpeg; https://emprestur-my.sharepoint.com/personal/alejandra_betancur_emprestur_com/Documents/Aplicaciones/Microsoft%20Forms/INFORMACI%C3%93N%20NOVEDAD%20_%20ACCIDENTES%2026042022%20(2)/SOPORTES%20PARA%20ANEXAR/Matricula%201%20Tercero_anonymous.jpeg; https://emprestur-my.sharepoint.com/personal/alejandra_betancur_emprestur_com/Documents/Aplicaciones/Microsoft%20Forms/INFORMACI%C3%93N%20NOVEDAD%20_%20ACCIDENTES%2026042022%20(2)/SOPORTES%20PARA%20ANEXAR/Matricula%202%20Tercero_anonymous.jpeg</t>
  </si>
  <si>
    <t>6:20 am</t>
  </si>
  <si>
    <t>LKK245</t>
  </si>
  <si>
    <t>SDTP-01745</t>
  </si>
  <si>
    <t>JUAN CAMILO HERRERA CARO</t>
  </si>
  <si>
    <t>71290145</t>
  </si>
  <si>
    <t>3194038676</t>
  </si>
  <si>
    <t>NATALIA EUSSE</t>
  </si>
  <si>
    <t>3044197312</t>
  </si>
  <si>
    <t>"Cuando íbamos a la altura de la Cra 52 # 44C-07,  vía San Pedro de los Milagros, a un vehículo lechero se le cae algo por debajo y alcanza a impactar el panorámico de la camioneta y volaron algunas esquirlas que le alcanzaron a caer a la funcionaria. A mi no me pasó nada"</t>
  </si>
  <si>
    <t>La funcionaria reporta la novedad y recibe la instrucción de dirigirse a la clínica Bolivariana donde el conductor la lleva para ser atendida y de igual forma el conductor manifiesta que el propietario del otro vehículo reconoció su culpa y dio la instrucción de llevar la camioneta a un lugar donde le pudieran cambiar el panorámico y que él asumiría todos los costos</t>
  </si>
  <si>
    <t xml:space="preserve">Jonathan Giraldo </t>
  </si>
  <si>
    <t>3:30 p.m.</t>
  </si>
  <si>
    <t>Simon David Benjumea</t>
  </si>
  <si>
    <t>1152465154</t>
  </si>
  <si>
    <t>3218030532</t>
  </si>
  <si>
    <t>No aplica</t>
  </si>
  <si>
    <t>Me encontraba almorzando en el corredor de la oficina de flota, estaba en las sillas cafe que estan afuera, y me recosté, cuando senti que la silla se cedió ocasionando que me cayera</t>
  </si>
  <si>
    <t>Se toma registro fotográfico de como queda la silla, se le consulta a Simón si tiene alguna dolencia, mas sin embargo informa que le dio fué mas el susto.</t>
  </si>
  <si>
    <t>https://emprestur-my.sharepoint.com/personal/alejandra_betancur_emprestur_com/Documents/Aplicaciones/Microsoft%20Forms/INFORMACI%C3%93N%20NOVEDAD%20_%20ACCIDENTES%2026042022%20(2)/SOPORTES%20PARA%20ANEXAR/WhatsApp%20Image%202025-12-16%20at%203.43.23%20PM_anonymous.jpeg</t>
  </si>
  <si>
    <t>8:00 a.m.</t>
  </si>
  <si>
    <t>FWK701</t>
  </si>
  <si>
    <t>SDTP-02552</t>
  </si>
  <si>
    <t>Fabian Eduardo Garcia Ramirez</t>
  </si>
  <si>
    <t>98572372</t>
  </si>
  <si>
    <t>3108317558</t>
  </si>
  <si>
    <t>En el día de ayer cuando se cargaron unas herramientas en el volco del vehiculo la compuerta se iba a abrir después de que ya la habias cerrado y se el devolvio y la cogio con la mano izquierda sintiendo un dolor durito en la muñeca, y cerro normal la compuerta y continuo con el servicio, en la noche cuando ya estabas descansando empece a sentir una molestia en la muñeca y empezo a aumentar el dolor, no reporte en el momento pensando que no era nada, y procedi a envolverme en esparadrapo y hoy 18/12/2025 continuo con el dolor, veo la mano inflamada y me imposibilita conducir.</t>
  </si>
  <si>
    <t>Se le hace retroalimentación al conductor de reporte oportuno a la novedad.</t>
  </si>
  <si>
    <t>https://emprestur-my.sharepoint.com/personal/alejandra_betancur_emprestur_com/Documents/Aplicaciones/Microsoft%20Forms/INFORMACI%C3%93N%20NOVEDAD%20_%20ACCIDENTES%2026042022%20(2)/SOPORTES%20PARA%20ANEXAR/WhatsApp%20Image%202025-12-18%20at%204.28.40%20PM_anonymous.jpeg</t>
  </si>
  <si>
    <t>16:48</t>
  </si>
  <si>
    <t>FVY876</t>
  </si>
  <si>
    <t>SDTP-01440</t>
  </si>
  <si>
    <t>DIOMER ENEL FRANCO TOBÓN</t>
  </si>
  <si>
    <t>98552179</t>
  </si>
  <si>
    <t>3043198388</t>
  </si>
  <si>
    <t>"Me estacioné en unas celdas de parqueo autorizadas le puse la emergencia al vehículo pasé el andén y sentí un golpe y el carro comenzó a desplazarse lentamente. Y me fui  corriendo para ver si podría abrir la puerta pero no fue posible por qué el carro tiene bloqueo y adelantico por ahí a los diez metros había un carro y mi vehículo chocó contra ese vehículo causándole daños y también dañarse mi vehículo los hechos ocurrieron en el municipio de Yarumal departamento de Antioquia si asistió el transito.
Al vehículo afectado se  le daño bomper trasero stop trasero derecho la maleta.  delante del Logan había una moto la tumbó  con la llanta izquierda y le estalló una llanta al Logan y le desajuste el bomper delantero del Logan.  al vehículo Dimax le daño bomper delantero farola izquierda capo guardabarros izquierdo protector de guardabarros Interno la persiana"</t>
  </si>
  <si>
    <t>El reporte no fue de inmediato y no se ejecutó ninguna acción o se dieron indicaciones</t>
  </si>
  <si>
    <t>https://emprestur-my.sharepoint.com/personal/alejandra_betancur_emprestur_com/Documents/Aplicaciones/Microsoft%20Forms/INFORMACI%C3%93N%20NOVEDAD%20_%20ACCIDENTES%2026042022%20(2)/SOPORTES%20PARA%20ANEXAR/WhatsApp%20Image%202025-12-19%20at%2012.02.28_anonymous.jpeg; https://emprestur-my.sharepoint.com/personal/alejandra_betancur_emprestur_com/Documents/Aplicaciones/Microsoft%20Forms/INFORMACI%C3%93N%20NOVEDAD%20_%20ACCIDENTES%2026042022%20(2)/SOPORTES%20PARA%20ANEXAR/WhatsApp%20Image%202025-12-19%20at%2012.02.29_anonymous.jpeg; https://emprestur-my.sharepoint.com/personal/alejandra_betancur_emprestur_com/Documents/Aplicaciones/Microsoft%20Forms/INFORMACI%C3%93N%20NOVEDAD%20_%20ACCIDENTES%2026042022%20(2)/SOPORTES%20PARA%20ANEXAR/WhatsApp%20Image%202025-12-19%20at%2012.02.29%20(1)_anonymous.jpeg</t>
  </si>
  <si>
    <t>6:00</t>
  </si>
  <si>
    <t>TOR349</t>
  </si>
  <si>
    <t>OMAR ORLANDO MOGOLLON PEREZ</t>
  </si>
  <si>
    <t>14321209</t>
  </si>
  <si>
    <t>3023627914</t>
  </si>
  <si>
    <t>"Iba 7 km abajo de Cocorná cuando un vehículo invadió el carril y al intentar esquivarlo me alcanza a dar en todo el lado izquierdo de la camioneta donde perdí el control y me fui al otro lado de la vía. El conductor del otro vehículo reconoce que le dio un micro sueño y que venía viajando desde Neiva hacia Medellín. Al lugar llegó la ambulancia de Cocorná para llevar por precaución a mi esposa y mi suegra al hospital para ser revisadas porque se alcanzaron a golpear por el impacto. Las otras personas que se transportaban en el vehículo son Claudia Hincapié, Nicole Mogollón Hincapié, Fidelina Torres Velasquez, Simón Vélez Henao"</t>
  </si>
  <si>
    <t>Cuando se recibe la información, el conductor manifiesta que ya ha llamado a la aseguradora y la ambulancia para que lleguen al sitio y trasladar por precaución 2 personas al hospital para ser revisadas. También está a la espera de que llegue la grúa la cual fue programada para llegar a las 10:30 am al sitio</t>
  </si>
  <si>
    <t>https://emprestur-my.sharepoint.com/personal/alejandra_betancur_emprestur_com/Documents/Aplicaciones/Microsoft%20Forms/INFORMACI%C3%93N%20NOVEDAD%20_%20ACCIDENTES%2026042022%20(2)/SOPORTES%20PARA%20ANEXAR/WhatsApp%20Video%202025-12-27%20at%2008.26.52_anonymous.mp4; https://emprestur-my.sharepoint.com/personal/alejandra_betancur_emprestur_com/Documents/Aplicaciones/Microsoft%20Forms/INFORMACI%C3%93N%20NOVEDAD%20_%20ACCIDENTES%2026042022%20(2)/SOPORTES%20PARA%20ANEXAR/WhatsApp%20Image%202025-12-27%20at%2008.26.53_anonymous.jpeg; https://emprestur-my.sharepoint.com/personal/alejandra_betancur_emprestur_com/Documents/Aplicaciones/Microsoft%20Forms/INFORMACI%C3%93N%20NOVEDAD%20_%20ACCIDENTES%2026042022%20(2)/SOPORTES%20PARA%20ANEXAR/WhatsApp%20Image%202025-12-27%20at%2008.26.55_anonymous.jpeg; https://emprestur-my.sharepoint.com/personal/alejandra_betancur_emprestur_com/Documents/Aplicaciones/Microsoft%20Forms/INFORMACI%C3%93N%20NOVEDAD%20_%20ACCIDENTES%2026042022%20(2)/SOPORTES%20PARA%20ANEXAR/WhatsApp%20Image%202025-12-27%20at%2008.26.57_anonymous.jpeg; https://emprestur-my.sharepoint.com/personal/alejandra_betancur_emprestur_com/Documents/Aplicaciones/Microsoft%20Forms/INFORMACI%C3%93N%20NOVEDAD%20_%20ACCIDENTES%2026042022%20(2)/SOPORTES%20PARA%20ANEXAR/WhatsApp%20Image%202025-12-27%20at%2008.26.58_anonymous.jpeg; https://emprestur-my.sharepoint.com/personal/alejandra_betancur_emprestur_com/Documents/Aplicaciones/Microsoft%20Forms/INFORMACI%C3%93N%20NOVEDAD%20_%20ACCIDENTES%2026042022%20(2)/SOPORTES%20PARA%20ANEXAR/WhatsApp%20Image%202025-12-27%20at%2008.26.53%20(1)_anonymous.jpeg</t>
  </si>
  <si>
    <t>1:30 AM</t>
  </si>
  <si>
    <t>PXK177</t>
  </si>
  <si>
    <t>JUAN DAVID CARVAJAL</t>
  </si>
  <si>
    <t>71368861</t>
  </si>
  <si>
    <t xml:space="preserve"> 305 4014081</t>
  </si>
  <si>
    <t>EL CONDUCTOR NOS INDICA QUE LAS AFECTADAS SE PASARON EL SEMAFORO EN ROJO</t>
  </si>
  <si>
    <t>REALIZAR ACOMPAÑAMIENTO VIA TELEFONICA HASTA QUE LLEGARA LA AMBULANCIA</t>
  </si>
  <si>
    <t>https://emprestur-my.sharepoint.com/personal/alejandra_betancur_emprestur_com/Documents/Aplicaciones/Microsoft%20Forms/INFORMACI%C3%93N%20NOVEDAD%20_%20ACCIDENTES%2026042022%20(2)/SOPORTES%20PARA%20ANEXAR/WhatsApp%20Image%202026-01-02%20at%204.28.09%20AM%20(2)_anonymous.jpeg; https://emprestur-my.sharepoint.com/personal/alejandra_betancur_emprestur_com/Documents/Aplicaciones/Microsoft%20Forms/INFORMACI%C3%93N%20NOVEDAD%20_%20ACCIDENTES%2026042022%20(2)/SOPORTES%20PARA%20ANEXAR/WhatsApp%20Image%202026-01-02%20at%204.28.09%20AM%20(1)_anonymous.jpeg; https://emprestur-my.sharepoint.com/personal/alejandra_betancur_emprestur_com/Documents/Aplicaciones/Microsoft%20Forms/INFORMACI%C3%93N%20NOVEDAD%20_%20ACCIDENTES%2026042022%20(2)/SOPORTES%20PARA%20ANEXAR/WhatsApp%20Image%202026-01-02%20at%204.28.09%20AM_anonymous.jpeg; https://emprestur-my.sharepoint.com/personal/alejandra_betancur_emprestur_com/Documents/Aplicaciones/Microsoft%20Forms/INFORMACI%C3%93N%20NOVEDAD%20_%20ACCIDENTES%2026042022%20(2)/SOPORTES%20PARA%20ANEXAR/WhatsApp%20Image%202026-01-02%20at%204.28.08%20AM%20(4)_anonymous.jpeg; https://emprestur-my.sharepoint.com/personal/alejandra_betancur_emprestur_com/Documents/Aplicaciones/Microsoft%20Forms/INFORMACI%C3%93N%20NOVEDAD%20_%20ACCIDENTES%2026042022%20(2)/SOPORTES%20PARA%20ANEXAR/WhatsApp%20Image%202026-01-02%20at%204.28.08%20AM%20(3)_anonymous.jpeg; https://emprestur-my.sharepoint.com/personal/alejandra_betancur_emprestur_com/Documents/Aplicaciones/Microsoft%20Forms/INFORMACI%C3%93N%20NOVEDAD%20_%20ACCIDENTES%2026042022%20(2)/SOPORTES%20PARA%20ANEXAR/WhatsApp%20Image%202026-01-02%20at%204.28.08%20AM%20(2)_anonymous.jpeg; https://emprestur-my.sharepoint.com/personal/alejandra_betancur_emprestur_com/Documents/Aplicaciones/Microsoft%20Forms/INFORMACI%C3%93N%20NOVEDAD%20_%20ACCIDENTES%2026042022%20(2)/SOPORTES%20PARA%20ANEXAR/WhatsApp%20Image%202026-01-02%20at%204.28.08%20AM%20(1)_anonymous.jpeg; https://emprestur-my.sharepoint.com/personal/alejandra_betancur_emprestur_com/Documents/Aplicaciones/Microsoft%20Forms/INFORMACI%C3%93N%20NOVEDAD%20_%20ACCIDENTES%2026042022%20(2)/SOPORTES%20PARA%20ANEXAR/WhatsApp%20Image%202026-01-02%20at%204.28.08%20AM_anonymous.jpeg; https://emprestur-my.sharepoint.com/personal/alejandra_betancur_emprestur_com/Documents/Aplicaciones/Microsoft%20Forms/INFORMACI%C3%93N%20NOVEDAD%20_%20ACCIDENTES%2026042022%20(2)/SOPORTES%20PARA%20ANEXAR/WhatsApp%20Image%202026-01-02%20at%204.28.07%20AM_anonymous.jpeg</t>
  </si>
  <si>
    <t>17:12</t>
  </si>
  <si>
    <t>LKK334</t>
  </si>
  <si>
    <t>JUAN MANUEL TRIVINO MARTINEZ</t>
  </si>
  <si>
    <t>80032485</t>
  </si>
  <si>
    <t xml:space="preserve"> 305 3816384</t>
  </si>
  <si>
    <t xml:space="preserve">ME INDICA EL CONDUCTOR QUE EL PERRO SE GOLPEA CON LAS LLANTAS TRASERAS DEL VEHICULO Y LO LLEVAN A UNA CLINICA VETERINARIA </t>
  </si>
  <si>
    <t>HACER ACOMPAÑAMIENTO TELEFONICO HASTA SOLUCIONAR LA NOVEDAD</t>
  </si>
  <si>
    <t xml:space="preserve">EN HORAS DE LA TARDE 1:36 PM </t>
  </si>
  <si>
    <t>LKK722</t>
  </si>
  <si>
    <t>GIOVANNY ESPINAL DEOSA</t>
  </si>
  <si>
    <t>71260182</t>
  </si>
  <si>
    <t>3185998960</t>
  </si>
  <si>
    <t xml:space="preserve">En la prestación del servicio se destinaban a trasladar a un habitante de calle y este le proporciona unos rasguños en el brazo. </t>
  </si>
  <si>
    <t>Se informa al coordinador de SST</t>
  </si>
  <si>
    <t>15:36</t>
  </si>
  <si>
    <t>NNL996</t>
  </si>
  <si>
    <t>Dr Alejandro Molina</t>
  </si>
  <si>
    <t>indica el conductor que el otro vehículo salió  sin mirar lo cual lo colisiono por la parte de atrás</t>
  </si>
  <si>
    <t>realizar acompañamiento telefónico hasta que soluciono la novedad con el otro vehículo</t>
  </si>
  <si>
    <t>5 PM</t>
  </si>
  <si>
    <t>KTN224</t>
  </si>
  <si>
    <t>YAID ALEXIS SERNA ZULUAGA</t>
  </si>
  <si>
    <t xml:space="preserve">1017153519 </t>
  </si>
  <si>
    <t>3023952192</t>
  </si>
  <si>
    <t xml:space="preserve">El conductor YAID ALEXIS SERNA ZULUAGA cc 1017153519 telefono 3023952192, quien se movilizaba en el vehículo de placas KTN224, se comunicó conmigo para informarme que, en la esquina de la calle 29 con carrera 52, sector Guayabal, fue colisionado en la parte trasera derecha por el camión de placas NLW138.
El impacto se presentó específicamente en la nave trasera, cerca del bocallantas, hacia el bómper, generando un hundimiento en la latonería.
El conductor del camión manifestó que el vehículo no contaba con aseguradora y expresó su intención de llegar a un acuerdo para asumir la reparación de los daños ocasionados. Luego de validar las fotografías enviadas por el conductor Alexis vía WhatsApp y realizar una estimación preliminar del costo de la reparación, se solicitó inicialmente un valor de $800.000.
No obstante, el tercero indicó que no contaba con ese momento y que únicamente contaba con $500.000, valor que fue aceptado por mi parte para llegar a un acuerdo para la reparación. Dicho dinero fue consignado directamente a la cuenta corriente de EMPRESTUR, tal como se evidencia en el soporte de transferencia que se adjunta a este correo.
Con base en lo anterior agradezco lo siguiente:
@Tesoreria
Por favor me confirmas el ingreso del dinero a la cuenta de Emprestur
@Simon David
Por favor programar la intervención y reparación del vehículo KTN224 con Humberto valiente lo mas pronto posible.
@Gustavo Zapata - @Simon David - @Paola Arcila - @Leidy Bolivar
Una vez se reciba la factura correspondiente, esta será cruzada contablemente con el valor consignado por el tercero, muchachos por favor dejar el comentario en el digital para que se cruce con este valor recuperado.
En caso de que el valor total de la reparación supere el monto recibido, la diferencia será asumida por la compañía es decir se lleva al centro de costos del vehículo.
@Jennifer Posada - @Alejandra Betancur
Se dejo el registro en el enlace correspondiente sin embargo considero que como se llego a una solución no requiere investigación, sin embargo lo dejo a su criterio.
</t>
  </si>
  <si>
    <t>Se realiza negociacion con el tercero por medio del conductor y se le dan indicaciones de como proceder.</t>
  </si>
  <si>
    <t>https://emprestur-my.sharepoint.com/personal/alejandra_betancur_emprestur_com/Documents/Aplicaciones/Microsoft%20Forms/INFORMACI%C3%93N%20NOVEDAD%20_%20ACCIDENTES%2026042022%20(2)/SOPORTES%20PARA%20ANEXAR/FOTOS%20ACCIDENTE%20KTN224_anonymous.pdf</t>
  </si>
  <si>
    <t>5:45 PM</t>
  </si>
  <si>
    <t>GTX035</t>
  </si>
  <si>
    <t>LEONARDO ANTONIO BAQUERO LASTRE</t>
  </si>
  <si>
    <t xml:space="preserve">1047460435 </t>
  </si>
  <si>
    <t>3227577650</t>
  </si>
  <si>
    <t>El día de ayer, miércoles 14 de enero, siendo aproximadamente las 5:45 p. m., el conductor LEONARDO ANTONIO BAQUERO LASTRE cc 1047460435 tel: 3227577650, asignado al vehículo de placas GTX035, se comunica conmigo para informarme sobre una novedad presentada con el vehículo.
El conductor indica que, al llegar a su lugar de residencia, dejó el vehículo estacionado frente a su vivienda. Posteriormente, al salir nuevamente, un vehículo perteneciente a un vecino, de placas MNX840, que se encontraba realizando maniobras en reversa para estacionarse, colisiona el vehículo GTX035, generando una afectación en la nave delantera izquierda.
Como resultado del impacto, se evidencia:
Hundimiento de la nave delantera izquierda
Rayones visibles en la misma pieza, (según registro fotográfico adjunto)
El conductor manifiesta que el responsable del hecho es un vecino que reside a aproximadamente tres casas de su domicilio, quien expresa su disposición para llegar a un acuerdo directo con nosotros. El tercero informa que no cuenta con póliza de seguros, pero está dispuesto a asumir el costo de la reparación mediante una negociación directa.
Con base en las imágenes enviadas, se realiza una estimación preliminar del costo de reparación por un valor aproximado de $900.000, cifra que fue comunicada al conductor para que este la informara directamente al tercero responsable. Se le indicó que, de estar de acuerdo, se le facilitaría la cuenta para realizar la consignación correspondiente.
No obstante, el tercero manifiesta que en ese momento no cuenta con los recursos, pero que podría efectuar el pago el próximo sábado 24 de enero. 
Teniendo en cuenta lo anterior, se definen las siguientes acciones:
@Jennifer Posada
Nos puedes apoyar por favor elaborando un documento de acuerdo de pago, en el cual el tercero se comprometa al pago del valor estipulado en la fecha acordada. Para este próximo 24 de enero, se comparten los datos y documentos del propietario del vehículo MNX840 pues la idea es que nuestro conductor lo haga firmar hoy mismo en la medida de lo posible por su vecino. 
@Simon David - @Gustavo Zapata
Por favor programemos la reparación del carro par el próximo sábado 24 de enero para subsanar la novedad, cuando ingrese el dinero por parte del tercero tenerlo en cuenta para dejar la claridad en el digital de que ese dinero es para cubrir el costo de esa reparación; en caso de que el valor supere lo que el tercero nos pague el valor si tendría que llevarse al costo, en ese caso le deben informar a @Paola Arcila. 
@Alejandra Betancur - @Nancy Arias
Se dejo el registro en el enlace correspondiente sin embargo considero que como se llego a una solución no requiere investigación, sin embargo lo dejo a su criterio.</t>
  </si>
  <si>
    <t>Se le dan las indicaciones al conductor para buscar un acuerdo entre las partes. y se habla con el tercero que genero la afectacion.</t>
  </si>
  <si>
    <t>https://emprestur-my.sharepoint.com/personal/alejandra_betancur_emprestur_com/Documents/Aplicaciones/Microsoft%20Forms/INFORMACI%C3%93N%20NOVEDAD%20_%20ACCIDENTES%2026042022%20(2)/SOPORTES%20PARA%20ANEXAR/FOTOS%20ACCIDENTE%20GTX035%20Y%20DOCUMENTOS%20DEL%20TERCE_anonymous.pdf</t>
  </si>
  <si>
    <t>15:30</t>
  </si>
  <si>
    <t>THZ316</t>
  </si>
  <si>
    <t>TR2523808</t>
  </si>
  <si>
    <t>BLADIMIR SALAZAR GARCIA</t>
  </si>
  <si>
    <t>75064914</t>
  </si>
  <si>
    <t>3002772070</t>
  </si>
  <si>
    <t>ANDRES TORO CEL 3217811878</t>
  </si>
  <si>
    <t>Versión de los hechos – ARL
El día de los hechos, mientras me encontraba realizando mis labores como conductor y me desplazaba hacia el sector de Manga Bonita, el vehículo presentó una falla mecánica debido al pinchazo de la llanta trasera. Por tal motivo, me detuve en un sector de trocha para realizar el cambio de la llanta.
Al momento de ubicar y posicionar el gato para levantar el vehículo, sentí un ardor leve en la zona abdominal. Posteriormente, durante la instalación de la llanta de repuesto y el ajuste de los pernos, el ardor se intensificó, presentándose una sensación fuerte similar a una quemadura o a la picadura de un insecto (avispa).
Ante esta situación, procedí a revisarme levantando la camisa, evidenciando que en la zona del ombligo se presentaba enrojecimiento e inflamación (brotado), motivo por el cual se reporta la novedad como posible accidente/incidente de origen laboral.</t>
  </si>
  <si>
    <t>Una vez conocida la novedad presentada, el Gestor Logístico informa de manera inmediata a la Jefe de SGI, con el fin de recibir las indicaciones correspondientes frente a la situación reportada por el conductor. De acuerdo con las orientaciones brindadas y lo informado por el médico de la empresa, se le comunica al conductor que debe solicitar cita con médico general para la valoración clínica y la identificación del origen de la molestia presentada.</t>
  </si>
  <si>
    <t>1:30 p.m.</t>
  </si>
  <si>
    <t>PXK221</t>
  </si>
  <si>
    <t xml:space="preserve">Elkin Dario Correa Zapata </t>
  </si>
  <si>
    <t>71718086</t>
  </si>
  <si>
    <t>3175031373</t>
  </si>
  <si>
    <t xml:space="preserve">El día de ayer me dirigía hacia el cliente SURA a las 13:30 p.m., bajando por el barrio las palmas, nos encontrábamos 2 vehículos estacionados en sentido contrario, por en medio de los 2 pasó un motociclista con maletero, no calculo si podía pasar por en medio de los 2 realizando el daño a los vehículos estacionados, el señor se fugó, yo sentí el estruendo me bajé a mirar el vehículo y me di cuenta que había rayado el vehículo. </t>
  </si>
  <si>
    <t xml:space="preserve">Se toma la versión de los hechos y se relaciona, el registro fotográfico </t>
  </si>
  <si>
    <t>https://emprestur-my.sharepoint.com/personal/alejandra_betancur_emprestur_com/Documents/Aplicaciones/Microsoft%20Forms/INFORMACI%C3%93N%20NOVEDAD%20_%20ACCIDENTES%2026042022%20(2)/SOPORTES%20PARA%20ANEXAR/REGISTRO%20FOTOGR%C3%81FICO%20PXK221_anonymous.pdf; https://emprestur-my.sharepoint.com/personal/alejandra_betancur_emprestur_com/Documents/Aplicaciones/Microsoft%20Forms/INFORMACI%C3%93N%20NOVEDAD%20_%20ACCIDENTES%2026042022%20(2)/SOPORTES%20PARA%20ANEXAR/RECORRIDO%20PXK221%20desde%20las%2013_anonymous.pdf</t>
  </si>
  <si>
    <t>10:27 am</t>
  </si>
  <si>
    <t>PXK186</t>
  </si>
  <si>
    <t>MEDICARTE</t>
  </si>
  <si>
    <t>MARIA TERESA JIMENEZ GUTIERREZ</t>
  </si>
  <si>
    <t>43253094</t>
  </si>
  <si>
    <t>3243682867</t>
  </si>
  <si>
    <t>La conductora Maria Teresa Jiménez informa vía whatsapp que presenta novedad con el vehículo al golpear una baranda metálica del parqueadero de almacentro mientras estaba en servicio con la enfermera de turno. se le indica que el golpe no afecta el desarrollo de la novedad y que una vez finalice el servicio deberá presentarse en taller para su valoración y cotización del proveedor de latonería y pintura; el cual informa que el valor del trabajo es de $800.000 y se aplicara a la conductora el descuento de nomina por este valor.</t>
  </si>
  <si>
    <t xml:space="preserve">Se brinda acompañamiento durante la novedad hasta que la conductora realiza la cotización, conoce el valor y acepta el valor a descontar por la novedad. </t>
  </si>
  <si>
    <t>https://emprestur-my.sharepoint.com/personal/alejandra_betancur_emprestur_com/Documents/Aplicaciones/Microsoft%20Forms/INFORMACI%C3%93N%20NOVEDAD%20_%20ACCIDENTES%2026042022%20(2)/SOPORTES%20PARA%20ANEXAR/PXK186-1_anonymous.jpeg; https://emprestur-my.sharepoint.com/personal/alejandra_betancur_emprestur_com/Documents/Aplicaciones/Microsoft%20Forms/INFORMACI%C3%93N%20NOVEDAD%20_%20ACCIDENTES%2026042022%20(2)/SOPORTES%20PARA%20ANEXAR/PXK186-2_anonymous.jpeg</t>
  </si>
  <si>
    <t>7:40 a.m</t>
  </si>
  <si>
    <t>JYX640</t>
  </si>
  <si>
    <t>Juan Felipe Guzman Monsalve</t>
  </si>
  <si>
    <t>1007243522</t>
  </si>
  <si>
    <t>3044750923</t>
  </si>
  <si>
    <t>El día de hoy 11/02/2025 llevé funcionarios de EPM para el Santuario, me parquee detrás de un vehículo para que se bajaran los funcionarios y adicional venia un vehículo subiendo, en la misma acera donde estaba parqueado salió un vehículo del parqueadero y se parqueo detrás mío, para darle paso al vehículo que estaba subiendo, al ver que no dejo el espacio suficiente para que pasara el vehículo empezó a realizar la maniobra de reversa y tratarse de meter detrás mío, lo realizó varias veces y no lo pudo lograr, en la ultima maniobra como tenia una camioneta automática la niña pensó que había puesto reversa y realmente puso la de marcha adelante, lo que causo que me estrellara por la puerta de la maleta, y me empujo haciéndome subir al andén, y adelante había otro vehículo parqueado lo que ocasionó que lo golpeara, quedando los 3 involucrados, no hubieron lesionados, se llamo a las aseguradoras y quedaron encargadas los familiares de la niña, ya que ella era menor de edad y manifestó que iba para el colegio.</t>
  </si>
  <si>
    <t>Se le indica que llame a la aseguradora y tome registro fotográfico</t>
  </si>
  <si>
    <t>https://emprestur-my.sharepoint.com/personal/alejandra_betancur_emprestur_com/Documents/Aplicaciones/Microsoft%20Forms/INFORMACI%C3%93N%20NOVEDAD%20_%20ACCIDENTES%2026042022%20(2)/SOPORTES%20PARA%20ANEXAR/REGISTRO%20FOTOGR%C3%81FICO%20Y%20REPORTE%20GPS%20DEL%20ACCIDE_anonymous.pdf</t>
  </si>
  <si>
    <t>9:00 a.m.</t>
  </si>
  <si>
    <t>FABIO ENRIQUE CARO GIRALDO</t>
  </si>
  <si>
    <t>70852770</t>
  </si>
  <si>
    <t>3218614585</t>
  </si>
  <si>
    <t>Me encontraba en la portería, esperando que me imprimieran las planillas para iniciar servicios en Sura, me agaché donde están las canecas para botar basura, cuando Juan Pablo me estaba dando la espalda y dándoles indicaciones a otra persona sobre una dirección cuando con el brazo izquierdo estaba hizo un movimiento hacia atrás y me encontraba agachado me pegó en el ojo izquierdo cerca del lagrimal con el reloj que tenia en la muñeca, me metió el reloj en el ojo, donde me arde y me duele.</t>
  </si>
  <si>
    <t>Se toma la versión del conductor, se cambia de conductor ya que iba a inciar servicio</t>
  </si>
  <si>
    <t>https://emprestur-my.sharepoint.com/personal/alejandra_betancur_emprestur_com/Documents/Aplicaciones/Microsoft%20Forms/INFORMACI%C3%93N%20NOVEDAD%20_%20ACCIDENTES%2026042022%20(2)/SOPORTES%20PARA%20ANEXAR/REGISTRO%20FOTOGR%C3%81FICO%20INCIDENTE_anonymous.pdf</t>
  </si>
  <si>
    <t>06:06AM</t>
  </si>
  <si>
    <t>JUAN CAMILO HERRERA</t>
  </si>
  <si>
    <t>Siendo las 06:06am recibo video llamada del conductor Juan Camilo Herrera donde me informa que tuvo un incidente de transito. Estando en movimiento un vehículo tipo camión planchón cargado con madera sobredimensionada arroja un objeto metálico que al parecer se reventó de la sujeción de la carga y golpeo el panorámico de la camioneta LKK245. Este ocasiono daño al panorámico (fisuras) por lo que se detiene para verificar lo sucedido, identificar el conductor y vehículo involucrado. Se le indica tomar fotos de la novedad, informar si existen lesionados por el evento. A lo cual me informa que su integridad y la del funcionario se encuentran bien, no hay ninguna persona afectada y que solo son daños materiales mínimos. Adicional, el funcionario se comunica con su empleador para que asignen otro vehículo o si reprograman la actividad que iban a realizar. Al conocer esto, se procede a interactuar con las personas del camión (Conductor y propietario), quienes manifiestan su voluntad de pagar y reparar el daño de inmediato. Por lo que solicitan la posibilidad de que la camioneta pudiese asistir de inmediato a talleres conocidos para su inmediata reparación. Al conocer esta propuesta el funcionario informa que desde su oficina le reprograman la actividad, permitiendo que el conductor lo lleve hasta su domicilio y luego pase a taller para el cambio del panorámico. El conductor informa siendo las 10:03am que la novedad fue solucionada, el vidrio instalado y se dirige a la empresa para quedar a disposición de servicio.</t>
  </si>
  <si>
    <t>Una vez el vehículo llega a patio Emprestur se dialoga de nuevo con el conductor, corroborando que los hechos iniciales e informados por este sean los mismos y que no tengan variación alguna, a lo cual todo corresponde. Verifico la instalación del panorámico afectado y no presenta novedad.</t>
  </si>
  <si>
    <t>https://emprestur-my.sharepoint.com/personal/alejandra_betancur_emprestur_com/Documents/Aplicaciones/Microsoft%20Forms/INFORMACI%C3%93N%20NOVEDAD%20_%20ACCIDENTES%2026042022%20(2)/SOPORTES%20PARA%20ANEXAR/WhatsApp%20Image%202025-11-28%20at%209.11.44%20AM_anonymous.jpeg; https://emprestur-my.sharepoint.com/personal/alejandra_betancur_emprestur_com/Documents/Aplicaciones/Microsoft%20Forms/INFORMACI%C3%93N%20NOVEDAD%20_%20ACCIDENTES%2026042022%20(2)/SOPORTES%20PARA%20ANEXAR/WhatsApp%20Image%202025-11-28%20at%2010.03.06%20AM_anonymous.jpeg; https://emprestur-my.sharepoint.com/personal/alejandra_betancur_emprestur_com/Documents/Aplicaciones/Microsoft%20Forms/INFORMACI%C3%93N%20NOVEDAD%20_%20ACCIDENTES%2026042022%20(2)/SOPORTES%20PARA%20ANEXAR/WhatsApp%20Image%202025-11-28%20at%209.11.53%20AM_anonymous.jpeg; https://emprestur-my.sharepoint.com/personal/alejandra_betancur_emprestur_com/Documents/Aplicaciones/Microsoft%20Forms/INFORMACI%C3%93N%20NOVEDAD%20_%20ACCIDENTES%2026042022%20(2)/SOPORTES%20PARA%20ANEXAR/WhatsApp%20Image%202025-11-28%20at%209.06.44%20AM_anonymous.jpeg; https://emprestur-my.sharepoint.com/personal/alejandra_betancur_emprestur_com/Documents/Aplicaciones/Microsoft%20Forms/INFORMACI%C3%93N%20NOVEDAD%20_%20ACCIDENTES%2026042022%20(2)/SOPORTES%20PARA%20ANEXAR/WhatsApp%20Image%202025-11-28%20at%209.03.00%20AM_anonymous.jpeg; https://emprestur-my.sharepoint.com/personal/alejandra_betancur_emprestur_com/Documents/Aplicaciones/Microsoft%20Forms/INFORMACI%C3%93N%20NOVEDAD%20_%20ACCIDENTES%2026042022%20(2)/SOPORTES%20PARA%20ANEXAR/WhatsApp%20Image%202025-11-28%20at%206.37.32%20AM_anonymous.jpeg; https://emprestur-my.sharepoint.com/personal/alejandra_betancur_emprestur_com/Documents/Aplicaciones/Microsoft%20Forms/INFORMACI%C3%93N%20NOVEDAD%20_%20ACCIDENTES%2026042022%20(2)/SOPORTES%20PARA%20ANEXAR/WhatsApp%20Image%202025-11-28%20at%206.37.11%20AM_anonymous.jpeg; https://emprestur-my.sharepoint.com/personal/alejandra_betancur_emprestur_com/Documents/Aplicaciones/Microsoft%20Forms/INFORMACI%C3%93N%20NOVEDAD%20_%20ACCIDENTES%2026042022%20(2)/SOPORTES%20PARA%20ANEXAR/WhatsApp%20Image%202025-11-28%20at%206.36.58%20AM_anonymous.jpeg; https://emprestur-my.sharepoint.com/personal/alejandra_betancur_emprestur_com/Documents/Aplicaciones/Microsoft%20Forms/INFORMACI%C3%93N%20NOVEDAD%20_%20ACCIDENTES%2026042022%20(2)/SOPORTES%20PARA%20ANEXAR/WhatsApp%20Image%202025-11-28%20at%206.12.05%20AM_anonymous.jpeg</t>
  </si>
  <si>
    <t>LEIDY JULIETH HIGUITA BUSTAMANTE</t>
  </si>
  <si>
    <t>19:10</t>
  </si>
  <si>
    <t>LPK784</t>
  </si>
  <si>
    <t>CIENCIA Y TECNOLOGÍA</t>
  </si>
  <si>
    <t>1298</t>
  </si>
  <si>
    <t xml:space="preserve">DARIO  MANCILLA TOVAR </t>
  </si>
  <si>
    <t>10182967</t>
  </si>
  <si>
    <t>300 3790499</t>
  </si>
  <si>
    <t>JOHANA FLOREZ - RYUCHI MURAYMA - FREDDY ALONSO VAHOS</t>
  </si>
  <si>
    <t>JESÚS CASTRO</t>
  </si>
  <si>
    <t xml:space="preserve">En vía Cocorná una moto salió sin percatarse si en la vía había otros vehículos, lo cual ocasiono que el vehículo de marca PRADO frenará de manera repentina, de igual manera vehículo tipo DUSTER con placas LPK784 también freno, posterior a esto el vehículo tipo NPR con placas NUX444 colisiona con la DUSTER, ya que no tuvo mucho tiempo de reacción frente a la maniobra de los vehículos que frenaron de imprevisto para evitar un accidente de mayor proporción </t>
  </si>
  <si>
    <t>Me comunico con el conductor para escuchar la versión de los hechos, dado que el reporte del accidente me lo realizó el propietario del vehículo. Al estar en contacto con el conductor le pregunto por el estado de él y de los ocupantes, a lo cual me indican que todos están bien, que solo fue un golpe en la parte trasera. Procede a ponerme en contacto con uno de los funcionarios, los cuales me informan que están bien y que estarán esperando al abogado de la asegurada y que ellos se quedarán con el conductor para retornar a Medellín. NO se realizó cambio de vehículo debido a que se encontraban a 3h de la cuidad, además de que los funcionarios indicaron que no era necesario hacer el reemplazo.</t>
  </si>
  <si>
    <t>6:15</t>
  </si>
  <si>
    <t>GTX204</t>
  </si>
  <si>
    <t>JUAN GUILLERMO VELEZ HOYOS</t>
  </si>
  <si>
    <t>71777107</t>
  </si>
  <si>
    <t>3218726418</t>
  </si>
  <si>
    <t>"Venía por la variante de Caldas sentido sur - norte a la altura de El Tablazo y tuvimos un choque múltiple entre 4 vehículos y una moto, yo quedé de tercero pero a ninguno nos pasó nada"</t>
  </si>
  <si>
    <t xml:space="preserve">Se le indica al conductor comunicarse con la aseguradora para que atiendan en el lugar y reciba asesoría </t>
  </si>
  <si>
    <t>https://emprestur-my.sharepoint.com/personal/alejandra_betancur_emprestur_com/Documents/Aplicaciones/Microsoft%20Forms/INFORMACI%C3%93N%20NOVEDAD%20_%20ACCIDENTES%2026042022%20(2)/SOPORTES%20PARA%20ANEXAR/WhatsApp%20Video%202026-02-16%20at%2007.31.16_anonymous.mp4</t>
  </si>
  <si>
    <t>Juliana Carvajal</t>
  </si>
  <si>
    <t>2.30 pm</t>
  </si>
  <si>
    <t xml:space="preserve">Paola Arcila </t>
  </si>
  <si>
    <t>1004671855</t>
  </si>
  <si>
    <t>3001832029</t>
  </si>
  <si>
    <t>*</t>
  </si>
  <si>
    <t>Reportar el incidente al área SST</t>
  </si>
  <si>
    <t>6:51</t>
  </si>
  <si>
    <t>FVY879</t>
  </si>
  <si>
    <t>SDTP-00066</t>
  </si>
  <si>
    <t>WILLIAM ALBERTO ESPINAL BOTERO</t>
  </si>
  <si>
    <t>98571036</t>
  </si>
  <si>
    <t>3005501654</t>
  </si>
  <si>
    <t>Llega correo con la siguiente información:
"Buenos días, estimados:
El día de hoy se presenta incidente vehícular por choque simple entre los vehículos de placas  FVY879 de Ingetec y JXT154 de la empresa Emprestur. 
¿Que sucedió?:
El conductor del vehículo de placas FVY879 de la empresa Emprestur se encontraba dando reversa en el parqueadero del casino Cuní, el conductor de la camioneta de placas JXT154 de Ingetec activa la bocina para advertir al conductor que retrocedía del posible impacto, sin embargo el conductor hace caso omiso a la bocina e impactó la camioneta de Ingetec que se encontraba detenida.
El conductor de la camioneta FVY879 baja del vehículo y arremete de forma grosera contra el conductor de Ingetec, no espera para revisar los daños y se va del lugar indicando que tiene afán. (Adjunto evidencia fotográfica de personal que presenció el incidente)"</t>
  </si>
  <si>
    <t>Se envía correo con la novedad a SST y Talento Humano para que sea citado el conductor y dar la versión de lo hechos</t>
  </si>
  <si>
    <t>https://emprestur-my.sharepoint.com/personal/alejandra_betancur_emprestur_com/Documents/Aplicaciones/Microsoft%20Forms/INFORMACI%C3%93N%20NOVEDAD%20_%20ACCIDENTES%2026042022%20(2)/SOPORTES%20PARA%20ANEXAR/FVY879-INCIDENTE%20PHI_anonymous.png; https://emprestur-my.sharepoint.com/personal/alejandra_betancur_emprestur_com/Documents/Aplicaciones/Microsoft%20Forms/INFORMACI%C3%93N%20NOVEDAD%20_%20ACCIDENTES%2026042022%20(2)/SOPORTES%20PARA%20ANEXAR/FVY879-INCIDENTE%20PHI2_anonymous.png; https://emprestur-my.sharepoint.com/personal/alejandra_betancur_emprestur_com/Documents/Aplicaciones/Microsoft%20Forms/INFORMACI%C3%93N%20NOVEDAD%20_%20ACCIDENTES%2026042022%20(2)/SOPORTES%20PARA%20ANEXAR/2026-02-20%20Versi%C3%B3n%20escrita%20de%20incidentes%20Mari_anonymous.pdf</t>
  </si>
  <si>
    <t>13:42 HORAS</t>
  </si>
  <si>
    <t>GTY542</t>
  </si>
  <si>
    <t>no aplica</t>
  </si>
  <si>
    <t>ROJAS GUZMAN JUAN CARLOS</t>
  </si>
  <si>
    <t>1128628081</t>
  </si>
  <si>
    <t>3146394301</t>
  </si>
  <si>
    <t>El dia miercoles 25 de febrero de 2026 siendo las 13:40 horas aproximadamente mientras el conductor Juan Carlos Rojas se desplazaba de la Dorada hacia Central Miel en la Master de placas GTY542 con los usuarios Walter Valencia, Elkin Valencia, Fredy Ortiz, Juan Felipe Saldarriaga y Claudia Rojas, a la altura del sector conocido como el km 30 corregimiento de Isaza sobre la Variante en la recta el conductor realizo maniobra de adelantamiento a un vehículo tipo camion y cuando ya estaba terminando de sobrepasarlo aparecio de frente una moto saliendo de la curva, esta situacion genero que el conductor Juan Carlos tomara la desicion de adelantar el camion incorporandose de manera inmediata al carril golpeando la parte trasera derecha de la Master contra el camion.
No hubo afectacion a conductores, usuarios o terceros y tampoco afectacion física al camion. Solo se evidencia un golpe y rayones a la parte lateral derecha de la Master cerca al stop.</t>
  </si>
  <si>
    <t>Se reporta a Jorge Correa y personal SST de Central Miel ISAGEN (Paulo Campiño)</t>
  </si>
  <si>
    <t>https://emprestur-my.sharepoint.com/personal/alejandra_betancur_emprestur_com/Documents/Aplicaciones/Microsoft%20Forms/INFORMACI%C3%93N%20NOVEDAD%20_%20ACCIDENTES%2026042022%20(2)/SOPORTES%20PARA%20ANEXAR/WhatsApp%20Image%202026-02-25%20at%203.03.13%20PM_anonymous.jpeg; https://emprestur-my.sharepoint.com/personal/alejandra_betancur_emprestur_com/Documents/Aplicaciones/Microsoft%20Forms/INFORMACI%C3%93N%20NOVEDAD%20_%20ACCIDENTES%2026042022%20(2)/SOPORTES%20PARA%20ANEXAR/WhatsApp%20Image%202026-02-25%20at%203.03.14%20PM_anonymous.jpeg; https://emprestur-my.sharepoint.com/personal/alejandra_betancur_emprestur_com/Documents/Aplicaciones/Microsoft%20Forms/INFORMACI%C3%93N%20NOVEDAD%20_%20ACCIDENTES%2026042022%20(2)/SOPORTES%20PARA%20ANEXAR/WhatsApp%20Image%202026-02-25%20at%203.03.15%20PM_anonymous.jpeg</t>
  </si>
  <si>
    <t>10:54 a.m.</t>
  </si>
  <si>
    <t>EQT285</t>
  </si>
  <si>
    <t>Diego Fernando Tavera</t>
  </si>
  <si>
    <t>71941297</t>
  </si>
  <si>
    <t>3235848096</t>
  </si>
  <si>
    <t>Yo me encontraba transportando una funcionaria de EPM estaba por el rio voy para Barbosa y una gamina le lanzó una piedra al vehículo, yo me baje a ver que le había pasado al carro y los gamines que estaban ahí le pegaron a ella, no me pude quedar mucho ahí porque estaba con funcionaria y tenia que llevarla.</t>
  </si>
  <si>
    <t>Se toma la versión de los hechos, e indica que los daños solo fueron materiales y no afectaba la prestación del servicio</t>
  </si>
  <si>
    <t>https://emprestur-my.sharepoint.com/personal/alejandra_betancur_emprestur_com/Documents/Aplicaciones/Microsoft%20Forms/INFORMACI%C3%93N%20NOVEDAD%20_%20ACCIDENTES%2026042022%20(2)/SOPORTES%20PARA%20ANEXAR/WhatsApp%20Image%202026-02-26%20at%2011.40.12%20AM_anonymous.jpeg</t>
  </si>
  <si>
    <t>4:10 p.m.</t>
  </si>
  <si>
    <t>Jose Marcelino Zambrano</t>
  </si>
  <si>
    <t>4882920</t>
  </si>
  <si>
    <t>3046361976</t>
  </si>
  <si>
    <t>Buenas tardes : Mi nombre es José Zambrano le aclaro los hechos del golpe al vehículo JYO404 dando reversa en el parqueadero golpee el bus con el vehículo GTY556 con la carrocería . Luego salí hacer la ruta metro x la tarde ya terminando el viaje de las 4:10 pm regreso x el viaje 5:10 pm entrando a la glorieta de Monterrey había una marcha de personas x la avenida las vegas ya que un guarda de tránsito me mando a meterme en contra vía x la glorieta hacia la avenida regional y venía un motorizado con un tubo atravesado en la parrilla de la moto y me golpeo con el tubo que llevaba en la parrilla de la moto donde yo había golpeado el carro y me termino de arrancar el bomper dándose a la fuga .att: José Marcelino Zambrano Sandoval.</t>
  </si>
  <si>
    <t>Se recibe las fotos de la novedad</t>
  </si>
  <si>
    <t>https://emprestur-my.sharepoint.com/personal/alejandra_betancur_emprestur_com/Documents/Aplicaciones/Microsoft%20Forms/INFORMACI%C3%93N%20NOVEDAD%20_%20ACCIDENTES%2026042022%20(2)/SOPORTES%20PARA%20ANEXAR/REGISTRO%20FOTOGR%C3%81FICO%20JYO404%202_anonymous.pdf</t>
  </si>
  <si>
    <t>10:15 a.m.</t>
  </si>
  <si>
    <t>Diego Fernando Tavera Gomez</t>
  </si>
  <si>
    <t>Me encontraba parqueado en el edificio inteligente de EPM, esperando la funcionaria cuando paso un carro de la basura y me cayó en el ojo, me atendió una paramédico que estaba cerca donde me encontraba, me lavaron el ojo pero yo sigo sintiendo molestia, entonces me voy al centro medico</t>
  </si>
  <si>
    <t>Debido a que indica que sigue con la molestia se le indica que vaya al centro medico</t>
  </si>
  <si>
    <t>9:25 a.m.</t>
  </si>
  <si>
    <t>Yaid Alexis Serna Zuluaga</t>
  </si>
  <si>
    <t>1017153519</t>
  </si>
  <si>
    <t xml:space="preserve">Yo me encontraba con el ingeniero nos encontrábamos por el alto de matasanos, para ir a Valparaíso, y en una curva me encontré un motociclista invadiendo mi carril completamente, a alta velocidad y en el momento de esquivarlo, fue cuando el vehículo terminó encunetado, al borde de la montaña, en esa maniobra se rayó el llanta derecha y se rompió la luna del retrovisor, y continué con el servicio. </t>
  </si>
  <si>
    <t>Se le realiza seguimiento satelital al vehículo, y se le realiza acompañamiento.</t>
  </si>
  <si>
    <t>https://emprestur-my.sharepoint.com/personal/alejandra_betancur_emprestur_com/Documents/Aplicaciones/Microsoft%20Forms/INFORMACI%C3%93N%20NOVEDAD%20_%20ACCIDENTES%2026042022%20(2)/SOPORTES%20PARA%20ANEXAR/REGISTRO%20FOTOGR%C3%81FICO%20KTN224_anonymous.pdf</t>
  </si>
  <si>
    <t>JULIAN DAVID VALENCIA BALLESTERO</t>
  </si>
  <si>
    <t>12:00</t>
  </si>
  <si>
    <t>NUW974</t>
  </si>
  <si>
    <t xml:space="preserve">	TR2603269</t>
  </si>
  <si>
    <t>ROBERTO FABIO GALVIS VALENCIA</t>
  </si>
  <si>
    <t>4416185</t>
  </si>
  <si>
    <t>3225671638</t>
  </si>
  <si>
    <t>JOHN ALEXANDER VILLAMIL PATIÑO</t>
  </si>
  <si>
    <t xml:space="preserve"> 3217014868</t>
  </si>
  <si>
    <t>Reporte de Incidente
Se informa que el incidente ocurrió con un camión grua, vehículo que se encuentra prestando servicio en labores con ISA. Es importante resaltar que ya se han presentado dos incidentes previos con este mismo vehículo.
El hecho ocurrió cuando se desplazaba por la vía en dirección hacia Ínsula. Al tomar una curva, el camión invadió mi carril y con exceso de velocidad, quedando prácticamente encima de mi vehículo. Ante esta situación, reacciono de manera inmediata realizando una maniobra evasiva para evitar la colisión.
Como consecuencia de la maniobra, el vehículo se salió hacia la cuneta, lo que ocasionó daños mecánicos, específicamente la torsión del plato del eje.
Cabe resaltar que, de no haber realizado la maniobra de esquiva, el impacto se habría producido directamente en el lado donde se encontraba el funcionario, lo que pudo haber generado consecuencias graves para su integridad.</t>
  </si>
  <si>
    <t>Se informa la novedad a CHEC con relación al camión involucrado en el incidente, teniendo en cuenta que dicho vehículo se encuentra prestando servicio dentro de un contrato con esta entidad. Según lo informado, el cliente correspondiente es HMV, por lo cual se procede a poner en conocimiento la situación para las verificaciones y acciones que consideren pertinentes.</t>
  </si>
  <si>
    <t>https://emprestur-my.sharepoint.com/personal/alejandra_betancur_emprestur_com/Documents/Aplicaciones/Microsoft%20Forms/INFORMACI%C3%93N%20NOVEDAD%20_%20ACCIDENTES%2026042022%20(2)/SOPORTES%20PARA%20ANEXAR/WhatsApp%20Image%202026-03-05%20at%2012.52.49%20PM_anonymous.jpeg; https://emprestur-my.sharepoint.com/personal/alejandra_betancur_emprestur_com/Documents/Aplicaciones/Microsoft%20Forms/INFORMACI%C3%93N%20NOVEDAD%20_%20ACCIDENTES%2026042022%20(2)/SOPORTES%20PARA%20ANEXAR/WhatsApp%20Image%202026-03-05%20at%2012.52.48%20PM%20(2)_anonymous.jpeg; https://emprestur-my.sharepoint.com/personal/alejandra_betancur_emprestur_com/Documents/Aplicaciones/Microsoft%20Forms/INFORMACI%C3%93N%20NOVEDAD%20_%20ACCIDENTES%2026042022%20(2)/SOPORTES%20PARA%20ANEXAR/WhatsApp%20Image%202026-03-05%20at%2012.52.48%20PM%20(1)_anonymous.jpeg; https://emprestur-my.sharepoint.com/personal/alejandra_betancur_emprestur_com/Documents/Aplicaciones/Microsoft%20Forms/INFORMACI%C3%93N%20NOVEDAD%20_%20ACCIDENTES%2026042022%20(2)/SOPORTES%20PARA%20ANEXAR/WhatsApp%20Image%202026-03-05%20at%2012.52.48%20PM_anonymous.jpeg; https://emprestur-my.sharepoint.com/personal/alejandra_betancur_emprestur_com/Documents/Aplicaciones/Microsoft%20Forms/INFORMACI%C3%93N%20NOVEDAD%20_%20ACCIDENTES%2026042022%20(2)/SOPORTES%20PARA%20ANEXAR/WhatsApp%20Image%202026-03-05%20at%2012.52.45%20PM%20(2)_anonymous.jpeg; https://emprestur-my.sharepoint.com/personal/alejandra_betancur_emprestur_com/Documents/Aplicaciones/Microsoft%20Forms/INFORMACI%C3%93N%20NOVEDAD%20_%20ACCIDENTES%2026042022%20(2)/SOPORTES%20PARA%20ANEXAR/WhatsApp%20Image%202026-03-05%20at%2012.52.45%20PM%20(1)_anonymous.jpeg; https://emprestur-my.sharepoint.com/personal/alejandra_betancur_emprestur_com/Documents/Aplicaciones/Microsoft%20Forms/INFORMACI%C3%93N%20NOVEDAD%20_%20ACCIDENTES%2026042022%20(2)/SOPORTES%20PARA%20ANEXAR/WhatsApp%20Image%202026-03-05%20at%2012.52.45%20PM_anonymous.jpeg</t>
  </si>
  <si>
    <t>16:37</t>
  </si>
  <si>
    <t>ESR661</t>
  </si>
  <si>
    <t>SDTP-00069</t>
  </si>
  <si>
    <t>HUGO ANDRES SANCHEZ MONTOYA</t>
  </si>
  <si>
    <t>1026134434</t>
  </si>
  <si>
    <t>3122802780</t>
  </si>
  <si>
    <t>"Estaba reversando en el parqueadero de Cuní y sentí un golpe en la parte trasera y era que el otro vehículo también estaba reversando y nos dimos"</t>
  </si>
  <si>
    <t>Cuando el conductor reportó ya había gestionado todo lo pertinente en el campamento con el personal encargado</t>
  </si>
  <si>
    <t>https://emprestur-my.sharepoint.com/personal/alejandra_betancur_emprestur_com/Documents/Aplicaciones/Microsoft%20Forms/INFORMACI%C3%93N%20NOVEDAD%20_%20ACCIDENTES%2026042022%20(2)/SOPORTES%20PARA%20ANEXAR/WhatsApp%20Video%202026-03-04%20at%2018.08.12_anonymous.mp4</t>
  </si>
  <si>
    <t>7:19 a.m.</t>
  </si>
  <si>
    <t>Flota Propia</t>
  </si>
  <si>
    <t>Juan Pablo Gonzalez Padilla</t>
  </si>
  <si>
    <t>Me asignaron un servicio a las 7:19 a.m., para el barrio la candelaria, en el parque Llinares, eso es en el Bronx de Medellín la muchacha se monta en el vehículo a las 7:34, para llevarla a la registraduría que queda en el 20 de Julio por san Javier, la espere y luego la lleve a las 8:50 a.m., la lleve a la fiscalía general de la nación, ya la volví a dejar en el barrio la Candelaria a las 9:15 a.m., durante los desplazamientos la muchacha tosía mucha y yo mantuve los vidrios del vehículo arriba, no tenia tapabocas en el momento.</t>
  </si>
  <si>
    <t>Se reporta a SST por llamada sobre el incidente sobre una posible sospecha de persona atendida por los conductores por tuberculosis.</t>
  </si>
  <si>
    <t>14:13 p.m.</t>
  </si>
  <si>
    <t>Sneider Londoño Guzmán</t>
  </si>
  <si>
    <t>71226535</t>
  </si>
  <si>
    <t>3136171981</t>
  </si>
  <si>
    <t>El día de ayer 10/03/2026 a las 14:13 p.m., me dirigí para Salud Total de San Diego a recoger a la usuaria, de ahí después de recogerla salimos para la fiscalia, en la fiscalia nos tocó cambiar de ruta para la vivienda de ella que es en el centro, de ahí del centro arrancamos para la playa al Epifarma a reclamar una droga, ahí la esperé ella no hacia sino toser y toser, con los vidrios cerrados por lo que estaba lloviendo no habia forma de abrir vidrios y ella tosia y tosia, fuera de eso le presté el celular como unas 6 veces ya que como ella no tenia celular en la agencia me llamaban y me indicaban que la pasara al celular, la deje en el centro a las 16:42 p.m.</t>
  </si>
  <si>
    <t>Se les solicita el reporte de cuando sucedieron los hechos, y se les refuerza la indicación de las coordinadoras de CAH sobre el lavado del vehiculo y el de ir a bañarse y cambiarse de ropa</t>
  </si>
  <si>
    <t>11:01 a.m.</t>
  </si>
  <si>
    <t>flota propia</t>
  </si>
  <si>
    <t>Mauricio Alberto Herrera Palacio</t>
  </si>
  <si>
    <t>98522986</t>
  </si>
  <si>
    <t>3108865523</t>
  </si>
  <si>
    <t>Buenas tardes:en el mencionado día, yo Mauricio Herrera palacio en Calidad de colaborador en el parqueadero y con plena facultad dada por el jefe de mtto. Reversando la camioneta JYO420 colisione con el manubrio de una bicicleta que se encontraba en la celda de parqueo y perdiendo visión una vez con el objeto de choque, ya cuadrado el vehículo , me bajé para revisar y efectivamente con una punta de manubrio de la bicicleta hice el daño.</t>
  </si>
  <si>
    <t>Se revisa el estado del daño del vehículo.</t>
  </si>
  <si>
    <t>https://emprestur-my.sharepoint.com/personal/alejandra_betancur_emprestur_com/Documents/Aplicaciones/Microsoft%20Forms/INFORMACI%C3%93N%20NOVEDAD%20_%20ACCIDENTES%2026042022%20(2)/SOPORTES%20PARA%20ANEXAR/REGISTRO%20FOTOGRAFICO%20JYO420_anonymous.pdf</t>
  </si>
  <si>
    <t>8:05 a.m.</t>
  </si>
  <si>
    <t>Frey Jovan Alberto Londoño</t>
  </si>
  <si>
    <t>98502321</t>
  </si>
  <si>
    <t>3023818072</t>
  </si>
  <si>
    <t>Es para decirle de un incidente que me pasó esta mañana en mi casa cuando fui a sacar el carro a las 8:05 a.m., se me rodó y se me daño la puerta de atrás y un poco el bomper trasero eso fue con la ventana y la placa del gas de la casa</t>
  </si>
  <si>
    <t>Se recibe la novedad por parte del conductor y queda a la espera de indicaciones para la reparación</t>
  </si>
  <si>
    <t>No se reporta</t>
  </si>
  <si>
    <t>FVY537</t>
  </si>
  <si>
    <t>SEBASTIAN VELASQUEZ CADAVID</t>
  </si>
  <si>
    <t>1128460588</t>
  </si>
  <si>
    <t>3013294390</t>
  </si>
  <si>
    <t>El conductor sólo informa que, reversando el bomper se le enredó en un pasamanos y se desencajó de la estructura reventándolo en una punta</t>
  </si>
  <si>
    <t>https://emprestur-my.sharepoint.com/personal/alejandra_betancur_emprestur_com/Documents/Aplicaciones/Microsoft%20Forms/INFORMACI%C3%93N%20NOVEDAD%20_%20ACCIDENTES%2026042022%20(2)/SOPORTES%20PARA%20ANEXAR/WhatsApp%20Image%202026-03-16%20at%2011.19.31_anonymous.jpeg</t>
  </si>
  <si>
    <t>Didier de Jesus Roldan Gaviria</t>
  </si>
  <si>
    <t>98636087</t>
  </si>
  <si>
    <t>3116495275</t>
  </si>
  <si>
    <t>En la mañana del día 20 de marzo de 2026, mientras me desplazaba por el sector de Pinsqui en dirección a la Central Jaguas, conduciendo el vehículo de placa GDZ086 y sin pasajeros a bordo, se presentó un incidente en la vía.
En sentido contrario descendía un vehículo tipo volqueta de color rojo, el cual transitaba a alta velocidad. Con el fin de ceder el paso y evitar una posible colisión, procedí a orillarme hacia el costado derecho de la vía.
Durante esta maniobra, me aproximé demasiado al borde de la carretera, sin percatarme de la presencia de un palo oculto entre el rastrojo. Este elemento impactó contra el vehículo, ocasionando la ruptura de un vidrio ubicado en el costado derecho, específicamente en la puerta de acceso de pasajeros.
Consecuencias:
Daño material: ruptura de un vidrio lateral derecho del vehículo.
No se presentaron personas lesionadas.
Observaciones:
No fue posible identificar la placa del vehículo tipo volqueta involucrado, debido a la rapidez con la que ocurrieron los hechos.</t>
  </si>
  <si>
    <t>realiza la toma de versión</t>
  </si>
  <si>
    <t>https://emprestur-my.sharepoint.com/personal/alejandra_betancur_emprestur_com/Documents/Aplicaciones/Microsoft%20Forms/INFORMACI%C3%93N%20NOVEDAD%20_%20ACCIDENTES%2026042022%20(2)/SOPORTES%20PARA%20ANEXAR/REGISTRO%20FOTOGR%C3%81FICO%20GDZ086_anonymous.pdf</t>
  </si>
  <si>
    <t>No se tiene información</t>
  </si>
  <si>
    <t>NNN114</t>
  </si>
  <si>
    <t>FABIO NELSON CADAVID GOMEZ</t>
  </si>
  <si>
    <t>9977142</t>
  </si>
  <si>
    <t>3007501624</t>
  </si>
  <si>
    <t xml:space="preserve">Se recibe mensaje el domingo en la mañana donde el conductor reporta accidente porque un motocarro invadió su carril y al preguntarle que si le había pasado algo manifiesta que no y al preguntar por el conductor del otro vehículo informa que falleció camino al hospital.
</t>
  </si>
  <si>
    <t>Desde ese día estoy pendiente de la información completa de lo sucedido (fecha, hora, lugar exacto, lesionados, etc.) para hacer el reporte por este medio, pero no ha sido posible</t>
  </si>
  <si>
    <t>https://emprestur-my.sharepoint.com/personal/alejandra_betancur_emprestur_com/Documents/Aplicaciones/Microsoft%20Forms/INFORMACI%C3%93N%20NOVEDAD%20_%20ACCIDENTES%2026042022%20(2)/SOPORTES%20PARA%20ANEXAR/WhatsApp%20Image%202026-03-24%20at%2015.14.35_anonymous.jpeg; https://emprestur-my.sharepoint.com/personal/alejandra_betancur_emprestur_com/Documents/Aplicaciones/Microsoft%20Forms/INFORMACI%C3%93N%20NOVEDAD%20_%20ACCIDENTES%2026042022%20(2)/SOPORTES%20PARA%20ANEXAR/WhatsApp%20Image%202026-03-24%20at%2015.14.35%20(1)_anonymous.jpeg; https://emprestur-my.sharepoint.com/personal/alejandra_betancur_emprestur_com/Documents/Aplicaciones/Microsoft%20Forms/INFORMACI%C3%93N%20NOVEDAD%20_%20ACCIDENTES%2026042022%20(2)/SOPORTES%20PARA%20ANEXAR/WhatsApp%20Image%202026-03-24%20at%2015.14.35%20(2)_anonymous.jpeg; https://emprestur-my.sharepoint.com/personal/alejandra_betancur_emprestur_com/Documents/Aplicaciones/Microsoft%20Forms/INFORMACI%C3%93N%20NOVEDAD%20_%20ACCIDENTES%2026042022%20(2)/SOPORTES%20PARA%20ANEXAR/WhatsApp%20Image%202026-03-24%20at%2015.14.35%20(3)_anonymous.jpeg</t>
  </si>
  <si>
    <t>12:18 p.m.</t>
  </si>
  <si>
    <t xml:space="preserve">Flota Propia </t>
  </si>
  <si>
    <t>CARLOS MARIO GUZMAN LOTERO</t>
  </si>
  <si>
    <t>1017154790</t>
  </si>
  <si>
    <t>3136882386</t>
  </si>
  <si>
    <t>Buenas tardes, me encontraba en la sede del 123 para salir a hacer un desplazamiento, cuando me dispongo a salir al otro carril por la izquierda, el vehículo que iba adelante deja rodar el carro y me le pega al bómper del vehículo.</t>
  </si>
  <si>
    <t>Se le toma la versión inicial, y se realiza acompañamiento sobre la negociación del daño</t>
  </si>
  <si>
    <t>https://emprestur-my.sharepoint.com/personal/alejandra_betancur_emprestur_com/Documents/Aplicaciones/Microsoft%20Forms/INFORMACI%C3%93N%20NOVEDAD%20_%20ACCIDENTES%2026042022%20(2)/SOPORTES%20PARA%20ANEXAR/REGISTRO%20FOTOGRAFICO%20LKL764_anonymous.pdf</t>
  </si>
  <si>
    <t>4:20 PM</t>
  </si>
  <si>
    <t>PXK627</t>
  </si>
  <si>
    <t>MASIVO SAN CARLOS - MEDELLIN</t>
  </si>
  <si>
    <t>LEONEL ALEXANDER VARGAS GARCIA</t>
  </si>
  <si>
    <t>Por medio del presente, me permito notificar un incidente ocurrido el día 01 de abril de 2026, con el conductor LEONEL ALEXANDER VARGAS GARCIA cc 71174247, quien se encuentra asignado al contrato de ISAGEN y operaba el vehículo de placas PXK627 mientras cubría la ruta central San Carlos - Medellín.
Según información del conductor siendo aproximadamente a las 4:20 p.m., en el parque principal del municipio de San Rafael, Antioquia, zona con alta congestión vehicular y presencia de vehículos y motocicletas estacionadas en ambos costados de la vía— realizó una maniobra de giro hacia la derecha con espacio reducido.
Durante dicha maniobra, y debido a las condiciones de visibilidad limitada (retrovisor izquierdo mojado por lluvia y poco margen de maniobra), una motocicleta estacionada en el costado izquierdo fue impactada levemente con el carro de la empresa, ocasionando caída al suelo.
En el lugar se encontraba una agente de tránsito, quien procedió a levantar la motocicleta con el fin de despejar la vía. Según lo manifestado por el conductor, se realizó una revisión visual junto con la agente, sin evidenciar daños aparentes en la motocicleta.
El propietario de la moto no se encontraba en el lugar al momento del incidente, por lo que no fue posible realizar verificación conjunta ni dejar registro directo con el tercero afectado.
Observaciones relevantes:
No se cuenta con registro fotográfico del evento ni del estado de la motocicleta y no contamos con la placa de ella.
La motocicleta fue levantada del suelo por la autoridad de tránsito (según versión del conductor).
Existe riesgo de posible reclamación posterior por parte del propietario, debido a la ausencia de evidencia fotográfica y del tercero en el sitio.
El vehículo de la Empresa PXK627 sufre rayón leve en parte trasera izquierda.  (Ver foto anexa)
El conductor no reporto la novedad de manera inmediata a flota propia, solo hasta las 8:50 pm fuimos enterados por el conductor.
Se anexa version de los hechos del conductor.
Teniendo en cuenta lo anterior, agradezco por favor me ayuden con lo siguiente:
@Angie Arzuza - @Alejandra Betancur
Por favor su ayuda realizando el proceso de investigación del incidente, conforme a los procedimientos establecidos. el evento se registro en el enlace.
@Juridica Emprestur - @Jennifer Posada - @Manuela Jaramillo
Se pone en conocimiento del área jurídica, agencia de seguros y talento humano el presente caso, con el fin de evaluar y anticipar posibles acciones ante una eventual reclamación derivada de este evento.
@Juan Gallo
Por favor nos compartes los videos del evento dado que no logre sacarlos del sistema (no me aparece este vehículo en la plataforma) ademas del registro de velocidad al que iba el vehículo.
Quedo atento a cualquier requerimiento adicional.</t>
  </si>
  <si>
    <t xml:space="preserve">El conductor informo que le reporto el evento a Angie y ella informo que debia reportarnos a flota. </t>
  </si>
  <si>
    <t>13:07 p.m.</t>
  </si>
  <si>
    <t>JRP195</t>
  </si>
  <si>
    <t>Juan Carlos Rojas Guzman</t>
  </si>
  <si>
    <t>Yo salí a tanquear el bus de placas JRP 195 a Norcasia , regresando de tanquear  hacía la central cuando cojo el cruce que viene de la variante hacia la central,  paro a saludar a un compañero que trabaja en el casino y en el momento de abrir la ventanilla del conductor se estalla , en el momento que abro y llegar al tope de la ventanilla, golpea con una esquina del marco de la ventanilla y se estalla.</t>
  </si>
  <si>
    <t>se da las indicaciones de reportar al área de flota propia</t>
  </si>
  <si>
    <t>https://emprestur-my.sharepoint.com/personal/alejandra_betancur_emprestur_com/Documents/Aplicaciones/Microsoft%20Forms/INFORMACI%C3%93N%20NOVEDAD%20_%20ACCIDENTES%2026042022%20(2)/SOPORTES%20PARA%20ANEXAR/REGISTRO%20FOTOGRAFICO%20JRP195_anonymous.pdf</t>
  </si>
  <si>
    <t>9:25 PM</t>
  </si>
  <si>
    <t>NIÑES</t>
  </si>
  <si>
    <t>Buenos días a todos
Espero estén muy bien.
Informamos que el día de Miércoles 8 de abril, aproximadamente a las 9:25 p.m., el conductor LEONARDO ANTONIO BAQUERO LASTRE CC 1047460435 del vehículo de placas GTX035 presentó una novedad al ser impactado por un taxi de placas STW118 en la parte trasera, generando una afectación leve en el bómper.
El conductor del taxi manifestó su intensión de que se llegara a un acuerdo entre las partes por lo cual inicialmente le solicite 300.000 mil pesos por la afectación sin embargo este manifestó no tener esa cantidad de dinero y nos hizo una contrapropuesta por 200.000 mil pesos, recibiendo la suma de $200.000 en efectivo, los cuales serán entregados al área de Tesorería el día de hoy.
Se deja en copia a Contabilidad para que este valor sea tenido en cuenta como ingreso de flota, asociado a la futura reparación del vehículo.
se registra novedad en el enlace. 
Quedamos atentos a sus comentarios.</t>
  </si>
  <si>
    <t>Se llega a acuerdo con el tecero que nos genero afectacion.</t>
  </si>
  <si>
    <t>https://emprestur-my.sharepoint.com/personal/alejandra_betancur_emprestur_com/Documents/Aplicaciones/Microsoft%20Forms/INFORMACI%C3%93N%20NOVEDAD%20_%20ACCIDENTES%2026042022%20(2)/SOPORTES%20PARA%20ANEXAR/FOTOS%20ACCIDENTE%20GTX035._anonymous.pdf</t>
  </si>
  <si>
    <t>Santiago Amaya</t>
  </si>
  <si>
    <t>13:00 horas</t>
  </si>
  <si>
    <t>PXK507</t>
  </si>
  <si>
    <t>1221</t>
  </si>
  <si>
    <t>JORGE ARMANDO ZAPATA SALINAS</t>
  </si>
  <si>
    <t>8032911</t>
  </si>
  <si>
    <t>3106507501</t>
  </si>
  <si>
    <t>Cristhell salcededo</t>
  </si>
  <si>
    <t>.</t>
  </si>
  <si>
    <t>Yo estaba detrás del bus parado en semáforo apenas cambio el semaforo arrancamos el bus giro a la derecha igual yo como estaba buscando un restaurante para la médica mire por la ventanilla izquierda en el momento el bus paro ni me fijé colisione contra el bus</t>
  </si>
  <si>
    <t>Se envia relevo al lugar del accidente y se indica que haga la llamada a la aseguradora</t>
  </si>
  <si>
    <t>https://emprestur-my.sharepoint.com/personal/alejandra_betancur_emprestur_com/Documents/Aplicaciones/Microsoft%20Forms/INFORMACI%C3%93N%20NOVEDAD%20_%20ACCIDENTES%2026042022%20(2)/SOPORTES%20PARA%20ANEXAR/WhatsApp%20Image%202026-04-12%20at%208.09.07%20PM_anonymous.jpeg; https://emprestur-my.sharepoint.com/personal/alejandra_betancur_emprestur_com/Documents/Aplicaciones/Microsoft%20Forms/INFORMACI%C3%93N%20NOVEDAD%20_%20ACCIDENTES%2026042022%20(2)/SOPORTES%20PARA%20ANEXAR/WhatsApp%20Image%202026-04-12%20at%208.09.06%20PM_anonymous.jpeg; https://emprestur-my.sharepoint.com/personal/alejandra_betancur_emprestur_com/Documents/Aplicaciones/Microsoft%20Forms/INFORMACI%C3%93N%20NOVEDAD%20_%20ACCIDENTES%2026042022%20(2)/SOPORTES%20PARA%20ANEXAR/WhatsApp%20Image%202026-04-12%20at%208.09.03%20PM%20(2)_anonymous.jpeg; https://emprestur-my.sharepoint.com/personal/alejandra_betancur_emprestur_com/Documents/Aplicaciones/Microsoft%20Forms/INFORMACI%C3%93N%20NOVEDAD%20_%20ACCIDENTES%2026042022%20(2)/SOPORTES%20PARA%20ANEXAR/WhatsApp%20Image%202026-04-12%20at%208.09.03%20PM%20(1)_anonymous.jpeg; https://emprestur-my.sharepoint.com/personal/alejandra_betancur_emprestur_com/Documents/Aplicaciones/Microsoft%20Forms/INFORMACI%C3%93N%20NOVEDAD%20_%20ACCIDENTES%2026042022%20(2)/SOPORTES%20PARA%20ANEXAR/WhatsApp%20Image%202026-04-12%20at%208.09.03%20PM_anonymous.jpeg; https://emprestur-my.sharepoint.com/personal/alejandra_betancur_emprestur_com/Documents/Aplicaciones/Microsoft%20Forms/INFORMACI%C3%93N%20NOVEDAD%20_%20ACCIDENTES%2026042022%20(2)/SOPORTES%20PARA%20ANEXAR/WhatsApp%20Image%202026-04-12%20at%208.09.02%20PM%20(1)_anonymous.jpeg; https://emprestur-my.sharepoint.com/personal/alejandra_betancur_emprestur_com/Documents/Aplicaciones/Microsoft%20Forms/INFORMACI%C3%93N%20NOVEDAD%20_%20ACCIDENTES%2026042022%20(2)/SOPORTES%20PARA%20ANEXAR/WhatsApp%20Image%202026-04-12%20at%208.09.02%20PM_anonymous.jpeg</t>
  </si>
  <si>
    <t>10:58</t>
  </si>
  <si>
    <t>JYM622</t>
  </si>
  <si>
    <t>2094</t>
  </si>
  <si>
    <t xml:space="preserve"> DAVINSON ARLEY CORREA SUCERQUIA</t>
  </si>
  <si>
    <t>1037776812</t>
  </si>
  <si>
    <t xml:space="preserve">El conductor manifiesta que se le atraviesa un taxi que viene a su lado izquierdo, ocasionado que este frene de inmediato, en medio del freno en seco, dos vehículos lo impactan por la parte trasera... </t>
  </si>
  <si>
    <t>Me comunico con el conductor para preguntar por el estado de salud y por la gravedad del siniestro. 
Reporto de manera inmediata al ARL</t>
  </si>
  <si>
    <t>20:00</t>
  </si>
  <si>
    <t>FWK335</t>
  </si>
  <si>
    <t>NELSON DE JESUS TABORDA GOMEZ</t>
  </si>
  <si>
    <t>70253116</t>
  </si>
  <si>
    <t>3116136770</t>
  </si>
  <si>
    <t>Willian</t>
  </si>
  <si>
    <t>"Iba para mi casa después de haber llevado el carro a lavar y cuando iba por la autopista sentido norte - sur por Zenú al intentar girar a mano derecha un motociclista se adelantó por ese lado y lo alcancé a golpear tirándolo al suelo con la parrillera, después llegó el tránsito y la ambulancia para revisarlos, pero no les pasó nada y a mí me hicieron prueba de alcohol y me inmovilizaron el vehículo y quitaron la licencia ya que me había tomado 2 cervezas y salió positiva"</t>
  </si>
  <si>
    <t>El conductor apenas informó de la novedad el día de hoy enviando una sólo foto de lo sucedido y presenta carta de renuncia</t>
  </si>
  <si>
    <t>https://emprestur-my.sharepoint.com/personal/alejandra_betancur_emprestur_com/Documents/Aplicaciones/Microsoft%20Forms/INFORMACI%C3%93N%20NOVEDAD%20_%20ACCIDENTES%2026042022%20(2)/SOPORTES%20PARA%20ANEXAR/WhatsApp%20Image%202026-04-20%20at%2013.26.31_anonymous.jpeg</t>
  </si>
  <si>
    <t>03:41</t>
  </si>
  <si>
    <t xml:space="preserve">OVIDIO DE JESUS </t>
  </si>
  <si>
    <t>311 7188011</t>
  </si>
  <si>
    <t xml:space="preserve">AUN NO SE ME REPORTAN </t>
  </si>
  <si>
    <t>05:21 a.m.</t>
  </si>
  <si>
    <t>NNN058</t>
  </si>
  <si>
    <t>WILDER PARDO PAMPLONA</t>
  </si>
  <si>
    <t xml:space="preserve">Me desplazaba en el vehículo de placas NNN058 vinculado a la empresa Emprestur siendo propiedad de la flota por la calle 25 sentido oriente occidente para girar hacia la izquierda en la carrera 50, lo cual pongo la respectiva direccional con antelación y cuando giré, la motocicleta que había en la esquina en el pare arrancó y me impactó. </t>
  </si>
  <si>
    <t>Se toma la versión de los hechos</t>
  </si>
  <si>
    <t>5:45 am</t>
  </si>
  <si>
    <t>GTY441</t>
  </si>
  <si>
    <t>LINEA MUJER</t>
  </si>
  <si>
    <t>JUAN JOSE CASTRO</t>
  </si>
  <si>
    <t xml:space="preserve">1026061281 </t>
  </si>
  <si>
    <t>3233816745</t>
  </si>
  <si>
    <t>Por medio del presente me permito reportar la novedad presentada el día lunes 11 de mayo de 2026, relacionada con un incidente vial en el que se vio involucrado el vehículo propio marca Kia de placas GTY441, de Flota propia, conducido por el colaborador Juan José Castro CC 
1026061281 tel: 3233816745.
El hecho ocurrió aproximadamente a las 05:45 a. m., sobre la Autopista Regional, sentido norte-sur, a la altura del sector La Macarena, cuando el conductor se encontraba finalizando su jornada laboral y se dirigía hacia el parqueadero.
De acuerdo con la información reportada, el vehículo transitaba correctamente por el carril derecho, momento en el cual una motocicleta de placas VJF28F, marca Pulser, intentó realizar una maniobra de adelantamiento por el costado derecho. Debido a la ligera curva del sector, al parecer el motociclista no calculó adecuadamente el espacio disponible para completar la maniobra de manera segura.
Durante la maniobra, los elementos laterales de protección de la motocicleta, conocidos como sliders, se engancharon con la estructura del parachoques trasero del vehículo GTY441. Al continuar la marcha, la motocicleta generó tracción sobre el bomper, ocasionando el desprendimiento y deformación total de la defensa trasera del vehículo.
El conductor manifestó haber sentido un fuerte impacto, por lo que procedió a detenerse para verificar la situación. Afortunadamente, no se presentaron personas lesionadas ni caída del motociclista, quien permaneció en el sitio y asumió la responsabilidad por los daños ocasionados.
Como resultado del incidente, el daño material principal corresponde al desprendimiento total y deformación del parachoques trasero del vehículo Kia GTY441.
En el lugar de los hechos se llegó a un acuerdo conciliatorio directo con el conductor de la motocicleta, quien realizó una compensación económica por valor de $380.000, consignada a la cuenta de ahorros de Emprestur S.A. No. 015-182369-26. como se evidencia en el soporte anexo.
El próximo fin de semana se programara la reparación de los daños para no afectar mucho la operación y el cierre administrativo de la novedad.
@Tesoreria - @Leidy Bolivar
Por favor me confirman la recepción del dinero.
@Paola Arcila - @Juliana Carvajal
En tanto realicemos la reparacion del carro les estaremos informando para cruzar este dinero con la factura generada.</t>
  </si>
  <si>
    <t>Se llega acuerdo con el tercero para conciliar la reparacion de los daños y se retorna vehiculo a la operacion para el turno del dia.</t>
  </si>
  <si>
    <t>https://emprestur-my.sharepoint.com/personal/alejandra_betancur_emprestur_com/Documents/Aplicaciones/Microsoft%20Forms/INFORMACI%C3%93N%20NOVEDAD%20_%20ACCIDENTES%2026042022%20(2)/SOPORTES%20PARA%20ANEXAR/FOTOS%20ACCIDENTE%20GTY441_anonymous.pdf</t>
  </si>
  <si>
    <t>julian david valencia ballesteros</t>
  </si>
  <si>
    <t>05:13 am</t>
  </si>
  <si>
    <t>GTX353</t>
  </si>
  <si>
    <t>JOHAN SANCHEZ CANO</t>
  </si>
  <si>
    <t>1054987482</t>
  </si>
  <si>
    <t>3205604676</t>
  </si>
  <si>
    <t>Se informa que el conductor se encontraba desplazándose desde Chinchiná hacia Manizales con el fin de iniciar un servicio programado en dicha ciudad. Durante el trayecto, debido a que la vía se encontraba mojada, al tomar una curva el vehículo presentó deslizamiento en su parte trasera, lo que ocasionó la pérdida de control y posterior salida de la vía hacia un barranco.
Como consecuencia del incidente, el vehículo presenta daños en la parte delantera y trasera. Afortunadamente, el conductor no presenta lesiones ni afectaciones físicas.
Cabe aclarar que, al momento del accidente, el conductor aún no había iniciado formalmente la prestación del servicio, ya que apenas se encontraba desplazándose desde su lugar de residencia hacia el punto de inicio asignado.</t>
  </si>
  <si>
    <t>Se envia vehiculo para atender el servicio que tenia el dia de hoy y se contacta a la propietaria para saber como se encuentra el conductor la cual indica que el daño solo fueron latas</t>
  </si>
  <si>
    <t>https://emprestur-my.sharepoint.com/personal/alejandra_betancur_emprestur_com/Documents/Aplicaciones/Microsoft%20Forms/INFORMACI%C3%93N%20NOVEDAD%20_%20ACCIDENTES%2026042022%20(2)/SOPORTES%20PARA%20ANEXAR/WhatsApp%20Video%202026-05-14%20at%205.13.45%20AM_anonymous.mp4</t>
  </si>
  <si>
    <t>18:10</t>
  </si>
  <si>
    <t>NNN408</t>
  </si>
  <si>
    <t>JUAN CARLOS LOPEZ ARENAS</t>
  </si>
  <si>
    <t>75004811</t>
  </si>
  <si>
    <t>3203774141</t>
  </si>
  <si>
    <t>Buenas tardes Emprestur relato de los hechos del día 16/05/2026 con el vehículo NNN408
El día 16/05/2026 siendo las 18:10 PM aproximadamente me dirigía hacia mi casa después de terminar el servicio. Por la autopista Sur a la altura del municipio de Itagüí exactamente en soya yo pare en el carril central siguiendo el orden en q se desplazaban los otros vehículos  de repente siento un fuerte impacto en parte trasera del vehículo. De inmediato me bajo para verificar la situación y veo que una motocicleta marca pulsar ns200 de placas SNW68H perteneciente al señor Harol Bedoya me impacta el stop trasero derecho reventándole en pedazos se verifica la situación y se observa que el conductor de la motocicleta tenia una leve cortadura. Los hechos ocurren porque el conductor de la moto relato que se le iba adelantar a otro vehículo y cuando vio de frente el vehículo de placas NNN408 no alcanzo a frenar ganándole la velocidad.
En el sitio hace presencia abogado de la aseguradora  donde el conductor de la moto desiste de recibir atencion medica. De inmediato se le informa al señor simon para continuar con el proceso
Se llega al acuerdo de dar 300.000 pesos como abono a la reparacion de la novedad los cuales son entregados a Simon en efectivo junto al acta y el desistimiento.</t>
  </si>
  <si>
    <t>Se realiza acompañamiento por teléfono</t>
  </si>
  <si>
    <t>https://emprestur-my.sharepoint.com/personal/alejandra_betancur_emprestur_com/Documents/Aplicaciones/Microsoft%20Forms/INFORMACI%C3%93N%20NOVEDAD%20_%20ACCIDENTES%2026042022%20(2)/SOPORTES%20PARA%20ANEXAR/REGISTRO%20FOTOGR%C3%81FICO%20NNN408_anonymous.pdf</t>
  </si>
  <si>
    <t>14:05</t>
  </si>
  <si>
    <t>EPM CARGA</t>
  </si>
  <si>
    <t>JUAN FERNANDO ECHEVERRY QUINTERO</t>
  </si>
  <si>
    <t>71382678</t>
  </si>
  <si>
    <t>3004363279</t>
  </si>
  <si>
    <t>EL SEÑOR CONDUCTOR DEL VEHICULO TIPO CAMION DE PLACAS STZ 058 
EN REVERSA C LE ABRE LA COMPUERTA DEL CAMION IMPACTANDO EL VEHÍCULO NLX 112 
EN LA PARTE FRONTAL DEL VEHÍCULO NO C INCUENTRA AUXILIAR AYUDANDOLE A REVERSAR AL SR CONDUCTOR</t>
  </si>
  <si>
    <t xml:space="preserve">Se realiza acompañamiento por celular al conductor </t>
  </si>
  <si>
    <t>https://emprestur-my.sharepoint.com/personal/alejandra_betancur_emprestur_com/Documents/Aplicaciones/Microsoft%20Forms/INFORMACI%C3%93N%20NOVEDAD%20_%20ACCIDENTES%2026042022%20(2)/SOPORTES%20PARA%20ANEXAR/REGISTRO%20FOTOGRAFICO%20NLX112_anonymous.pdf</t>
  </si>
  <si>
    <t>JOHN FREDY CALLLE RESTREPO</t>
  </si>
  <si>
    <t>14:16 HORAS</t>
  </si>
  <si>
    <t>Edwar Alexander Sepúlveda teléfono:  3218585875</t>
  </si>
  <si>
    <t>El día 19 de mayo siendo las 13:30 horas el conductor del Masivo Leonel Vargas inicio servicio Masivo desde Central Miel a Medellín sin usuarios en el vehículo de placas PXK627, cuando pasaba por el sector la Cantera de Mapia después de Isasa observo en la vía una serpiente cruzando y de manera inmediata aciono el freno para no pisar la serpiente, de repente escucho un ruido en la parte trasera del vehículo y por ello accionó el freno de seguridad y desendio del vehiculo para revisar que habia pasado. de esta manera fue cuando observo a dos jovenes levantandose del suelo en una moto porque habian  colicionado contra el vehículo; De inmediato les pregunto que les paso respondieron que nada me preguntaron que porque ahabia frenado repentinamente y les informe que una serpiente estaba cruzando la via y que para no pisarla frene. Comencé a realizar el protocolo de atención de accidentes pero en el lugar no tenía señal de todos modos dejé mensajes de voz al coordinador Fredy Calle y jefe de flota propia. La moto tiene la placa: KVD48E el conductor se llama eduar Alexander Sepúlveda teléfono:  3218585875. Segun informaron la moto no tiene docuemntos por tal motivo no aceptaron acercarse a la Dorada para hacer el reporte con en tidad de transito.</t>
  </si>
  <si>
    <t>Informar al coorrdinador lider y continuar con el desplazamiento.</t>
  </si>
  <si>
    <t>https://emprestur-my.sharepoint.com/personal/alejandra_betancur_emprestur_com/Documents/Aplicaciones/Microsoft%20Forms/INFORMACI%C3%93N%20NOVEDAD%20_%20ACCIDENTES%2026042022%20(2)/SOPORTES%20PARA%20ANEXAR/WhatsApp%20Image%202026-05-20%20at%2011.17.26%20AM%20(1)_anonymous.jpeg; https://emprestur-my.sharepoint.com/personal/alejandra_betancur_emprestur_com/Documents/Aplicaciones/Microsoft%20Forms/INFORMACI%C3%93N%20NOVEDAD%20_%20ACCIDENTES%2026042022%20(2)/SOPORTES%20PARA%20ANEXAR/WhatsApp%20Image%202026-05-20%20at%2011.17.26%20AM_anonymous.jpeg; https://emprestur-my.sharepoint.com/personal/alejandra_betancur_emprestur_com/Documents/Aplicaciones/Microsoft%20Forms/INFORMACI%C3%93N%20NOVEDAD%20_%20ACCIDENTES%2026042022%20(2)/SOPORTES%20PARA%20ANEXAR/WhatsApp%20Image%202026-05-20%20at%2011.17.25%20AM_anonymous.jpeg; https://emprestur-my.sharepoint.com/personal/alejandra_betancur_emprestur_com/Documents/Aplicaciones/Microsoft%20Forms/INFORMACI%C3%93N%20NOVEDAD%20_%20ACCIDENTES%2026042022%20(2)/SOPORTES%20PARA%20ANEXAR/WhatsApp%20Image%202026-05-20%20at%2011.17.24%20AM%20(1)_anonymous.jpeg; https://emprestur-my.sharepoint.com/personal/alejandra_betancur_emprestur_com/Documents/Aplicaciones/Microsoft%20Forms/INFORMACI%C3%93N%20NOVEDAD%20_%20ACCIDENTES%2026042022%20(2)/SOPORTES%20PARA%20ANEXAR/WhatsApp%20Image%202026-05-20%20at%2011.17.24%20AM_anonymous.jpeg; https://emprestur-my.sharepoint.com/personal/alejandra_betancur_emprestur_com/Documents/Aplicaciones/Microsoft%20Forms/INFORMACI%C3%93N%20NOVEDAD%20_%20ACCIDENTES%2026042022%20(2)/SOPORTES%20PARA%20ANEXAR/WhatsApp%20Image%202026-05-20%20at%2011.17.23%20AM_anonymous.jpeg</t>
  </si>
  <si>
    <t>Lizzeth Arbelaez</t>
  </si>
  <si>
    <t>9:00pm</t>
  </si>
  <si>
    <t>GDZ051</t>
  </si>
  <si>
    <t>S750524</t>
  </si>
  <si>
    <t>SANTIAGO ARLEY GARCIA RAMIREZ</t>
  </si>
  <si>
    <t>1.018.343.886</t>
  </si>
  <si>
    <t>3225084926</t>
  </si>
  <si>
    <t>Novedad operacional (Falla mecánica, reporte de quejas por prestación de servicio)</t>
  </si>
  <si>
    <t>Deja el vehiculoe stacionado mientras las personas que transportaban comian en un restaurante, cuando vuelve al vehiculo lo encuenta con una de las ventanillas rotas y se da cuenta que fue robado, documentos personales del conductor y 600.000 en efectivo</t>
  </si>
  <si>
    <t>https://emprestur-my.sharepoint.com/personal/alejandra_betancur_emprestur_com/Documents/Aplicaciones/Microsoft%20Forms/INFORMACI%C3%93N%20NOVEDAD%20_%20ACCIDENTES%2026042022%20(2)/SOPORTES%20PARA%20ANEXAR/WhatsApp%20Image%202026-05-21%20at%208.51.16%20AM%20(3)_anonymous.jpeg; https://emprestur-my.sharepoint.com/personal/alejandra_betancur_emprestur_com/Documents/Aplicaciones/Microsoft%20Forms/INFORMACI%C3%93N%20NOVEDAD%20_%20ACCIDENTES%2026042022%20(2)/SOPORTES%20PARA%20ANEXAR/WhatsApp%20Image%202026-05-21%20at%208.51.16%20AM%20(2)_anonymous.jpeg; https://emprestur-my.sharepoint.com/personal/alejandra_betancur_emprestur_com/Documents/Aplicaciones/Microsoft%20Forms/INFORMACI%C3%93N%20NOVEDAD%20_%20ACCIDENTES%2026042022%20(2)/SOPORTES%20PARA%20ANEXAR/WhatsApp%20Image%202026-05-21%20at%208.51.16%20AM%20(1)_anonymous.jpeg; https://emprestur-my.sharepoint.com/personal/alejandra_betancur_emprestur_com/Documents/Aplicaciones/Microsoft%20Forms/INFORMACI%C3%93N%20NOVEDAD%20_%20ACCIDENTES%2026042022%20(2)/SOPORTES%20PARA%20ANEXAR/WhatsApp%20Image%202026-05-21%20at%208.51.16%20AM_anonymous.jpeg; https://emprestur-my.sharepoint.com/personal/alejandra_betancur_emprestur_com/Documents/Aplicaciones/Microsoft%20Forms/INFORMACI%C3%93N%20NOVEDAD%20_%20ACCIDENTES%2026042022%20(2)/SOPORTES%20PARA%20ANEXAR/WhatsApp%20Image%202026-05-21%20at%208.51.15%20AM_anonymous.jpeg</t>
  </si>
  <si>
    <t>17:00 HORAS</t>
  </si>
  <si>
    <t>FWK571</t>
  </si>
  <si>
    <t>El dia martes 19 de mayo siendo las 17:00 horas aproximadamente el conductor Guillermo Acosta se disponia a preparar el bus para realizar el recorrido de 18:00 horas desde Casa de Maquinas hacia Casino y Reten Norcasia con el personal de ISAGEN y de MPC que salia de turno. Al momento de intentar mover el bus del lugar donde estaba estacionado golpeo el retrovisor pequeño intalado en la puerta de pasajeros contra el pieamigo de los tubos instalados en la parte lateral de la via del tunel de Casa de Maquinas y de inmediato el vidrio superior de la puerta se agrieto; asi mismo continuo con la maniobra moviendo el vehiuclo para retirarlo del tubo y golpeo la carroceira del bus en la parte de atras contra otro pieamigo generando un rayón y hundido en la latas. Segun menciona en ese momento habian mas vehiculos parqueados detras y delante del bus ya que por motivos de mantenimeinto hay mas personal de otros contratos en Casa de Maquinas. El bus fue estacionado en ese sitio por el conductor Campo Elias Marin el cual lo dejo tan ahorillado por el tema de alta circulacion de vehiculos en ese sitio.</t>
  </si>
  <si>
    <t>Se coordina con varios conductores para colocarle un plastico con cinta adhesiva al vidrio y asi evitar posibles lesiones a los usuarios cuando ingresen o salgan del bus.</t>
  </si>
  <si>
    <t>https://emprestur-my.sharepoint.com/personal/alejandra_betancur_emprestur_com/Documents/Aplicaciones/Microsoft%20Forms/INFORMACI%C3%93N%20NOVEDAD%20_%20ACCIDENTES%2026042022%20(2)/SOPORTES%20PARA%20ANEXAR/WhatsApp%20Image%202026-05-21%20at%2010.53.05%20AM_anonymous.jpeg; https://emprestur-my.sharepoint.com/personal/alejandra_betancur_emprestur_com/Documents/Aplicaciones/Microsoft%20Forms/INFORMACI%C3%93N%20NOVEDAD%20_%20ACCIDENTES%2026042022%20(2)/SOPORTES%20PARA%20ANEXAR/WhatsApp%20Video%202026-05-20%20at%206.00.21%20AM_anonymous.mp4; https://emprestur-my.sharepoint.com/personal/alejandra_betancur_emprestur_com/Documents/Aplicaciones/Microsoft%20Forms/INFORMACI%C3%93N%20NOVEDAD%20_%20ACCIDENTES%2026042022%20(2)/SOPORTES%20PARA%20ANEXAR/WhatsApp%20Video%202026-05-21%20at%2010.53.05%20AM_anonymous.mp4; https://emprestur-my.sharepoint.com/personal/alejandra_betancur_emprestur_com/Documents/Aplicaciones/Microsoft%20Forms/INFORMACI%C3%93N%20NOVEDAD%20_%20ACCIDENTES%2026042022%20(2)/SOPORTES%20PARA%20ANEXAR/WhatsApp%20Image%202026-05-21%20at%2011.11.54%20AM_anonymous.jpeg; https://emprestur-my.sharepoint.com/personal/alejandra_betancur_emprestur_com/Documents/Aplicaciones/Microsoft%20Forms/INFORMACI%C3%93N%20NOVEDAD%20_%20ACCIDENTES%2026042022%20(2)/SOPORTES%20PARA%20ANEXAR/WhatsApp%20Image%202026-05-21%20at%2011.11.55%20AM%20(1)_anonymous.jpeg; https://emprestur-my.sharepoint.com/personal/alejandra_betancur_emprestur_com/Documents/Aplicaciones/Microsoft%20Forms/INFORMACI%C3%93N%20NOVEDAD%20_%20ACCIDENTES%2026042022%20(2)/SOPORTES%20PARA%20ANEXAR/WhatsApp%20Image%202026-05-21%20at%2011.11.55%20AM_anonymous.jpeg</t>
  </si>
  <si>
    <t>11:15 a.m.</t>
  </si>
  <si>
    <t>Medicarte</t>
  </si>
  <si>
    <t>Me bajé al baño y cuando me fui a montar el carro estaba en una pendiente y no pude con la puerta, me machaque el dedo</t>
  </si>
  <si>
    <t>Reportan por medio de correo el dia 25 de Mayo</t>
  </si>
  <si>
    <t>GTX039</t>
  </si>
  <si>
    <t>sura</t>
  </si>
  <si>
    <t>JUAN CAMILO QUINTERO RESTREPO</t>
  </si>
  <si>
    <t>8128225</t>
  </si>
  <si>
    <t>3227644173</t>
  </si>
  <si>
    <t>El empleado reporta que no se dio cuenta de dicho daño que se hizo en esta visita, ya que el indica que no se dio cuenta de que la funcionaria manipulara ninguna cadena durante la jornada realizada el 14 de Mayo del 2026.</t>
  </si>
  <si>
    <t>No se realizan acciones en el momento ya que no fue reportado por el conductor, fue reportado por el cliente por medio de un correo electrónico.</t>
  </si>
  <si>
    <t>https://emprestur-my.sharepoint.com/personal/alejandra_betancur_emprestur_com/Documents/Aplicaciones/Microsoft%20Forms/INFORMACI%C3%93N%20NOVEDAD%20_%20ACCIDENTES%2026042022%20(2)/SOPORTES%20PARA%20ANEXAR/GTX039%20SURA_anonymous.png</t>
  </si>
  <si>
    <t>17:00 p.m.</t>
  </si>
  <si>
    <t>Guillermo León Acosta Rodas</t>
  </si>
  <si>
    <t>Al momento de mover el vehículo para ubicar en el punto de recoger el personal de salida de turno de casa de máquinas el vehículo se encontraba en medio de dos camionetas  estacionadas delante y detrás, además muy pegada al lado derecho a un tubo más o menos de 18 pulgadas en la pared del túnel donde se encontraba el bus FWK571 ya que otro compañero lo había ubicado mucho antes en ese sitio me toca hacer maniobra de reversa un poco para generar espacio adelante y así poder sacar el vehículo pero en ese momento el espejo retrovisor pequeño pegado al vidrio de la puerta toca el tubo generando presión y lo quiebra, al suceder esto trato de mover el vehículo haciendo contacto en la parte lateral trasera derecha del bus contra un pie de amigo de hierro que sostiene el tubo generando un rayón. No hay vehículos de tercero afectados.</t>
  </si>
  <si>
    <t>Procede a levantar el reporte</t>
  </si>
  <si>
    <t>https://emprestur-my.sharepoint.com/personal/alejandra_betancur_emprestur_com/Documents/Aplicaciones/Microsoft%20Forms/INFORMACI%C3%93N%20NOVEDAD%20_%20ACCIDENTES%2026042022%20(2)/SOPORTES%20PARA%20ANEXAR/REGISTRO%20FOTOGR%C3%81FICO%20FWK571_anonymous.pdf</t>
  </si>
  <si>
    <t>09:03 am</t>
  </si>
  <si>
    <t>GTU148</t>
  </si>
  <si>
    <t>TR2608350</t>
  </si>
  <si>
    <t>JHON JAIRO GARCIA NARANJO</t>
  </si>
  <si>
    <t>15908587</t>
  </si>
  <si>
    <t>3126388477</t>
  </si>
  <si>
    <t>El día de hoy, siendo aproximadamente las 08:03 a.m., el conductor se comunicó telefónicamente para informar que presentaba un fuerte dolor abdominal, manifestando que requería un reemplazo para la continuidad de la operación. Asimismo, indicó que se encontraba en el sector de Esmeralda y que necesitaba desplazarse a un centro asistencial para recibir atención médica.
Posteriormente, sobre las 09:03 a.m., el funcionario Diego Jurado se comunicó para informar que el estado de salud del conductor había empeorado debido al incremento del dolor abdominal. Ante esta situación, se coordinó el envío de una ambulancia que se encontraba en el sector de Ínsula, la cual se desplazó hasta Esmeralda para brindarle asistencia y realizar su traslado.
Se estableció nuevamente comunicación con el conductor, quien manifestó que el dolor abdominal era muy intenso y que no lo soportaba. En ese momento informó que ya estaba siendo atendido por el personal de la ambulancia y que se encontraba en traslado hacia el servicio de urgencias para valoración médica.
Se deja constancia de que la situación fue reportada oportunamente y se activaron las acciones necesarias para garantizar la atención inmediata del trabajador y su traslado a un centro asistencial.</t>
  </si>
  <si>
    <t>Desde las 08:10 am se coordino con el vehiculo GDW355 bajar a esmeralda para que el conductor se pueda desplazar a la clinica</t>
  </si>
  <si>
    <t>08:45 am</t>
  </si>
  <si>
    <t>WEF558</t>
  </si>
  <si>
    <t>TR2608428</t>
  </si>
  <si>
    <t>MARIO ANDRES POLINDARA FIGUEROA</t>
  </si>
  <si>
    <t>4417278</t>
  </si>
  <si>
    <t>3178525682</t>
  </si>
  <si>
    <t>Afectación a la imagen corporativa</t>
  </si>
  <si>
    <t>El conductor manifiesta que se desplazaba desde el sector de Esmeralda hacia Chinchiná, transportando al colaborador Jhon Jairo García, quien presentaba un fuerte dolor abdominal y requería ser trasladado para recibir atención médica.
Durante el recorrido, al transitar por una curva, una motocicleta invadió parcialmente el carril al tomar la curva de manera muy cerrada. Ante esta situación y con el fin de evitar una colisión, el conductor realizó una maniobra evasiva dirigiendo el vehículo hacia la zona de arbustos ubicada al costado de la vía.
Como consecuencia de la maniobra y de la proximidad entre los vehículos, el conductor de la motocicleta se asustó, perdió el control de la misma y cayó sobre la vía. De acuerdo con la información suministrada por el conductor, no se presentó contacto entre el vehículo de EMPRESTUR y la motocicleta.
Producto de la caída resultaron lesionados los ocupantes de la motocicleta, quienes recibieron atención por parte de los organismos de emergencia que acudieron al lugar.
Por su parte, el vehículo de EMPRESTUR no presentó daños materiales y ninguno de sus ocupantes sufrió lesiones derivadas del incidente. Posteriormente, llevo las ambulancias para prestar atención de la emergencia médica del colaborador Jhon Jairo García y los ocupantes de la moto.</t>
  </si>
  <si>
    <t>Se reporta la novedad a la interventora</t>
  </si>
  <si>
    <t>https://emprestur-my.sharepoint.com/personal/alejandra_betancur_emprestur_com/Documents/Aplicaciones/Microsoft%20Forms/INFORMACI%C3%93N%20NOVEDAD%20_%20ACCIDENTES%2026042022%20(2)/SOPORTES%20PARA%20ANEXAR/WhatsApp%20Image%202026-06-03%20at%2010.06.10%20AM_anonymous.jpeg; https://emprestur-my.sharepoint.com/personal/alejandra_betancur_emprestur_com/Documents/Aplicaciones/Microsoft%20Forms/INFORMACI%C3%93N%20NOVEDAD%20_%20ACCIDENTES%2026042022%20(2)/SOPORTES%20PARA%20ANEXAR/WhatsApp%20Image%202026-06-03%20at%2010.07.00%20AM_anonymous.jpeg</t>
  </si>
  <si>
    <t>JUAN DAVID BLANDON</t>
  </si>
  <si>
    <t>22:00</t>
  </si>
  <si>
    <t>GTX658</t>
  </si>
  <si>
    <t>1796</t>
  </si>
  <si>
    <t>WINSTON MARIO JARAMILLO RUA</t>
  </si>
  <si>
    <t>98576827</t>
  </si>
  <si>
    <t xml:space="preserve"> 3019327625</t>
  </si>
  <si>
    <t>Siendo las 10pm del lunes festivo 08 de junio. El conductor se encontraba en servicio como disponible de urgencias para el proceso de Hemofilia con medicarte. Ya se había dejado a la funcionaria en la casa y el conductor se dirigía para su casa a comer y luego volver a recoger a la funcionaria a las 11:30pm. Estando por bello un vehículo de la basura, se queda sin frenos y se deja ir contra el vehículo afiliado a emprestur y contra otros vehículos terceros, Afectando todo el lateral izquierdo del vehículo. El impacto fue mas que todo contra la parte de atrás del vehículo, por tal motivo el conductor no tuvo lesiones. El conductor me reporta a mi Juan Blandon, que soy su gestor logístico. Se averigua por el estado de salud del conductor y se le dan las indicaciones de llamar a la aseguradora. Adicional se reemplaza el vehículo para que siga en la ruta con la auxiliar toda la madrugada.</t>
  </si>
  <si>
    <t>https://emprestur-my.sharepoint.com/personal/alejandra_betancur_emprestur_com/Documents/Aplicaciones/Microsoft%20Forms/INFORMACI%C3%93N%20NOVEDAD%20_%20ACCIDENTES%2026042022%20(2)/SOPORTES%20PARA%20ANEXAR/WhatsApp%20Image%202026-06-08%20at%209.57.50%20PM_anonymous.jpeg</t>
  </si>
  <si>
    <t>11:45 a.m.</t>
  </si>
  <si>
    <t xml:space="preserve">ISAGEN </t>
  </si>
  <si>
    <t>JAVIER DARIO USMA TORRES</t>
  </si>
  <si>
    <t>71734802</t>
  </si>
  <si>
    <t>3114848991</t>
  </si>
  <si>
    <t>Accidente común (se produce fuera del entorno laboral y fuera de las vías, pero se genera afectación en la operación)</t>
  </si>
  <si>
    <t>El día 25 de mayo aproximadamente 11:45 de la mañana iba a ingresar con el bus de placas GDZ 164 a las instalaciones del almacén el trapiche y al girar hacia la izquierda para entrar el bus en reversa golpeé el vehículo Suzuki vitara de placas EHL 493 QUÉ SE ENCONTRABA ESTACIONADO AL LADO DE LA PUERTA golpeándole el guardabarros delantero izquierdo cómo se ve en las fotos</t>
  </si>
  <si>
    <t>Se informa llamar a la aseguradora para que el reporte y asistencia jurídica</t>
  </si>
  <si>
    <t>https://emprestur-my.sharepoint.com/personal/alejandra_betancur_emprestur_com/Documents/Aplicaciones/Microsoft%20Forms/INFORMACI%C3%93N%20NOVEDAD%20_%20ACCIDENTES%2026042022%20(2)/SOPORTES%20PARA%20ANEXAR/REGISTRO%20FOTOGR%C3%81FICO%20GDZ164_anonymous.pdf</t>
  </si>
  <si>
    <t xml:space="preserve">16:00 p.m. </t>
  </si>
  <si>
    <t>JORGE MARIO ORTIGOSA MORENO</t>
  </si>
  <si>
    <t>1038361567</t>
  </si>
  <si>
    <t>3126869784</t>
  </si>
  <si>
    <t>Yo transitaba por mi carril ya que es una vía muy angosta por darle el paso a dos vehículos que iban en exceso de velocidad me aorille demasiado y sin percatarme del polin se lo metí en la parte trasera del guardabar</t>
  </si>
  <si>
    <t>Se valida que el vehiculo puede andar de manera normal en el servicio</t>
  </si>
  <si>
    <t>https://emprestur-my.sharepoint.com/personal/alejandra_betancur_emprestur_com/Documents/Aplicaciones/Microsoft%20Forms/INFORMACI%C3%93N%20NOVEDAD%20_%20ACCIDENTES%2026042022%20(2)/SOPORTES%20PARA%20ANEXAR/REGISTRO%20FOTOGR%C3%81FICO%20ESR480_anonymous.pdf</t>
  </si>
  <si>
    <t>JUAN JOSE RAMIREZ CASTRO</t>
  </si>
  <si>
    <t>1026061281</t>
  </si>
  <si>
    <t>"Sale un caso de una mujer para recogerla en plena Autopista vía al mar (La de San Cristóbal). La mujer dice que había que recogerla si o sí en la autopista. Llego me estaciono en el lugar, quedando mal parqueado mientras llega la mujer. De repente veo por el espejo retrovisor trasero que viene un camión tipo FRR a una gran velocidad y viene hacia la parte trasera del vehículo. De inmediato entro el carro hacia la derecha, rozando el vehículo de placas GTY441 contra una piedra que había en la autopista."</t>
  </si>
  <si>
    <t>Se recibe el reporte se identifica que el vehículo  puede continuar con el servicio</t>
  </si>
  <si>
    <t>https://emprestur-my.sharepoint.com/personal/alejandra_betancur_emprestur_com/Documents/Aplicaciones/Microsoft%20Forms/INFORMACI%C3%93N%20NOVEDAD%20_%20ACCIDENTES%2026042022%20(2)/SOPORTES%20PARA%20ANEXAR/REGISTRO%20FOTOGR%C3%81FICO%20GTY441_anonymous.pdf</t>
  </si>
  <si>
    <t>18:03 p.m.</t>
  </si>
  <si>
    <t>1047460435</t>
  </si>
  <si>
    <t xml:space="preserve">El día 02/06/2027 siendo las 18:03 de la tarde me ocurrió un incidente donde se vio involucrado el vehículo asignado a mi labor Renault duster de placas GTX 035 donde me encontraba con el vehículo para en un taco por el Parque Bolivar y un Renault Twingo LAT 694 donde intenta adelantar y con el borde del guarda barros se arranca el Bomper trasero del mismo procedo hacer las respectivas llamadas a la aseguradora en eso llega el guarda de transito nos ayuda a orillar los vehículos para poder realizar la conciliación el señor el cual estaba involucrado manifiesta que deje así que no pasó nada y procede a irse. </t>
  </si>
  <si>
    <t>Se le da indicaciones de reportar a la aseguradora</t>
  </si>
  <si>
    <t>https://emprestur-my.sharepoint.com/personal/alejandra_betancur_emprestur_com/Documents/Aplicaciones/Microsoft%20Forms/INFORMACI%C3%93N%20NOVEDAD%20_%20ACCIDENTES%2026042022%20(2)/SOPORTES%20PARA%20ANEXAR/REGISTRO%20FOTOGRAFICO%20GTX035_anonymous.pdf</t>
  </si>
  <si>
    <t>12:20 p.m.</t>
  </si>
  <si>
    <t>Flota propia</t>
  </si>
  <si>
    <t>DAVID ALEXANDER GOMEZ</t>
  </si>
  <si>
    <t>1214740293</t>
  </si>
  <si>
    <t>3002857482</t>
  </si>
  <si>
    <t>Yo el 01/06/2026, a las 12:20 p.m., me encontraba en Apartado almorzando y tenia el vehículo estacionado, cuando llego un vehículo particular y choca la parte de atrás al costado izquierdo de la camioneta, provocando rayones y un hundimiento leve de esa zona de la camioneta, por suerte no hubieron heridos, yo salí para realizar la negociación con el propietario, él señor me indica que iba a hacerse cargo de la reparación del vehículo, consignó 300.000 y la otra parte de la reparación me indicó que lo llevara a un taller de en Medellin.</t>
  </si>
  <si>
    <t>Se le indica al conductor hacer la negociación con el propietario del vehiculo involucrado</t>
  </si>
  <si>
    <t>https://emprestur-my.sharepoint.com/personal/alejandra_betancur_emprestur_com/Documents/Aplicaciones/Microsoft%20Forms/INFORMACI%C3%93N%20NOVEDAD%20_%20ACCIDENTES%2026042022%20(2)/SOPORTES%20PARA%20ANEXAR/REGISTRO%20FOTOGR%C3%81FICO%20FVY878_anonymous.pdf</t>
  </si>
  <si>
    <t>22:40 p.m.</t>
  </si>
  <si>
    <t>JOHN FERNANDO MONTOYA HOYOS</t>
  </si>
  <si>
    <t>98517151</t>
  </si>
  <si>
    <t>3108949414</t>
  </si>
  <si>
    <t>Me estacione para dejar el sicosocial  y  me baje del carro para acompañarlo hasta un 
Cuándo me devolví veo al  motociclista arrancando después de haber golpeado el carro, le grité miró y no quiso parar traje mi teléfono. Le tomé una foto, pero no, Se le ve la placa. Por lo cual veo que no se lesionó</t>
  </si>
  <si>
    <t>Se da indicaciones</t>
  </si>
  <si>
    <t>https://emprestur-my.sharepoint.com/personal/alejandra_betancur_emprestur_com/Documents/Aplicaciones/Microsoft%20Forms/INFORMACI%C3%93N%20NOVEDAD%20_%20ACCIDENTES%2026042022%20(2)/SOPORTES%20PARA%20ANEXAR/REGISTRO%20FOTOGRAFICO%20GTW933_anonymous.pdf</t>
  </si>
  <si>
    <t xml:space="preserve">6:55 am </t>
  </si>
  <si>
    <t>GTY486</t>
  </si>
  <si>
    <t>DIEGO CIRO CIRO</t>
  </si>
  <si>
    <t>1037947401</t>
  </si>
  <si>
    <t>3117883187</t>
  </si>
  <si>
    <t>C</t>
  </si>
  <si>
    <t>Buenos días,
yo me desplazaba de la central hacia la Holanda  cuando la miniván apareció en la curva del sector llamado los colera. yo frené y el otro vehículo también frenó y terminó deslizándose y por la velocidad que el llevaba se puede evidenciar las marcas de frenado de casi mas de un metro.
la miniván se movilizaba a una velocidad considerable, lo que habría influido en la distancia de frenado. Adicionalmente, indica que la vía en ese sector es bastante estrecha. 
Quedamos atentos a cualquier información adicional que se requiera.</t>
  </si>
  <si>
    <t>que tome nota del telefono del otro conductor, que registre evidencias fotograficas.</t>
  </si>
  <si>
    <t>Clasificación de Eventos</t>
  </si>
  <si>
    <t xml:space="preserve">Total </t>
  </si>
  <si>
    <t>Accidente trabajo reporte a la ARL incapacitante</t>
  </si>
  <si>
    <t>Accidente trabajo reporte a la ARL sin incapacitante</t>
  </si>
  <si>
    <t xml:space="preserve">Siniestro vial </t>
  </si>
  <si>
    <t>Siniestro vial impacto ambiental</t>
  </si>
  <si>
    <t xml:space="preserve">Incidentes </t>
  </si>
  <si>
    <t>Causa 2025</t>
  </si>
  <si>
    <t>Frecuencia</t>
  </si>
  <si>
    <t xml:space="preserve">AGRESIÓN FISICA POR PARTE DE UN TERCERO  </t>
  </si>
  <si>
    <t xml:space="preserve">FALLA MECANICA </t>
  </si>
  <si>
    <t xml:space="preserve">CAUSAS HUMANAS ACTO INSEGURO CONDUCTOR </t>
  </si>
  <si>
    <t xml:space="preserve">CAUSAS HUMANAS ACTO INSEGURO CONDUCTOR EXTERNO </t>
  </si>
  <si>
    <t>CAUSAS HUMANAS ACTO INSEGURO PROPIETARIO MASCOTA</t>
  </si>
  <si>
    <t xml:space="preserve">CAUSAS TECNICAS </t>
  </si>
  <si>
    <t xml:space="preserve">FACTOR EXTERNO IMPACTO CONTRA ANIMAL </t>
  </si>
  <si>
    <t xml:space="preserve">CONDICION INSEGURA </t>
  </si>
  <si>
    <t>CONDICIÓN INSEGURA, FACTORES CLIMATICOS</t>
  </si>
  <si>
    <t xml:space="preserve">CONDICION INSEGURA . ESTADO DE LA VÍA </t>
  </si>
  <si>
    <t>CAUSASLIDAD POR ACCIDENTE TRABAJO</t>
  </si>
  <si>
    <t>CAUSAS HUMANAS</t>
  </si>
  <si>
    <t>CAUSAS AMBIENTALES</t>
  </si>
  <si>
    <t>CAUSAS ORGANIZACIONALES</t>
  </si>
  <si>
    <t>CAUSASLIDAD POR SINIESTRO VIAL</t>
  </si>
  <si>
    <t>ANALISIS TENDENCIAL POR CAUSASLIDAD POR DAÑOS</t>
  </si>
  <si>
    <t>PROPIO PERSONAS</t>
  </si>
  <si>
    <t>TERCEROS PERSONAS</t>
  </si>
  <si>
    <t>AMBIETAL</t>
  </si>
  <si>
    <t>MAQUINARIA EQUIPOS PROPIOS</t>
  </si>
  <si>
    <t>MAQUINARIA EQUIPOS TERCEROS</t>
  </si>
  <si>
    <t>OTRAS PROPIEDADES</t>
  </si>
  <si>
    <t>FECHA DE CITACIÓN PARA LA VERSIÓN DE LOS HECHOS</t>
  </si>
  <si>
    <t>HORA DE CITACIÓN PARA VERSIÓN DE LOS HECHOS</t>
  </si>
  <si>
    <t>SOPORTE CITACIÓN A VERSIÓN DE LOS HECHOS</t>
  </si>
  <si>
    <t>SOPORTE VERSIÓN DE LOS HECHOS</t>
  </si>
  <si>
    <t>DECLARACIÓN DEL ACCIDENTE</t>
  </si>
  <si>
    <t>LECCIÓN APRENDIDA DEL TRABAJADOR</t>
  </si>
  <si>
    <t>GPS</t>
  </si>
  <si>
    <t>REGISTRO FOTOGRÁFICO</t>
  </si>
  <si>
    <t>OTRAS VERSIONES</t>
  </si>
  <si>
    <t>CROQUIS</t>
  </si>
  <si>
    <t>CONSECUTIVO INFORME POLICIAL</t>
  </si>
  <si>
    <t>NOMBRE DEL ORGANISMO DE TRANSITO</t>
  </si>
  <si>
    <t># PERSONAS IMPLICADAS (CONDUCTOR MAS OTROS ACTORES VIALES)</t>
  </si>
  <si>
    <t>VERSIÓN DE LOS HECHOS SUMINISTRADO POR EL TRABAJADOR
VERSIÓN COMPLETA DEL EVENTO - DESCRIPCIÓN COMPLETA  OPTENIDA  EN LA INVESTIGACIÓN</t>
  </si>
  <si>
    <t>GENERO
(MASCULINO - FEMENINO - NO ESPECIFICADO)</t>
  </si>
  <si>
    <t>FECHA DE NACIMIENTO</t>
  </si>
  <si>
    <t>FECHA DE INGRESO A LA EMPRESA</t>
  </si>
  <si>
    <t>AFECTACIÓN AMBIENTAL DESCRIBIR</t>
  </si>
  <si>
    <t>AFECTACIÓN ANIMAL DESCRIBIR</t>
  </si>
  <si>
    <t>AFECTACIÓN A PERSONA DESCRIBIR</t>
  </si>
  <si>
    <t>AFECTACIÓN A PATRIMONIO DESCRIBIR</t>
  </si>
  <si>
    <t>AFECTACIÓN A EQUIPO DESCRIBIR</t>
  </si>
  <si>
    <t>CARACTERISTICA
  (AT Accidente de Trabajo, IT Incidente de trabajo,  SVS Siniestro vial Simple, SVL Siniestro vial con lesionado menor a 30 dias de incapacidad, SVG Siniestro vial Grave con lesionado mayor a 30 días, SVF Siniestro vial Fatal, SVA Siniestro vial con afectación Ambiental, FM Falla mecánica)</t>
  </si>
  <si>
    <t>CLASIFICACION SEGÚN NIVEL DE GRAVEDAD POR DAÑOS Y LESIONADOS
 (GRAVE, MODERADO, LEVE)</t>
  </si>
  <si>
    <t>DESCRIPCIÓN DEL NIVEL DE PERDIDA</t>
  </si>
  <si>
    <t>CLASE DE RIESGO</t>
  </si>
  <si>
    <t>DESCRIPCION DEL RIESGO</t>
  </si>
  <si>
    <t>SE REQUIERE RADICAR EL REPORTE A LA  ARL - FURAT
(Fecha - N/A)</t>
  </si>
  <si>
    <t>SE REQUIERE RADICAR EL REPORTE A LA EPS
(Fecha - N/A)</t>
  </si>
  <si>
    <t>NOMBRE DE LA EPS</t>
  </si>
  <si>
    <t>SE REQUIERE RADICAR AL MINISTERIO DE TRANSITO Y TRANSPORTE - SVF
(Fecha - N/A)</t>
  </si>
  <si>
    <t>SE REQUIERE RADICAR AL MINISTERIO DE TRABAJO - ATG O ATF
(Fecha - N/A)</t>
  </si>
  <si>
    <t>CIUDAD O MUNICIPIO DONDE OCURRE EL EVENTO O NOVEDAD</t>
  </si>
  <si>
    <t>DEPARTAMENTO DONDE OCURRE EL EVENTO O NOVEDAD</t>
  </si>
  <si>
    <t>VALIDACIÓN DE LA FECHA REAL DEL EVENTO</t>
  </si>
  <si>
    <t>VALIDACIÓN DE LA HORA REAL DEL EVENTO</t>
  </si>
  <si>
    <t>DIA DE LA SEMANA EN LA QUE OCURRE EL EVENTO</t>
  </si>
  <si>
    <t xml:space="preserve">JORNADA LABORAL HABITUAL  EN LA QUE OCURRE EL EVENTO
 </t>
  </si>
  <si>
    <t>HORA EN QUE INICIA JORNADA EL DIA DEL ACCIDENTE</t>
  </si>
  <si>
    <t>HORA EN QUE INICIA JORNADA EL DIA ANTEIOR AL EVENTO</t>
  </si>
  <si>
    <t>HORA EN QUE FINALIZA JORNADA EL DIA ANTERIOR  DEL ACCIDENTE</t>
  </si>
  <si>
    <t>SE INDETIFICA ALERTA DE FATIGA POR EXCESO DE JORNADA</t>
  </si>
  <si>
    <t>CALCULO DE HORAS DE EXCESO DE JORNADA</t>
  </si>
  <si>
    <t>TIEMPO LABORADO PREVIO AL ACCIDENTE (TIEMPO TRANSCURRIDO DESDE QUE INICIA LA JORNADA HASTA LA HORA DEL ACCIDENTE)</t>
  </si>
  <si>
    <t>CARGO DEL TRABAJADOR</t>
  </si>
  <si>
    <t>TIPO DE ACCIDENTE</t>
  </si>
  <si>
    <t>AREA O SITIO DONDE OCURRE EL EVENTO</t>
  </si>
  <si>
    <t>TIPO DE LESION</t>
  </si>
  <si>
    <t>PARTE DEL CUERPO AFECTADA</t>
  </si>
  <si>
    <t>AGENTE DE LA LESION</t>
  </si>
  <si>
    <t>MECANISMO O FORMA DEL ACCIDENTE</t>
  </si>
  <si>
    <t>TIPO DE VINCULACIÓN</t>
  </si>
  <si>
    <t>TIPO DE CONTRATACIÓN</t>
  </si>
  <si>
    <t>CAUSAS BÁSICA</t>
  </si>
  <si>
    <t>CAUSAS INMEDIATA</t>
  </si>
  <si>
    <t>ANALISI TENDENCIAL POR CAUSASLIDAD POR EVENTO</t>
  </si>
  <si>
    <t>BASE SALARIO</t>
  </si>
  <si>
    <t>VALOR SALARIO DIA</t>
  </si>
  <si>
    <t>DÍAS DE INCAPACIDAD INICIALES</t>
  </si>
  <si>
    <t>DÍAS DE INCAPACIDAD PRÓRROGA (Estar atento al informe de Ausentismo)</t>
  </si>
  <si>
    <t>TOTAL DIAS DE INCAPACIDAD</t>
  </si>
  <si>
    <t># DIAS DE MANO DE OBRA QUIETA PARA ATENDER MANTENIMIENTO POR SINIESTRO VIAL (Minimo 2 días)</t>
  </si>
  <si>
    <t>PERDIDA ECONÓMICA -
 DIAS DE AUSENTISMO POR ACCIDENTE O CASI ACCIDENTE
(DÍAS DE INCAPACIDAD * VALOR DIA DE SALARIO)</t>
  </si>
  <si>
    <t>COSTOS DE MANO DE OBRA QUIETA POR ACCIDENTES DE TRANSITO (2 DÍAS)</t>
  </si>
  <si>
    <t>PERDIDA ECONÓMICA
 -
 LESIONES A TERCEROS POR ACCIDENTE O CASI ACCIDENTE</t>
  </si>
  <si>
    <t>PERDIDA ECONÓMICA -
 DAÑOS PROPIOS POR ACCIDENTE O CASI ACCIDENTE</t>
  </si>
  <si>
    <t>PERDIDA ECONÓMICA -
 DAÑOS A TERCEROS POR ACCIDENTE O CASI ACCIDENTE</t>
  </si>
  <si>
    <t>PERDIDA ECONÓMICA POR AFECTACIÓN AL MEDIO AMBIENTE POR ACCIDENTE O CASI ACCIDENTE</t>
  </si>
  <si>
    <t>TOTAL PERDIDA ECONÓMICA</t>
  </si>
  <si>
    <t>NIVEL DE PERDIDA PESV
BAJO (0 HASTA 5 MILLONES)
MEDIO (5 MILLONES HASTA 10 MILLONES)
ALTO (SUPERE LOS 10 MILLONES)</t>
  </si>
  <si>
    <t>FECHA DONDE ES ANALIZADO POR LOS COMITES: COPASST Y/O COSVIAL</t>
  </si>
  <si>
    <t>CONCLUSIONES DEL COMITÉ</t>
  </si>
  <si>
    <t>CONCLUSIONES DEL JEFE INMEDIATO</t>
  </si>
  <si>
    <t>ACCIONES ADMINISTRATIVAS
(PROCESOS DISCIPLINARIOS)</t>
  </si>
  <si>
    <t>FECHA DE REPORTE PARA LAS ACCIONES ADMINISTRATIVAS (TH Y JURIDICA)</t>
  </si>
  <si>
    <t>CONCLUSIONES DE LAS ACCIONES ADMINISTRATIVOAS (DESCRIPCIÓN  - N/A)</t>
  </si>
  <si>
    <t>PLAN DE ACCIÓN 1</t>
  </si>
  <si>
    <t>FECHA PROPUESTA 1</t>
  </si>
  <si>
    <t>PLAN DE ACCIÓN 2</t>
  </si>
  <si>
    <t>FECHA PROPUESTA 2</t>
  </si>
  <si>
    <t>PLAN DE ACCIÓN 3</t>
  </si>
  <si>
    <t>FECHA PROPUESTA 3</t>
  </si>
  <si>
    <t xml:space="preserve">SI </t>
  </si>
  <si>
    <t xml:space="preserve">NO </t>
  </si>
  <si>
    <t xml:space="preserve">Yo iba bajando por una pendiente con el vehículo cuando sentí que había pasado algo. Me di cuenta de que un perrito muy pequeño se había metido debajo de las llantas traseras del carro, sin que yo tuviera la oportunidad de frenar. Inmediatamente detuve el vehículo y le pedí a una funcionaria que llamara a las personas responsables, y yo también llamé a mi coordinador para informar lo sucedido.
Recibo instrucciones de recoger al perro y llevarlo a un centro veterinario, sin divulgar la ruta. Nos dirigimos a un veterinario a Bello, donde finalmente encontramos un centro veterinario abierto 24 horas que atendió al animal. Mientras tanto, los dueños llegaron en su carro y no pude continuar mi ruta hasta conocer el estado del perro. La enfermera jefa coordinó un taxi para relevarme, ya que la empresa no contaba con vehículos disponibles en ese momento.
</t>
  </si>
  <si>
    <t>MASCULINO</t>
  </si>
  <si>
    <t xml:space="preserve">FALLECIMIENTO DE CANICO </t>
  </si>
  <si>
    <t>SVA</t>
  </si>
  <si>
    <t>GRAVE</t>
  </si>
  <si>
    <t xml:space="preserve">MEDIO </t>
  </si>
  <si>
    <t>Riesgos de Condiciones de Seguridad</t>
  </si>
  <si>
    <t xml:space="preserve">ATROPELLAMIENTO A CANINO </t>
  </si>
  <si>
    <t xml:space="preserve">SURA EPS </t>
  </si>
  <si>
    <t>COPACABANA</t>
  </si>
  <si>
    <t>ANTIOQUIA</t>
  </si>
  <si>
    <t>Jueves</t>
  </si>
  <si>
    <t>Diurna</t>
  </si>
  <si>
    <t xml:space="preserve">6:00 a.m. </t>
  </si>
  <si>
    <t xml:space="preserve">1:00 p.m. </t>
  </si>
  <si>
    <t xml:space="preserve">11:00 p.m. </t>
  </si>
  <si>
    <t xml:space="preserve">10 HORAS </t>
  </si>
  <si>
    <t xml:space="preserve">CONDUCTOR </t>
  </si>
  <si>
    <t>Tránsito</t>
  </si>
  <si>
    <t>Parqueaderos o áreas de circulación vehicular</t>
  </si>
  <si>
    <t xml:space="preserve">INDEPENDIENTE </t>
  </si>
  <si>
    <t>Terceros</t>
  </si>
  <si>
    <t>Capacidad Física/Fisiológica Inadecuada ( Falta de percepción de riesgo frente al ingreso en zonas residenciales )</t>
  </si>
  <si>
    <t>Riesgos Ambientales no Especificados en otra parte (Animal domestico sin aseguramiento)</t>
  </si>
  <si>
    <t>BAJO</t>
  </si>
  <si>
    <t>El atropellamiento del canino ocurrió durante el descenso del vehículo en una vía que se encontraba sola, cuando el animal ingresó de manera súbita a la trayectoria. La aparición inesperada del canino,el conductor no tuvo tiempo de evitar el impacto, lo que derivó un evento de carácter imprevisto que limitó la capacidad de reacción del conductor.</t>
  </si>
  <si>
    <t>SENSIBILIZACIÓN SOBRE EL SINIESTRO VÍAL/ACCIDENTE DE TRABAJO</t>
  </si>
  <si>
    <t xml:space="preserve">LECCIÓN APRENDIDA DEL EVENTO </t>
  </si>
  <si>
    <t xml:space="preserve">PAGO DE SERVICIOS VETERINARIOS PAGADOS POR LA ATENCIÓN DEL CANINO </t>
  </si>
  <si>
    <t>Me encontraba transitando por la vía de la canalización del barrio Antioquia hacia Guayabal. Había una fila de vehículos detenidos debido a que el semáforo se encontraba en rojo. En ese momento, un camión, el mismo que posteriormente me golpeó, se desplazó en sentido contrario con la intención de adelantar a los demás vehículos. Al realizar esa maniobra indebida, el camión golpeó con su retrovisor derecho a otro camión que se encontraba en el carril contrario, aproximadamente dos vehículos más adelante del mío, ocasionándole la ruptura del retrovisor. Cuando el semáforo cambió a verde y los vehículos iniciaron la marcha, observé que el conductor del camión intentó ubicarse hacia la derecha, llegando a la curva de coordinadora, Supuse que iba a detenerse para revisar el daño del retrovisor. Al notar esa intención y encontrándome detrás de él, procedí a adelantarlo por el lado izquierdo. Sin embargo, cuando ya me encontraba a su altura, el conductor giró bruscamente hacia la izquierda, justamente por donde yo lo estaba adelantando, con la intención de reincorporarse a la avenida sin detenerse. Fue en ese momento cuando se produjo el impacto contra mi vehículo.</t>
  </si>
  <si>
    <t xml:space="preserve">*Golpe lateral derecho en la parte trasera
*vehiculo externo golpe frontal lateral izquierdo </t>
  </si>
  <si>
    <t>SVS</t>
  </si>
  <si>
    <t>LEVE</t>
  </si>
  <si>
    <t xml:space="preserve">BAJO </t>
  </si>
  <si>
    <t xml:space="preserve">CHOQUE SIMPLE </t>
  </si>
  <si>
    <t xml:space="preserve">SAVIA SALUD </t>
  </si>
  <si>
    <t xml:space="preserve">MEDELLÍN </t>
  </si>
  <si>
    <t xml:space="preserve">ANTIOQUIA </t>
  </si>
  <si>
    <t>Martes</t>
  </si>
  <si>
    <t xml:space="preserve">8 HORAS </t>
  </si>
  <si>
    <t>Planta / Nomina</t>
  </si>
  <si>
    <t xml:space="preserve">RIESGO DEL TRÁFICO </t>
  </si>
  <si>
    <t>Identificando la versión del conductor afectado y analizando la dinámica del accidente, se establece que el evento ocurrió cuando el conductor del camión realizó un giro hacia la izquierda sin verificar adecuadamente las condiciones de seguridad, mientras estaba siendo adelantado por ese costado.
Como resultado de esta maniobra, se generó una colisión lateral, ocasionando golpe lateral derecho en la parte trasera del vehículo afectado y golpe frontal lateral izquierdo en el vehículo tercero.El hecho evidencia una maniobra insegura y falta de precaución al momento de reincorporarse a la vía.</t>
  </si>
  <si>
    <t xml:space="preserve">REALIZACIÓN CURSO DE MANEJO DEFENSIVO </t>
  </si>
  <si>
    <t>Recuperando datos. Espere unos segundos e intente cortar o copiar de nuevo.</t>
  </si>
  <si>
    <t xml:space="preserve">2:00 P.M. </t>
  </si>
  <si>
    <t>El vehículo se encontraba debidamente parqueado frente a la residencia del declarante. Un vehículo tipo Aveo, color azul, al realizar una maniobra de reversa, no se percató de la presencia del vehículo estacionado y lo impactó en el guardabarros trasero izquierdo, ocasionando un hundimiento.</t>
  </si>
  <si>
    <t>Hundimiento a un costado del  bomper delantero</t>
  </si>
  <si>
    <t xml:space="preserve">Riesgo Público </t>
  </si>
  <si>
    <t xml:space="preserve">5:55 P.M. </t>
  </si>
  <si>
    <t>Miércoles</t>
  </si>
  <si>
    <t xml:space="preserve">7:30:00 A.M. </t>
  </si>
  <si>
    <t xml:space="preserve">3:00 P.M. </t>
  </si>
  <si>
    <t xml:space="preserve">YA HABIA FINALIZADO LA JORANADA, ESTE SE ENCOENTRABA EN SU VIVIENDA </t>
  </si>
  <si>
    <t>De acuerdo con la información suministrada por el declarante, el vehículo se encontraba debidamente estacionado cuando otro conductor, al realizar una maniobra de reversa, no verificó adecuadamente las condiciones del entorno, impactando el guardabarros trasero izquierdo y ocasionando un hundimiento.</t>
  </si>
  <si>
    <t xml:space="preserve">4:00 P.M. </t>
  </si>
  <si>
    <t xml:space="preserve"> Ese día me encontraba en un área rural, me pinche y procedo a hacer fuerza con el gato lo cual me genera un dolor en el ombligo pero no le preste atención, quito la llanta que pesa aproximadamente entre 18 y 20 kg, al hacer la fuerza sentir ardor en el ombligo y el funcionario que llevaba noto mi molestia y me ayuda a montar la llanta, al terminar me reviso y estaba muy rojo y sentía un malestar muy fuerte de dolor, bajamos a Manizales, no llama por falta de red, cuando  llego a Manizales llamo Julián y el me indica ir a la clínica de la presentación, en la clínica ya me restan atención, describo los hechos, pero no me atienden indicando que debía ser por EPS, voy a la cita de EPS me mandan una radiografía y me envían a tramite por ARL.</t>
  </si>
  <si>
    <t xml:space="preserve">HERNIA HUMBILICAL </t>
  </si>
  <si>
    <t>AT</t>
  </si>
  <si>
    <t>Riesgo Biomecánico</t>
  </si>
  <si>
    <t xml:space="preserve">LEVANTAMIENTO DE CRAGA </t>
  </si>
  <si>
    <t xml:space="preserve">NUEVA EPS </t>
  </si>
  <si>
    <t xml:space="preserve">MANIZALES </t>
  </si>
  <si>
    <t>CALDAS</t>
  </si>
  <si>
    <t xml:space="preserve">3:30 O.M. </t>
  </si>
  <si>
    <t xml:space="preserve">7:00 A.M. </t>
  </si>
  <si>
    <t xml:space="preserve">5:30 P-.M. </t>
  </si>
  <si>
    <t xml:space="preserve">7 HORAS 30 MINUTOS </t>
  </si>
  <si>
    <t>Propio del trabajo</t>
  </si>
  <si>
    <t>Torcedura,esguince, desgarro muscular,hernia o laceracion de músculo o tendón sin herida</t>
  </si>
  <si>
    <t>Abdomen</t>
  </si>
  <si>
    <t>Herramientas, implementos o utensilios</t>
  </si>
  <si>
    <t>Sobre esfuerzo, esfuerzo excesivo o falso movimiento</t>
  </si>
  <si>
    <t>* Otros defectos no especificados en otra parte (Llanta Pinchada)
* No especificados en otra parte 
(Sobreesfuerzo fisico por 
postura inadecuada)</t>
  </si>
  <si>
    <t>El evento se originó durante la atención de una contingencia vehicular consistente en una llanta pinchada, ocasionada por el mal estado de la vía. Las condiciones del entorno, sumadas a la limitación de 
espacio, obligaron al trabajador a realizar la maniobra en una postura inadecuada, generando sobrecarga biomecánica. Adicionalmente, la fatiga asociada a la carga y duración de la jornada laboral contribuyó 
a disminuir la capacidad física del trabajador, incrementando la probabilidad de lesión. En conjunto, estos factores dieron lugar a un accidente de trabajo, evidenciando la necesidad de fortalecer las medidas 
preventivas relacionadas con la gestión del riesgo biomecánico y la atención segura de emergencias vehiculares en vía pública.</t>
  </si>
  <si>
    <t xml:space="preserve">
SENSIBILIZACIÓN PREVENCIÓNN DE LESIONES POR CAMBIO DE LLANTAS </t>
  </si>
  <si>
    <t xml:space="preserve">8:30 A.M. </t>
  </si>
  <si>
    <t>El día del evento me encontraba laborando como conductora para el contrato de Medicarte. Llegué en horas de la mañana al punto de recogida ubicado en Almacentro, en la ciudad de Medellín. En la parte externa del lugar había varios vehículos estacionados tanto al lado derecho como al izquierdo, lo que dificultaba el tránsito y el parqueo. Inicialmente di la vuelta con la intención de parquear en la parte externa mientras esperaba a la enfermera que debía recoger. Observé un espacio disponible, pero cuando me disponía a ingresar al mismo, una motocicleta fue estacionada recientemente en ese lugar, lo que me impedía parquear allí sin quedar en contravía. Para evitar realizar una maniobra indebida o generar riesgo, decidí ingresar al parqueadero interno. Una vez dentro del parqueadero, pregunté a unos enfermeros si habían visto a la persona que debía recoger; me informaron que aún no se encontraba allí. Observé un espacio disponible y decidí estacionar el vehículo mientras transcurrían los minutos permitidos de espera. Realicé la maniobra de parqueo en reversa, verificando visualmente la distancia con una columna y con un vehículo que se encontraba a mi lado izquierdo. Transcurrido el tiempo de espera y al no recibir comunicación de la enfermera, procedí a salir del parqueadero. Inicié la maniobra calculando la distancia con la columna y el vehículo contiguo. En el momento de arrancar sentí un leve roce. Al salir y verificar, me percaté de que había impactado un tubo metálico protector que se encontraba instalado en una de las columnas del parqueadero, el cual protege una bajante. Dicho tubo no está presente en las demás columnas, por lo que no lo advertí al momento de realizar el cálculo visual inicial. Es importante aclarar que en ese momento la enfermera no se encontraba dentro del vehículo y no hubo afectación a terceros ni lesiones personales. Posteriormente tomé fotografías del lugar del impacto y del vehículo, y más adelante informé la situación al señor Gustavo, enviándole las evidencias correspondientes. Luego continué con la ruta asignada, ya que el vehículo se encontraba en condiciones operativas.</t>
  </si>
  <si>
    <t>FEMENINO</t>
  </si>
  <si>
    <t xml:space="preserve"> Solo rayones en la parte trasera del vehículo </t>
  </si>
  <si>
    <t xml:space="preserve">SALUD TOTAL </t>
  </si>
  <si>
    <t xml:space="preserve">10:27 A.M. </t>
  </si>
  <si>
    <t>Lunes</t>
  </si>
  <si>
    <t xml:space="preserve">8:50 A.M. </t>
  </si>
  <si>
    <t xml:space="preserve">8:40 A.M. </t>
  </si>
  <si>
    <t xml:space="preserve">FALTA DE ATENCIÓN A LAS CONDICIONES DEL PISO O LAS VECINDADES </t>
  </si>
  <si>
    <t>El evento se genera durante una maniobra de salida en reversa y posterior arranque en espacio reducido, con buena visibilidad y condiciones climáticas normales. No hubo exceso de velocidad, ni fallas mecánicas, ni factores climáticos incidentes.</t>
  </si>
  <si>
    <t xml:space="preserve">10:00 A.M. </t>
  </si>
  <si>
    <t>Yo me encontraba haciendo la fila en un semáforo cuando, en ese momento, una motocicleta pasó entre dos vehículos: el nuestro y el que se encontraba al otro costado. La motocicleta llevaba alforjas o maleteros ubicados a ambos lados. Al parecer, el conductor de la motocicleta no se percató de si contaba con el espacio suficiente para pasar. Al realizar la maniobra, rozó y rayó nuestro vehículo, ocasionando daños tanto en nuestro carro como en el vehículo que se encontraba a un lado.</t>
  </si>
  <si>
    <t xml:space="preserve">23/11/1970
</t>
  </si>
  <si>
    <t>Un pequeño rayón en el costado derecho del vehículo.</t>
  </si>
  <si>
    <t xml:space="preserve">01:30 P.M. </t>
  </si>
  <si>
    <t xml:space="preserve">FUERA DEL HORARIO LABORAL </t>
  </si>
  <si>
    <t xml:space="preserve">DESCANSÓ </t>
  </si>
  <si>
    <t>El evento se originó cuando una motocicleta transitó entre vehículos detenidos en un semáforo, intentando pasar por un espacio reducido sin calcular adecuadamente el ancho total de la motocicleta, la cual portaba alforjas laterales.</t>
  </si>
  <si>
    <t xml:space="preserve">11:00 A.M. </t>
  </si>
  <si>
    <t>Yo llegué a dejar a los ingenieros en el lugar de destino en El Santuario. La vía era estrecha y estaba en descenso. Delante de mí había un vehículo parqueado y yo me encontraba detenido esperando que otro vehículo terminara de subir. En ese momento, aproximadamente a unos diez metros detrás de mí, salió un vehículo de un parqueadero. La conductora, que era una menor de edad de aproximadamente 16 o 17 años, intentó maniobrar varias veces en reversa para ubicarse detrás de mi vehículo, pero no dejaba el espacio suficiente. En uno de los intentos, al ser un vehículo automático, en vez de poner reversa puso marcha hacia adelante y aceleró fuertemente, impactándome por la parte trasera. Debido al impacto, mi vehículo fue empujado hacia adelante y colisioné con el carro que se encontraba estacionado delante de mí.</t>
  </si>
  <si>
    <t>-Rayón y hundimiento en el bumper delantero, rayón en la puerta del maletero, rayón en el bumper trasero y fisura del stop trasero derecho.
-El vehículo que impacté presentó rayón en el bumper trasero</t>
  </si>
  <si>
    <t xml:space="preserve">SANTUARIO </t>
  </si>
  <si>
    <t xml:space="preserve">7:30 A.M. </t>
  </si>
  <si>
    <t xml:space="preserve">5:45 A.M. </t>
  </si>
  <si>
    <t xml:space="preserve">12:00 P.M. </t>
  </si>
  <si>
    <t xml:space="preserve">9:00 P.M. </t>
  </si>
  <si>
    <t xml:space="preserve">1 HORA 37 MINUTOS </t>
  </si>
  <si>
    <t xml:space="preserve">*INSUFICIENTE ESPACIO DE TRABAJO 
*RIESGO DEL TRAFICO 
*PENDIENTE </t>
  </si>
  <si>
    <t>Yo venía subiendo antes del primer mirador de Cocorná a una velocidad entre 40 y 45 km/h. Delante iba una Toyota Prado y detrás una NPR. Una motocicleta salió de una propiedad hacia la vía sin prever el tránsito. La Prado frenó para no atropellarla. Yo frené y logré detenerme sin impactar a la Prado, pero el vehículo que venía detrás no alcanzó a frenar y me impactó por la parte trasera.</t>
  </si>
  <si>
    <t>Vidrio trasero fragmentado y tapa trasera hundida.</t>
  </si>
  <si>
    <t xml:space="preserve">COCORNÁ </t>
  </si>
  <si>
    <t xml:space="preserve">5:40 P.M. </t>
  </si>
  <si>
    <t xml:space="preserve">7:40 A.M. </t>
  </si>
  <si>
    <t xml:space="preserve">6:00 P.M. </t>
  </si>
  <si>
    <t xml:space="preserve">8 HORAS 40 MINUTOS </t>
  </si>
  <si>
    <t xml:space="preserve">601 Conducir demasiado rápido o demasiado despacio  666 No guardar la distancia </t>
  </si>
  <si>
    <t>El siniestro vial se produjo cuando una motocicleta ingresó a la vía sin verificar el tránsito, lo que obligó al vehículo que iba adelante a frenar bruscamente. Aunque el conductor del vehículo de la empresa logró detenerse sin colisionar, el vehículo que se desplazaba detrás no mantuvo la distancia de seguridad y terminó impactándolo por la parte trasera, configurándose un choque por alcance.</t>
  </si>
  <si>
    <t>Yo me desplazaba hacia mi lugar de trabajo en Estación Colombia aproximadamente a las 6:15 a.m. Estaba lloviendo y el piso se encontraba mojado. Se presentó un choque múltiple porque el primer vehículo frenó intempestivamente, al parecer porque una motocicleta o un vehículo se le atravesó. Yo venía aproximadamente entre 40 y 50 km/h, con buena distancia. Accioné el freno y mi vehículo respondió, logrando detenerme sin impactar inicialmente. En ese momento sentí un fuerte impacto en la parte trasera de mi vehículo, ocasionado por una camioneta Kia que venía detrás. Ese impacto hizo que mi vehículo fuera impulsado hacia adelante y colisionara con el vehículo que estaba delante de mí, generándose un efecto dominó donde se vieron involucrados varios vehículos, incluida una motocicleta.</t>
  </si>
  <si>
    <r>
      <t>EN LA PARTE FRONTAL (BOMPER, PERSIANA Y ESTRUCTURA), Y EN LA PARTE TRASERA LATERAL</t>
    </r>
    <r>
      <rPr>
        <sz val="11"/>
        <color rgb="FF000000"/>
        <rFont val="Calibri"/>
        <charset val="1"/>
      </rPr>
      <t>.</t>
    </r>
  </si>
  <si>
    <t xml:space="preserve">6:15 A.M. </t>
  </si>
  <si>
    <t xml:space="preserve">AÚN NO INICIABA LABORES </t>
  </si>
  <si>
    <t xml:space="preserve">*RIESGO DEL TRÁFICO 
*CONDICIONES CLIMATICAS (LLUVIA) </t>
  </si>
  <si>
    <t>El evento se genera en condiciones de lluvia y pavimento mojado, tras el frenado intempestivo de un vehículo que ocasiona una reacción en cadena. Aunque se mantenía una velocidad moderada y distancia prudente, el impacto por alcance desde la parte posterior produjo el desplazamiento del vehículo hacia adelante, generando un choque múltiple. Influyeron las condiciones climáticas y la dinámica del tránsito en ese momento.</t>
  </si>
  <si>
    <t>Fue por el vehículo, fui por el carro a logística porque allá dejamos los carros. Me subí, lo prendí, hice la preoperacional. El señor Edison de mantenimiento me pidió el favor de traerle el desayuno. Fui al casino Cuní, cuadré el carro en el segundo espacio junto a la ambulancia. Dejé el desayuno en la silla, prendí direccionales y la reversa, miré por los espejos y retrocedí despacio. Cuando ya iba a arrancar sentí el golpe por detrás. Me bajé y hablé con el señor. A simple vista no vi daños ni en mi vehículo ni en el de él. Anoté la placa y me fui porque tenía el afán de salir para Medellín. No sabía que debía esperar.</t>
  </si>
  <si>
    <t xml:space="preserve">23/02/1968
</t>
  </si>
  <si>
    <t xml:space="preserve">1/12/2024
</t>
  </si>
  <si>
    <t xml:space="preserve">AL VEHICULO DEL OTRO CONDUCTOR SOLO UN RAYÓN </t>
  </si>
  <si>
    <t xml:space="preserve">ITUANGO </t>
  </si>
  <si>
    <t xml:space="preserve">6:52 A.M. </t>
  </si>
  <si>
    <t>Viernes</t>
  </si>
  <si>
    <t xml:space="preserve">6:30 A.M. </t>
  </si>
  <si>
    <t xml:space="preserve">22 MINUTOS </t>
  </si>
  <si>
    <t xml:space="preserve">BAJA PERCEPCIÓN DEL RIESGO </t>
  </si>
  <si>
    <t>El siniestro se generó por una inadecuada gestión del riesgo en zona de parqueadero con circulación activa de vehículos. El conductor del vehículo  estacionó en área no permitida, lo que limitó la visibilidad al momento de salir, mientras que el conductor del otro vehículo no mantuvo distancia de seguridad ni velocidad preventiva.</t>
  </si>
  <si>
    <t>Yo venía transportando usuarios desde La Dorada hacia la Central Miel. Durante el recorrido iba detrás de un vehículo tipo turbo. Esperé que pasara un vehículo en sentido contrario y realicé la maniobra de adelantamiento señalizando con pito. Cuando estaba adelantando apareció una motocicleta saliendo de la curva que no era visible previamente. Para evitar una colisión frontal me orillé lo más posible, generándose un roce lateral con el vehículo turbo.</t>
  </si>
  <si>
    <t>Rayón superficial y leve tallón en la carrocería lateral sin daños estructurales.</t>
  </si>
  <si>
    <t xml:space="preserve">DORADA </t>
  </si>
  <si>
    <t xml:space="preserve">CALDAS </t>
  </si>
  <si>
    <t xml:space="preserve">1:40 P.M. </t>
  </si>
  <si>
    <t xml:space="preserve">5:00 P.M. </t>
  </si>
  <si>
    <t xml:space="preserve">6 HORAS </t>
  </si>
  <si>
    <r>
      <rPr>
        <sz val="11"/>
        <color rgb="FF000000"/>
        <rFont val="Calibri"/>
        <scheme val="minor"/>
      </rPr>
      <t xml:space="preserve">
</t>
    </r>
    <r>
      <rPr>
        <sz val="11"/>
        <color rgb="FF000000"/>
        <rFont val="Calibri"/>
        <scheme val="minor"/>
      </rPr>
      <t xml:space="preserve">*Baja percepción del riesgo </t>
    </r>
  </si>
  <si>
    <t>*Adelantamiento inapropiado 
*Restricciones Visuales</t>
  </si>
  <si>
    <t>El siniestro vial se generó por la combinación de un acto subestándar asociado a la realización de adelantamiento en zona restringida y factores del entorno vial que limitaron la visibilidad efectiva.</t>
  </si>
  <si>
    <t>Socializar el evento con todos los conductores mediante lección aprendida, enfatizando prohibición de adelantamientos en zonas restringidas</t>
  </si>
  <si>
    <t xml:space="preserve">Capacitación al conductor en Manejo Defensivo y Gestión del Riesgo Vial, enfocada en la toma segura de decisiones durante la conduccióne. </t>
  </si>
  <si>
    <t xml:space="preserve">Arreglo del vehículo </t>
  </si>
  <si>
    <t>Me encontraba realizando mis labores como conductor del vehículo de la empresa. Mientras transitaba por una vía recta aproximadamente a 75 km/h, una mujer habitante de la calle salió de manera inesperada a la vía y lanzó una piedra hacia el vehículo. Intenté reaccionar y esquivar la situación, pero la piedra impactó el costado izquierdo del vehículo, generando un hundimiento al lado de la farola izquierda. No se presentaron personas lesionadas.</t>
  </si>
  <si>
    <t xml:space="preserve">Se hunde al lado de la farola izquierda. </t>
  </si>
  <si>
    <t xml:space="preserve">ALTERCADO CON HABITANTE DE CALLE </t>
  </si>
  <si>
    <t xml:space="preserve">11:30 A.M. </t>
  </si>
  <si>
    <t xml:space="preserve">8:00 A.M. </t>
  </si>
  <si>
    <t xml:space="preserve">3 HORAS 30 MINUTOS </t>
  </si>
  <si>
    <t>Violencia</t>
  </si>
  <si>
    <t>El accidente fue originado principalmente por un factor externo no controlado (acto de un tercero), pero estuvo influenciado por condiciones del entorno y la necesidad de reforzar la conducción defensiva, especialmente en zonas con presencia de peatones inesperados.</t>
  </si>
  <si>
    <t>Me encontraba en el edificio inteligente realizando la revisión y limpieza del vehículo. En ese momento pasó el carro recolector de basura cerca del lugar donde estaba trabajando. Después de que el vehículo pasó, empecé a sentir ardor en los ojos, presentando mayor molestia en el ojo derecho. La incomodidad continuó por varios días, por lo que me apliqué gotas oftálmicas durante cuatro días, tiempo en el que duró la molestia</t>
  </si>
  <si>
    <t xml:space="preserve">IRRITACIÓN EN OJO </t>
  </si>
  <si>
    <t>Riesgos Físicos</t>
  </si>
  <si>
    <t xml:space="preserve">CUERPO EXTRAÑO EN OJO </t>
  </si>
  <si>
    <t xml:space="preserve">6:00 A.M. </t>
  </si>
  <si>
    <t>Trauma superficial (incluye rasguño, punción o pinchazo y lesión en ojo por cuerpo extraño)</t>
  </si>
  <si>
    <t>Ojo</t>
  </si>
  <si>
    <t>Materiales o sustancias</t>
  </si>
  <si>
    <t>Otro. Especificar</t>
  </si>
  <si>
    <t xml:space="preserve">EXPOSICIÓN A AGENTES CONTAMINANTES </t>
  </si>
  <si>
    <t>El accidente fue causado principalmente por la exposición a gases irritantes del carro recolector, combinada con la cercanía al agente contaminante y la ausencia de protección visual, todo ello favorecido por condiciones ambientales no controladas y falta de medidas preventivas específicas.</t>
  </si>
  <si>
    <t xml:space="preserve">CAPACITACIÓN PREVENCIÓN DE LESIONES EN LOS OJOS </t>
  </si>
  <si>
    <t xml:space="preserve">Porque una moto venía haciendo un adelantamiento indebido y yo por esquivarlo me encueté y golpeé las ruedas del lado derecho del vehículo y el retrovisor. </t>
  </si>
  <si>
    <t>la central de dirección, los rines del lados derecho rayados y  el retrovisor derecho.</t>
  </si>
  <si>
    <t>ALTO DE MATASANOS</t>
  </si>
  <si>
    <t xml:space="preserve">9: 25 A.M. </t>
  </si>
  <si>
    <t xml:space="preserve">6:30 P.M. </t>
  </si>
  <si>
    <t xml:space="preserve">2 HORAS 25 MINUTOS </t>
  </si>
  <si>
    <t xml:space="preserve">PASAR INAPROPIADAMENTE </t>
  </si>
  <si>
    <t>El accidente se originó debido a la invasión de carril por parte de una motocicleta que realizaba un adelantamiento indebido en una curva, lo que obligó al conductor a ejecutar una maniobra evasiva para evitar una colisión directa.Como consecuencia, el vehículo se salió parcialmente de la vía y cayó en la cuneta, generando daños materiales. No se presentaron personas lesionadas, y el evento evidencia la importancia de reforzar el respeto por las normas de tránsito y la conducción preventiva en este tipo de condiciones.</t>
  </si>
  <si>
    <t>Me encontraba parqueado frente al casino Cuní. Al salir en reversa, otro vehículo también realizaba la misma maniobra. Había un carro que obstaculizaba la visibilidad, lo que generó un choque leve entre ambos vehículos.</t>
  </si>
  <si>
    <t xml:space="preserve">El rin trasero derecho y plato del eje. 
</t>
  </si>
  <si>
    <t xml:space="preserve">4:17 P.M. </t>
  </si>
  <si>
    <t xml:space="preserve">8 HORAS 17 MINUTOS </t>
  </si>
  <si>
    <t xml:space="preserve">ACTUAR SIN VERIFICACIÓN DEL ENTORNO </t>
  </si>
  <si>
    <t>El accidente se produjo por la ejecución simultánea de maniobras en reversa en un entorno con visibilidad restringida, donde no se implementaron controles preventivos adecuados. Se identifican como causas principales la deficiente valoración del entorno por parte de los conductores y la presencia de condiciones inseguras asociadas a la obstrucción visual y congestión vehicular. La causa raíz corresponde a la falta de control del riesgo en maniobras de reversa en zonas operativas, evidenciando la necesidad de fortalecer medidas de prevención, capacitación y control operacional.</t>
  </si>
  <si>
    <t>Yo me encontraba realizando un servicio para CHEC en el municipio de Chinchiná. Mientras descendía desde el sector Curazao hacia el sector Ínsula, en una curva cerrada me encontré de frente con un camión grúa que venía muy abierto en la vía. Para evitar una colisión reaccioné desviando el vehículo hacia la cuneta, lo que ocasionó un golpe contra el borde de la vía. Como consecuencia se presentó daño en el ring trasero derecho y se torció el eje del vehículo. En el incidente no hubo personas lesionadas, únicamente daños materiales.</t>
  </si>
  <si>
    <t xml:space="preserve"> rin trasero derecho y plato del eje. </t>
  </si>
  <si>
    <t xml:space="preserve">CHINCHINÁ </t>
  </si>
  <si>
    <t xml:space="preserve">7:20 P.M. </t>
  </si>
  <si>
    <t xml:space="preserve">CONDUCIR DEMASIADO RÁPIDO O DEMASIADO DESPACIO </t>
  </si>
  <si>
    <t>El accidente se generó durante la circulación en una curva cerrada en vía rural, debido a la invasión de carril por parte de un vehículo contrario y las condiciones de visibilidad limitada por vegetación. El conductor realizó una maniobra evasiva para evitar una colisión frontal, lo que derivó en la salida parcial de la vía y daños materiales. No se presentaron lesionados, y el evento evidencia la necesidad de reforzar la conducción preventiva en este tipo de vías.</t>
  </si>
  <si>
    <t xml:space="preserve">4:30 P.M. </t>
  </si>
  <si>
    <t>Yo Mauricio Herrera Palacio, en calidad de colaborador en el parqueadero y con plena facultad dada por el jefe de mantenimiento, reversando la camioneta JY0420 colisioné con el manubrio de una bicicleta que se encontraba en la celda de parqueo, perdiendo visión una vez con el objeto de choque. Ya cuadrado el vehículo, me bajé para revisar y efectivamente con una punta de manubrio de la bicicleta hice el daño.</t>
  </si>
  <si>
    <t xml:space="preserve">Hundimiento leve de la lata de la compuerta en el lado derecho 
</t>
  </si>
  <si>
    <t>Sábado</t>
  </si>
  <si>
    <t xml:space="preserve">4 HORAS </t>
  </si>
  <si>
    <t xml:space="preserve">UBICACIÓN INADECUADA DE BICILETA </t>
  </si>
  <si>
    <t xml:space="preserve">NO PRESTAR ATENCIÓN A LAS CONDICIONES DEL PISO O LAS VECINDADES </t>
  </si>
  <si>
    <t>El evento se generó por la interacción de factores externos y comportamentales. Por un lado, se presentó una condición imprevista asociada a la acción insegura de un tercero, quien generó una situación súbita al intervenir en la vía.</t>
  </si>
  <si>
    <t xml:space="preserve">10:30 A.M. </t>
  </si>
  <si>
    <t xml:space="preserve">El día 16 de marzo de 2026, aproximadamente a las 08:05 a.m., al iniciar mi jornada laboral, me disponía a movilizar el vehículo desde el lugar donde lo tenía parqueado en mi residencia, el cual se encuentra en una bahía con leve pendiente.
 Al encender el vehículo e iniciar la marcha, no engrané la primera velocidad, lo que ocasionó que el vehículo se desplazara hacia atrás aproximadamente entre 70 y 80 centímetros. Como consecuencia, el vehículo impactó contra el marco estructural de la vivienda, generando un daño leve en la parte trasera (maletero), evidenciado en un hundimiento superficial con leve afectación de la pintura.
</t>
  </si>
  <si>
    <t xml:space="preserve">hundimiento de la parte trasera. 
</t>
  </si>
  <si>
    <t xml:space="preserve">8:05 A.M. </t>
  </si>
  <si>
    <t xml:space="preserve">AUN NO INICIABA LABORES </t>
  </si>
  <si>
    <t xml:space="preserve">*NO ASEGURAR EL VEHICULO 
*FALTA DE ATENCIÓN A LAS CONDICIONES DEL PISO O LAS VECINDADES </t>
  </si>
  <si>
    <t>El evento se generó debido a que el vehículo se encontraba estacionado en una pendiente y, al iniciar la marcha, no se engranó la primera velocidad, lo que permitió el desplazamiento hacia atrás y el posterior impacto contra la estructura de la vivienda.</t>
  </si>
  <si>
    <t xml:space="preserve">El día 16/03/2026, siendo aproximadamente entre las 11:30pm y 12:30am, me encontraba a la espera de un personal que estaba realizando la descarga de una mercancía en proveeduría, una vez finalizada esta actividad, me dirigí a la zona con el fin de buscar parqueadero y el campamento, ingresé al área de logística para recargar la botella de agua personal en el dispensador. Posteriormente, al no encontrar parqueadero adecuado, decidí considerar la opción de estacionar en otro lugar. 
Al salir del área de logística y realizar un giro hacia la derecha, llevaba en la mano la botella de agua personal con agua que acababa de recargar y en ese momento me encontraba tomando un sorbo. En ese instante, mediante la visión periférica, observé que un animal cruzaba la vía corriendo (no se logró identificar que animal). Debido a que tenía una mano ocupada con la botella de agua, mi capacidad de reacción se vio afectada, lo que impidió que maniobrara el volante con la rapidez necesaria. El volante no alcanzó a enderezarse completamente y, mientras aún dirigía la mirada hacia la derecha, se produjo el impacto con la baranda.
</t>
  </si>
  <si>
    <t>Daño de bómper lado derecho</t>
  </si>
  <si>
    <t xml:space="preserve">11.30 p.m. </t>
  </si>
  <si>
    <t xml:space="preserve">*Agarrar el timón
 de forma errada
*Falta de atención a
 las condiciones del piso
 o las vecindades 
</t>
  </si>
  <si>
    <t>Se evidencian factores comportamentales asociados a la conducción que afectaron la atención y el control del vehículo, contribuyendo a la ocurrencia del incidente. Se identifica la necesidad de reforzar prácticas de conducción segura, especialmente en lo relacionado con la atención plena al conducir y la anticipación de riesgos en la vía.</t>
  </si>
  <si>
    <t xml:space="preserve">*REALIZACIÓN CURSO DE MANEJO DEFENSIVO 
*REPARACIÓN VEHICULO 
*ARREGLO BARANDA </t>
  </si>
  <si>
    <t xml:space="preserve">9:00 A.M. </t>
  </si>
  <si>
    <t xml:space="preserve">El conductor manifiesta que se encontraba realizando un transbordo, dejando a un compañero y esperando otro vehículo. Posteriormente, al retirarse del lugar, realizó una maniobra de reversa para salir hacia la central Aguas.
Durante la maniobra, impactó con el costado derecho del bus un objeto que no logró identificar claramente, presuntamente un palo o elemento sobresaliente que no era visible. Como consecuencia, se produjo la ruptura de un vidrio del vehículo.
El conductor indica que descendió del vehículo inmediatamente para verificar lo ocurrido, sin encontrar personas, daños visibles a terceros o claridad sobre el objeto impactado. Posteriormente, continuó su recorrido.
Inicialmente no reportó completamente lo sucedido por temor, pero posteriormente informó a su superior enviando evidencia fotográfica del daño del vehículo.
</t>
  </si>
  <si>
    <t xml:space="preserve">Ruptura del vidrio de la puerta lado derecho. </t>
  </si>
  <si>
    <t xml:space="preserve">SECTOR LA HOLANDA </t>
  </si>
  <si>
    <t xml:space="preserve">7:50 A.M. </t>
  </si>
  <si>
    <t xml:space="preserve">4:30 A.M. </t>
  </si>
  <si>
    <t xml:space="preserve">3 HORAS 50 MINUTOS </t>
  </si>
  <si>
    <t xml:space="preserve">EXCESO DE CONFIANZA </t>
  </si>
  <si>
    <t>Maniobra en reversa en zona no completamente segura</t>
  </si>
  <si>
    <t>Se evidencia incumplimiento en la gestión segura de maniobras en reversa, al realizarse sin verificación completa del entorno ni apoyo de guía, aumentando el riesgo de colisión.</t>
  </si>
  <si>
    <t xml:space="preserve">LECCIÓN APRENDIDA </t>
  </si>
  <si>
    <t>Capacitación enfocada en: Maniobras en reversa, Identificación de puntos ciegos y Toma de decisiones seguras</t>
  </si>
  <si>
    <t xml:space="preserve">REPARACIÓN DEL VEHICULO </t>
  </si>
  <si>
    <t>04:30 p.m.</t>
  </si>
  <si>
    <t>SVF</t>
  </si>
  <si>
    <t xml:space="preserve">BOLOMBOLO </t>
  </si>
  <si>
    <t>El conductor Fabio Nelson Cadavid Gómez se desplazaba por la vía Amagá–Bolombolo con dirección a Manizales cuando un motocarro invadió su carril de circulación, generando una colisión frontal. Debido a la inmediatez del evento no tuvo tiempo de reaccionar o frenar. Como consecuencia del siniestro fallecieron el conductor del motocarro y una pasajera. El vehículo NNN114 presentó daños en chasis, guardabarros, parachoques, farola y activación de airbags.</t>
  </si>
  <si>
    <t>Fallecimiento del conductor del motocarro y de una pasajer</t>
  </si>
  <si>
    <t>Punta del chasis, guardabarros derecho, parachoques derecho, farola derecha y activación de ocho airbags</t>
  </si>
  <si>
    <t xml:space="preserve">ALTO </t>
  </si>
  <si>
    <t xml:space="preserve">FATALIDAD </t>
  </si>
  <si>
    <t>01:40 a.m.</t>
  </si>
  <si>
    <t>Domingo</t>
  </si>
  <si>
    <t>Mixta</t>
  </si>
  <si>
    <t xml:space="preserve">NO SE CUENTA CON DATO, DEBIDO A QUE EL COLAORADORE NO SE ENCONTRABA EN PRESTACIÓN DEL SERVICIO </t>
  </si>
  <si>
    <t>Independiente o Contratista</t>
  </si>
  <si>
    <t>Fatiga o disminución de la reacción y exceso de confianza</t>
  </si>
  <si>
    <t xml:space="preserve">Conducir a Exceso de velocidad </t>
  </si>
  <si>
    <t>ALTO</t>
  </si>
  <si>
    <t>El evento se originó por invasión de carril del motocarro. Se identificaron como factores contribuyentes la fatiga y el exceso de confianza del conductor.</t>
  </si>
  <si>
    <t>Continuar acompañamiento jurídico, SST y seguimiento del caso hasta cierre definitivo.</t>
  </si>
  <si>
    <t>Sensibilización sobre el accidente y sus causas</t>
  </si>
  <si>
    <t>Realización de curso de manejo defensivo</t>
  </si>
  <si>
    <t>Acompañamiento psicosocial y seguimiento SST</t>
  </si>
  <si>
    <t>Llegué al edificio Cines Plaza, que es la base donde partimos a hacer servicios. Había congestión vehicular. Dejé una profesional y me dirigía a hacer otro servicio.
Cuando iba a salir y encarrilarme, había un trancón. Delante de mí había una camioneta parqueada. Yo puse la direccional para incorporarme al carril izquierdo. En ese momento nos detuvimos por el tráfico.
El conductor de la camioneta dejó retroceder el vehículo unos centímetros y como yo estaba muy cerca, porque me iba a incor0103porar, me terminó golpeando.
Yo sentí el golpe y me bajé a verificar. El otro conductor también se bajó, pero empezó a negar que hubiera retrocedido el vehículo y se tornó grosero. En ese momento procedí a reportar la situación a la empresa</t>
  </si>
  <si>
    <t>Al otro vehículo se le hundió el bumper trasero. Al mío solo se presentó un tallón leve, sin hundimiento.</t>
  </si>
  <si>
    <t xml:space="preserve">1:00 P.M. </t>
  </si>
  <si>
    <t xml:space="preserve">7:00 P.M. </t>
  </si>
  <si>
    <t xml:space="preserve">5 HORAS </t>
  </si>
  <si>
    <t xml:space="preserve">*NO GUARDAR LA DISTANCIA 
*RIESGO DEL TRÁFICO </t>
  </si>
  <si>
    <t>El evento se presentó en condiciones de alta congestión vehicular, donde el conductor, al intentar incorporarse al carril izquierdo, no conservó la distancia de seguridad adecuada respecto al vehículo que antecedía. Esta situación limitó su capacidad de reacción ante la dinámica del tráfico a baja velocidad, generando una colisión por alcance.</t>
  </si>
  <si>
    <t xml:space="preserve">El conductor inició servicio a las 2:30 p.m. desde San Carlos. Hacia las 4:20 p.m., en San Rafael, encontró fuerte congestión vehicular que impedía el paso habitual por el sector del hospital. Tras consultar con una agente de tránsito, se le indicó rodear el parque principal.
Durante la maniobra, debido al poco ángulo de dirección del vehículo, la vía estrecha, vehículos parqueados y el retrovisor mojado por la lluvia, accidentalmente se movió y cayó una moto estacionada. La agente de tránsito presenció el hecho, se realizó inspección y no se evidenciaron daños.
La agente indicó continuar la marcha en contravía con acompañamiento para evitar otro incidente. No apareció el propietario de la moto y el recorrido continuó sin novedades. No se tomaron registros fotográficos.
</t>
  </si>
  <si>
    <t xml:space="preserve">SAN RAFAEL </t>
  </si>
  <si>
    <t xml:space="preserve">4:20 P.M. </t>
  </si>
  <si>
    <t xml:space="preserve">1 HORA 20 MINUTOS </t>
  </si>
  <si>
    <t xml:space="preserve">*FALTA DE VERIFICACIÓN COMPLETA DEL ENTORNO ANTES DE MANIOBRAR
*RIESGO DLE TRÁFICO </t>
  </si>
  <si>
    <t>Se evidencia riesgo por maniobras en vías estrechas bajo condiciones adversas (lluvia, visibilidad reducida y congestión), sumado a limitaciones del vehículo (ángulo de giro) y entorno (vehículos mal parqueados).</t>
  </si>
  <si>
    <t>Me dirigía hacia mi domicilio a descansar, pasando frente a la estación Acevedo, a una velocidad normal, aproximadamente entre 15 y 20 km/h, ya que estaba pasando un reductor de velocidad. En ese momento, un taxista chocó contra la parte trasera de mi vehículo. Me bajé del vehículo y el señor manifestó que la culpa era de él, indicando que se había enredado con los pedales.</t>
  </si>
  <si>
    <t xml:space="preserve">Raspón superficial bomper trasero. </t>
  </si>
  <si>
    <t xml:space="preserve">9:20 P.M. </t>
  </si>
  <si>
    <t xml:space="preserve">YA HABIA FINALIZADO LABORES </t>
  </si>
  <si>
    <t>El evento se genera principalmente por un error humano del conductor del taxi (tercero), quien pierde el control del vehículo al enredarse con los pedales, impactando por la parte trasera al vehículo de la empresa.</t>
  </si>
  <si>
    <t>El 12 de abril aproximadamente entre las 12:45 pm y 12:50 pm, me encontraba conduciendo por la Avenida 80 detrás de un bus de servicio público. Estábamos detenidos en un semáforo en rojo y al cambiar a verde avanzamos en el mismo sentido a una velocidad aproximada de 10 km/h. En ese momento, giré la mirada hacia un costado por la ventanilla buscando un restaurante para almorzar, y cuando volví a mirar hacia adelante, el bus había frenado repentinamente en la vía, por lo cual colisioné por la parte trasera del mismo. Considero que el evento ocurrió por el frenado inesperado del bus y por un descuido mío al no mantener la visual al frente.</t>
  </si>
  <si>
    <t>*Se reventó el bómper en la parte central trasera;
*Se quebró el capo, la persiana, bómper, farola lado derecho y hundimiento parte frontal.</t>
  </si>
  <si>
    <t xml:space="preserve">12:45 P.M. </t>
  </si>
  <si>
    <t xml:space="preserve">6 HORAS 45 MINUTOS </t>
  </si>
  <si>
    <t>*DISTRACCIÓN 
*EXCESO DE CONFIANZA</t>
  </si>
  <si>
    <t>El evento se originó principalmente por la distracción del conductor, quien desvió su atención de la vía, limitando su capacidad de reacción ante el frenado repentino del vehículo que transitaba adelante. Aunque intervino un tercero, el accidente era prevenible mediante la aplicación de conducción defensiva y atención permanente al entorno.</t>
  </si>
  <si>
    <t>10:00 a.m</t>
  </si>
  <si>
    <t>El conductor se movilizaba por la glorieta de la Avenida San Juan con Ferrocarril en dirección a la Alcaldía de Medellín. Al realizar un giro para incorporarse nuevamente a la Avenida San Juan, un taxi que transitaba por el costado izquierdo se atravesó y frenó repentinamente, obligándolo a frenar. Intentó maniobrar para evitar la colisión, pero quedó sin espacio de reacción. Posteriormente dos personas que venían detrás impactaron el vehículo por la parte trasera, ocasionando daños materiales en el estribo trasero.</t>
  </si>
  <si>
    <t>Golpe en rodillas a tercero atendido por SOAT</t>
  </si>
  <si>
    <t>Estribo trasero averiado</t>
  </si>
  <si>
    <t>SVL</t>
  </si>
  <si>
    <t>10:41 a.m.</t>
  </si>
  <si>
    <t>3 horas 11 minutos</t>
  </si>
  <si>
    <t>Distracción - Falta de atención a las condiciones del piso o las vecindades</t>
  </si>
  <si>
    <t>Error de conducción de tercero / Falta de conservación de distancia de seguridad</t>
  </si>
  <si>
    <t>$116.728</t>
  </si>
  <si>
    <t>El evento se relaciona con factores externos de tránsito y la importancia de mantener conducción preventiva y distancia de seguridad</t>
  </si>
  <si>
    <t>11:00 a.m.</t>
  </si>
  <si>
    <t xml:space="preserve">Secretaria de Movilidad de Medellín </t>
  </si>
  <si>
    <t>El conductor se desplazaba por la Autopista Norte en dirección a su residencia después de llevar el vehículo a lavado. Al intentar incorporarse al carril derecho, una motocicleta ingresó a alta velocidad sin que pudiera advertirla oportunamente, produciéndose la colisión. Como consecuencia, los dos ocupantes de la motocicleta cayeron al suelo. Posteriormente la acompañante solicitó presencia de tránsito, iniciándose el procedimiento legal correspondiente. Durante la investigación el conductor reconoció haber consumido tres cervezas mientras esperaba la entrega del vehículo en el lavadero.</t>
  </si>
  <si>
    <t>Dos ocupantes de motocicleta lesionados; uno presenta golpe en rodillas atendido mediante SOA</t>
  </si>
  <si>
    <t xml:space="preserve">Persiana y bomper delantero del vehículo </t>
  </si>
  <si>
    <t>Moderado</t>
  </si>
  <si>
    <t xml:space="preserve">SINIESTRO VIAL CON LESIONADO </t>
  </si>
  <si>
    <t>EPS SURA</t>
  </si>
  <si>
    <t xml:space="preserve">MEDELLÍN  </t>
  </si>
  <si>
    <t>8:30 p.m.</t>
  </si>
  <si>
    <t xml:space="preserve">NO APLICA </t>
  </si>
  <si>
    <t>Exceso de confianza; conducción bajo efectos del alcohol; falta de atención a las condiciones del entorno; capacidad mental afectada por consumo de alcohol</t>
  </si>
  <si>
    <t>Error de conducción; operar vehículo en condiciones inseguras; conducción bajo efectos del alcohol</t>
  </si>
  <si>
    <t xml:space="preserve">TERCEROS LESIONADOS MAQUINARIA EQUIPOS PROPIOS </t>
  </si>
  <si>
    <t>MEDIO</t>
  </si>
  <si>
    <t>El evento se produjo principalmente por conducción bajo efectos del alcohol, condición que afectó la percepción del riesgo y la capacidad de reacción del conductor.</t>
  </si>
  <si>
    <t xml:space="preserve">Capacitación sobre consecuencias de conducir bajo efectos del alcohol /Curso de Manejo defensivo </t>
  </si>
  <si>
    <t>2:30 p.m.</t>
  </si>
  <si>
    <t>El día 21 de abril de 2026, aproximadamente a las 3:15 p.m., el conductor se desplazaba por la carrera 48 sentido norte-sur hacia La Alpujarra. Debido al alto flujo vehicular realizó una parada a la altura de la calle 60. Aproximadamente cinco segundos después recibió un impacto en la parte trasera de su vehículo ocasionado por otro conductor que manifestó haberse distraído</t>
  </si>
  <si>
    <t>Abolladura en la contrapuerta del baúl</t>
  </si>
  <si>
    <t>3:15 p.m</t>
  </si>
  <si>
    <t>Nocturna</t>
  </si>
  <si>
    <t>11:00 a.m</t>
  </si>
  <si>
    <t>No recuerda</t>
  </si>
  <si>
    <t>11:08 p.m.</t>
  </si>
  <si>
    <t>4 horas 15 minutos</t>
  </si>
  <si>
    <t>Distracción del conductor tercero y falta de conservación de distancia de seguridad.</t>
  </si>
  <si>
    <t>Colisión por alcance en condiciones de alto flujo vehicular.</t>
  </si>
  <si>
    <t>No se evidencian actos inseguros ni fallas operativas atribuibles al conductor de la empresa</t>
  </si>
  <si>
    <t xml:space="preserve">8:30 a.m. </t>
  </si>
  <si>
    <t>SNZ817</t>
  </si>
  <si>
    <t xml:space="preserve">no </t>
  </si>
  <si>
    <t>Jorge Humberto Valencia Grajales</t>
  </si>
  <si>
    <t>71701826</t>
  </si>
  <si>
    <t>3217193254</t>
  </si>
  <si>
    <t xml:space="preserve">Conductor se desplazaba a recoger funcionario, cuando de pronto en un semaforo una mujer se cruza el otro en rojo e impacta al vejoiculo del conductoir </t>
  </si>
  <si>
    <t xml:space="preserve">Si </t>
  </si>
  <si>
    <t xml:space="preserve">2:00 p.m. </t>
  </si>
  <si>
    <t>El conductor salió de tanquear en la calle 41 con carrera 46 aproximadamente a las 6:00 a.m. y se dirigía hacia la Avenida 33. Al avanzar con semáforo en verde, un vehículo de gran tamaño obstruyó su visibilidad y no observó otro vehículo que ingresó a la intersección. Se produjo una colisión lateral impactando el costado del tercero y la parte frontal de su vehículo</t>
  </si>
  <si>
    <t xml:space="preserve">: Los dos guardabarros delanteros, farolas, bomper tablero, cuna, radiador, toda la parte delantera
Tercero: Dos puertas del lado derecho
</t>
  </si>
  <si>
    <t>06:05 a.m.</t>
  </si>
  <si>
    <t xml:space="preserve">se dirigia a recoger el funcionario </t>
  </si>
  <si>
    <t xml:space="preserve">7:00 a.m. </t>
  </si>
  <si>
    <t xml:space="preserve">5:30 p.m. </t>
  </si>
  <si>
    <t>35 minutos</t>
  </si>
  <si>
    <t>Restricciones visuales, condiciones de la vía y errores de conducción.</t>
  </si>
  <si>
    <t>Intersección, visibilidad reducida por vehículo de gran tamaño y reacción tardía.</t>
  </si>
  <si>
    <t xml:space="preserve">MAQUINARIA PROPIA Y TERCERO </t>
  </si>
  <si>
    <t>El evento se relaciona con restricciones visuales, condiciones de la vía y aspectos comportamentales durante la conducción.</t>
  </si>
  <si>
    <t>08:00 a.m.</t>
  </si>
  <si>
    <t>El conductor se desplazaba por la Avenida Regional sentido norte-sur a la altura de la calle 25. Activó la direccional para incorporarse a la carrera 50 mediante giro a la izquierda. Observó una motocicleta detenida en la señal de pare; sin embargo, al iniciar la maniobra, la motocicleta omitió la señal y colisionó contra el estribo izquierdo de la camioneta.</t>
  </si>
  <si>
    <t>Tallón en el estribo izquierdo del vehículo NNN058</t>
  </si>
  <si>
    <t>05:21 p.m.</t>
  </si>
  <si>
    <t>06:30 a.m.</t>
  </si>
  <si>
    <t xml:space="preserve">6:00 p.m. </t>
  </si>
  <si>
    <t xml:space="preserve">10 horas 21 minutos </t>
  </si>
  <si>
    <t>Exceso de confianza de la motociclista y lectura inadecuada del entorno vial.</t>
  </si>
  <si>
    <t>Error de conducción y no respeto de señal de pare por parte de la motociclista.</t>
  </si>
  <si>
    <t>El evento ocurrió por lectura inadecuada del entorno vial y exceso de confianza de la motociclista que invadió la trayectoria del vehículo durante una maniobra permitida y señalizada</t>
  </si>
  <si>
    <t>Capacitación sobre cuidados en cruces e intersecciones y glorietas.</t>
  </si>
  <si>
    <t>08:30 a.m.</t>
  </si>
  <si>
    <t>El día 11 de mayo de 2026 a las 5:40 a.m., se dirigía hacia Emprestur para realizar cambio de conductor por la Autopista Regional Sur, carril izquierdo, sector La Macarena. Al tomar una semicurva, un motociclista intentó adelantar por la derecha, frenó bruscamente por falta de espacio e impactó el costado derecho trasero de la camioneta, desprendiendo el bómper trasero.</t>
  </si>
  <si>
    <t xml:space="preserve">Rayón a la defensa </t>
  </si>
  <si>
    <t>Salud Total S.A.</t>
  </si>
  <si>
    <t>05:40 a.m.</t>
  </si>
  <si>
    <t xml:space="preserve">5:30 a.m. </t>
  </si>
  <si>
    <t>Aproximadamente 10 horas y 40 minutos</t>
  </si>
  <si>
    <t>Riesgo del tráfico; error de conducción del motociclista; adelantamiento inseguro por la derecha.</t>
  </si>
  <si>
    <t>Acto inseguro de tercero (motociclista).</t>
  </si>
  <si>
    <t>El evento se originó principalmente por la conducta imprudente del motociclista al adelantar por la derecha sin condiciones seguras, agravado por el alto flujo vehicular y la semicurva.</t>
  </si>
  <si>
    <t>Lección aprendida del evento para todos los trabajadores.</t>
  </si>
  <si>
    <t>Realización de curso de manejo defensivo.</t>
  </si>
  <si>
    <t xml:space="preserve">9:00 a.m. </t>
  </si>
  <si>
    <t>Me movilizaba por la vía vieja Chinchiná–Manizales. Iba subiendo y al tomar una curva perdí el control del vehículo porque la vía estaba mojada por la lluvia y había aceite sobre la carretera. Intenté frenar, pero el vehículo se deslizó hacia un costado y terminé impactando contra el barranco. Todo ocurrió muy rápido</t>
  </si>
  <si>
    <t xml:space="preserve">No registra </t>
  </si>
  <si>
    <t>Daños en la Persiana y bómper delantero</t>
  </si>
  <si>
    <t>05:10 a.m.</t>
  </si>
  <si>
    <t>5 horas y 10 minutos</t>
  </si>
  <si>
    <t>Condiciones ambientales peligrosas; estado de la vía; presencia de aceite o sustancia deslizante; vía húmeda por lluvia</t>
  </si>
  <si>
    <t>Pérdida de adherencia y control del vehículo en curva</t>
  </si>
  <si>
    <t>El evento ocurrió debido a la pérdida de control del vehículo mientras transitaba por una curva en ascenso, como consecuencia de las condiciones adversas de la vía, caracterizadas por la presencia de aceite o sustancias deslizantes sobre una calzada húmeda por efecto de la lluvia.</t>
  </si>
  <si>
    <t>09:20 a.m</t>
  </si>
  <si>
    <t>El conductor se encontraba detenido en una congestión vehicular cuando una motocicleta que realizaba una maniobra de adelantamiento impactó la parte trasera de la camioneta, ocasionando daños en el stop trasero derecho.</t>
  </si>
  <si>
    <t>Stop trasero derecho averiado</t>
  </si>
  <si>
    <t xml:space="preserve">ITAGUÍ </t>
  </si>
  <si>
    <t>06:20 p.m</t>
  </si>
  <si>
    <t>05:30 a.m.</t>
  </si>
  <si>
    <t>06:00 a.m.</t>
  </si>
  <si>
    <t>11 horas y 50 minutos</t>
  </si>
  <si>
    <t>Riesgo del tráfico; errores de conducción del motociclista; velocidad insegura.</t>
  </si>
  <si>
    <t>Maniobra de adelantamiento insegura y velocidad inadecuada del motociclista.</t>
  </si>
  <si>
    <t>$300.000</t>
  </si>
  <si>
    <t>El evento ocurrió cuando el vehículo se encontraba detenido por congestión vehicular y fue impactado por una motocicleta que realizaba una maniobra de adelantamiento insegura a velocidad inadecuada</t>
  </si>
  <si>
    <t>03:30 p.m.</t>
  </si>
  <si>
    <t>El conductor manifestó que se encontraba detenido en el vivero de EPM Enecon realizando la descarga de material orgánico y vegetal. Durante esta actividad, un vehículo de placas STZ-058 realizó una maniobra de reversa y, al abrirse la compuerta de carga, esta impactó la parte frontal izquierda del vehículo de Emprestur, ocasionando daños materiales.</t>
  </si>
  <si>
    <t>Rayón en la parte frontal izquierda del vehículo</t>
  </si>
  <si>
    <t>02:10 p.m.</t>
  </si>
  <si>
    <t>04:00 p.m.</t>
  </si>
  <si>
    <t>8 horas y 10 minutos</t>
  </si>
  <si>
    <t>Falta de aseguramiento adecuado de la compuerta del vehículo tercero; deficiencias en procedimientos de operación del tercero.</t>
  </si>
  <si>
    <t>Apertura inesperada de compuerta durante maniobra de reversa.</t>
  </si>
  <si>
    <t>El incidente ocurrió mientras el vehículo de Emprestur permanecía detenido realizando actividades de descarga. Un vehículo tercero, durante una maniobra de reversa, presentó la apertura de su compuerta de carga, impactando la parte frontal izquierda del vehículo estacionado.</t>
  </si>
  <si>
    <t>Socialización de lección aprendida para todos los trabajadores</t>
  </si>
  <si>
    <t>10:00 a.m.</t>
  </si>
  <si>
    <t>El conductor frenó para evitar atropellar una serpiente que cruzaba la vía. Posteriormente una motocicleta con dos ocupantes impactó la parte trasera del vehículo.</t>
  </si>
  <si>
    <t>Rayones en parte trasera y daño en stop auxiliar</t>
  </si>
  <si>
    <t xml:space="preserve">Norcasia </t>
  </si>
  <si>
    <t xml:space="preserve">Caldas </t>
  </si>
  <si>
    <t xml:space="preserve">4:30 a.m. </t>
  </si>
  <si>
    <t xml:space="preserve">Descansó </t>
  </si>
  <si>
    <t xml:space="preserve">9 horas </t>
  </si>
  <si>
    <t>Riesgos naturales (animales en la vía)</t>
  </si>
  <si>
    <t>Falta de distancia de seguridad por parte del conductor de la motocicleta</t>
  </si>
  <si>
    <t>El evento evidencia actuación preventiva del conductor para proteger fauna silvestre; se requiere fortalecer conducción defensiva y mantener distancia de seguridad.</t>
  </si>
  <si>
    <t>SReforzar las capacitaciones en conducción defensiva y manejo preventivo ante presencia de fauna silvestre.</t>
  </si>
  <si>
    <t>Lección aprendida del evento para todos los trabajadores</t>
  </si>
  <si>
    <t>Capacitación en manejo defensivo y socialización de lección aprendida.</t>
  </si>
  <si>
    <t>1:50 p.m.</t>
  </si>
  <si>
    <t>Durante una maniobra en reversa para retirar el bus de un espacio reducido, el retrovisor impactó un tubo metálico ocasionando la ruptura del vidrio lateral. Posteriormente la parte trasera del vehículo hizo contacto con una estructura metálica generando rayones en la carrocería.</t>
  </si>
  <si>
    <t>Quiebre del vidrio lado derecho y rayones en la carrocería</t>
  </si>
  <si>
    <t>Nueva EPS</t>
  </si>
  <si>
    <t>5:00 p.m</t>
  </si>
  <si>
    <t>4:30 a.m.</t>
  </si>
  <si>
    <t xml:space="preserve">Descanso </t>
  </si>
  <si>
    <t>11 horas y 30 minutos</t>
  </si>
  <si>
    <t>Actividades rutinarias, exceso de confianza en el área de trabajo y estándares deficientes de trabajo</t>
  </si>
  <si>
    <t>Falta de atención a las condiciones del entorno o vecindades durante la maniobra</t>
  </si>
  <si>
    <t>El evento evidencia la importancia de realizar maniobras vehiculares con apoyo y verificación previa cuando existen cambios temporales en las condiciones habituales de operación.</t>
  </si>
  <si>
    <t>Sensibilización a los conductores sobre la importancia de mantener el control visual y la verificación constante del entorno durante maniobras en espacios reducidos.</t>
  </si>
  <si>
    <t>Promover la verificación del entorno antes de movilizar el vehículo, identificando obstáculos, puntos ciegos y condiciones que puedan afectar la operación segura</t>
  </si>
  <si>
    <t>Socialización de la lección aprendida y capacitación en prevención de incidentes durante maniobras en reversa.</t>
  </si>
  <si>
    <t>Mientras prestaba servicio para ISAGEN en Envigado, estacionó el vehículo siguiendo instrucciones del personal de seguridad. Durante el tiempo en que se encontraba cenando junto con otros conductores, personas desconocidas rompieron el vidrio trasero izquierdo del vehículo y hurtaron un bolso con documentos personales, llaves y dinero en efectivo por aproximadamente $625.000. Al detectar el hecho activó el protocolo interno e informó a la empresa.</t>
  </si>
  <si>
    <t>Hurto de pertenencias personales del conductor</t>
  </si>
  <si>
    <t>Quiebre del vidrio trasero lado izquierdo del vehículo.</t>
  </si>
  <si>
    <t xml:space="preserve">ENVIGADO </t>
  </si>
  <si>
    <t>9:30 p.m.</t>
  </si>
  <si>
    <t>6:30 a.m.</t>
  </si>
  <si>
    <t>Aproximadamente 15 horas</t>
  </si>
  <si>
    <t>Estándares deficientes de trabajo frente a la supervisión del vehículo durante tiempos de espera y exposición al riesgo público.</t>
  </si>
  <si>
    <t>Falta de atención a las condiciones del entorno (vehículo estacionado en vía pública sin supervisión directa).</t>
  </si>
  <si>
    <t>El evento corresponde a la materialización de un riesgo público derivado de dejar el vehículo estacionado en un sitio sin supervisión directa durante un servicio especial. Se requiere fortalecer los controles de seguridad y vigilancia de los vehículos.</t>
  </si>
  <si>
    <t>Sensibilizar al personal sobre riesgo público y prevención de hurto durante la operación.</t>
  </si>
  <si>
    <t>Definir que al menos un conductor permanezca supervisando los vehículos durante tiempos de espera prolongados</t>
  </si>
  <si>
    <t>Socializar la lección aprendida con todos los trabajadores y fortalecer los protocolos de estacionamiento seguro.</t>
  </si>
  <si>
    <t>4:30 p.m.</t>
  </si>
  <si>
    <t>El día 25 de mayo aproximadamente a las 11:45 a.m., el conductor se disponía a ingresar con el vehículo tipo bus de placas GDZ164 al almacén El Trapiche. Durante una maniobra de reversa giró hacia la izquierda sin advertir un vehículo Suzuki Vitara de placas EHL493 estacionado junto al acceso, produciéndose contacto entre ambos vehículos y ocasionando daños en el guardabarros delantero izquierdo del Suzuki.</t>
  </si>
  <si>
    <t>Rayones en la parte trasera del vehículo GDZ164</t>
  </si>
  <si>
    <t>11:45 a.m.6:30 a.m</t>
  </si>
  <si>
    <t xml:space="preserve">LUNES </t>
  </si>
  <si>
    <t xml:space="preserve">6:30 a.m. </t>
  </si>
  <si>
    <t>5 horas 15 minutos</t>
  </si>
  <si>
    <t>Falta de atención a las condiciones del entorno, errores de conducción, restricción visual.</t>
  </si>
  <si>
    <t>Operar a velocidad insegura (N/A), acto subestándar por no verificar el entorno antes de la maniobra.</t>
  </si>
  <si>
    <t>$116.727</t>
  </si>
  <si>
    <t>Implementar campañas de prevención, capacitación en manejo defensivo y fortalecer la anticipación durante maniobras</t>
  </si>
  <si>
    <t>Fortalecer campañas de prevención enfocadas en tiempos de reacción y anticipación frente a maniobras inesperadas.</t>
  </si>
  <si>
    <t>Capacitación en manejo defensivo.</t>
  </si>
  <si>
    <t>El conductor transitaba normalmente por una vía estrecha en la vereda del municipio de Angostura cuando observó dos camionetas que venían de frente en una curva. Para evitar una colisión frontal realizó una maniobra evasiva hacia un costado de la vía; durante dicha maniobra no identificó oportunamente un polín (poste de madera) atravesado al borde de la carretera, impactándolo con la parte trasera lateral del vehículo. El evento ocasionó únicamente daños materiales, sin lesionados ni fallas mecánicas.</t>
  </si>
  <si>
    <t>Doblez de la lámina en la parte trasera lateral del vehículo y ruptura del bumper delantero central.</t>
  </si>
  <si>
    <t>Savia Salud</t>
  </si>
  <si>
    <t xml:space="preserve">ANGOSTURA </t>
  </si>
  <si>
    <t>9:30 a.m.</t>
  </si>
  <si>
    <t>5:00 a.m.</t>
  </si>
  <si>
    <t>4:00 a.m</t>
  </si>
  <si>
    <t>8:00 p.m</t>
  </si>
  <si>
    <t>4 horas 30 minutos</t>
  </si>
  <si>
    <t>Errores de conducción; restricción visual por geometría de la vía; condiciones del entorno; riesgo del tráfico.</t>
  </si>
  <si>
    <t>Falta de atención a las condiciones del entorno durante la maniobra evasiva; estado de la vía (curva, huecos y pérdida de banca).</t>
  </si>
  <si>
    <t>El siniestro se produjo por una maniobra evasiva en una vía con condiciones geométricas deficientes y presencia de un obstáculo lateral no identificado oportunamente. Se recomienda fortalecer el manejo defensivo y la anticipación de riesgos en vías rurales.</t>
  </si>
  <si>
    <t>Capacitación en prevención de siniestros por obstáculos en la vía.</t>
  </si>
  <si>
    <t>Realización de curso de manejo defensivo y divulgación de la lección aprendida del evento.</t>
  </si>
  <si>
    <t>El conductor se encontraba prestando un servicio para 123 Social. Estacionó correctamente el vehículo para acompañar a una funcionaria hasta su destino. Al regresar encontró que un motociclista había impactado la parte trasera del vehículo. Intentó detenerlo y tomar una fotografía de la placa, pero el motociclista huyó del lugar.</t>
  </si>
  <si>
    <t>Stop trasero izquierdo averiado.</t>
  </si>
  <si>
    <t>10:40 p.m.</t>
  </si>
  <si>
    <t xml:space="preserve">Miercoles </t>
  </si>
  <si>
    <t>10:00 p.m.</t>
  </si>
  <si>
    <t>6:00 a.m.</t>
  </si>
  <si>
    <t>40 minutos</t>
  </si>
  <si>
    <t>Riesgo del tráfico; errores de conducción del motociclista; falta de atención a las condiciones del entorno por parte del tercero.</t>
  </si>
  <si>
    <t>Imprudencia del motociclista que impactó un vehículo correctamente estacionado y huyó del lugar.</t>
  </si>
  <si>
    <t>Se concluye que el conductor actuó de forma adecuada al estacionar correctamente el vehículo. El evento fue ocasionado por la imprudencia del motociclista que impactó el vehículo y abandonó el lugar. Se recomienda reforzar la sensibilización sobre riesgos por terceros y divulgar la lección aprendida.</t>
  </si>
  <si>
    <t>Socializar la lección aprendida del evento con todos los trabajadores.</t>
  </si>
  <si>
    <t>Verificación de la efectividad de las medidas implementadas.</t>
  </si>
  <si>
    <t xml:space="preserve">Cralos Franco </t>
  </si>
  <si>
    <t xml:space="preserve">Juan Guillermo Vélez Hoyos </t>
  </si>
  <si>
    <t xml:space="preserve">Accidente de trabjo </t>
  </si>
  <si>
    <t xml:space="preserve">Afectación a la persona </t>
  </si>
  <si>
    <t xml:space="preserve">Coductor </t>
  </si>
  <si>
    <t>11:30 a.m.</t>
  </si>
  <si>
    <t>Durante una parada para desayunar en la vía Medellín–Barrancabermeja, al descender de la camioneta sintió un fuerte tirón entre la espalda, la columna y la cadera. Continuó el recorrido, pero el dolor aumentó progresivamente hasta requerir atención médica.</t>
  </si>
  <si>
    <t xml:space="preserve">Lumbago </t>
  </si>
  <si>
    <t xml:space="preserve">ACCIDENTE DE TRABAJO </t>
  </si>
  <si>
    <t xml:space="preserve">BARRANCABERMEJA </t>
  </si>
  <si>
    <t>SANTANDER</t>
  </si>
  <si>
    <t>8:30 a.m</t>
  </si>
  <si>
    <t xml:space="preserve">DIURNA </t>
  </si>
  <si>
    <t>5:30 a.m. y 6:00 a.m</t>
  </si>
  <si>
    <t>2 horas y 30 minutos</t>
  </si>
  <si>
    <t>Tronco (Incluye espalda, columna vertebral, medula espinal, pelvis)</t>
  </si>
  <si>
    <t>Ambiente de trabajo (Incluye superficie de tránsito y de trabajo, muebles, tejados, en el exterior interior o subterraneos</t>
  </si>
  <si>
    <t>Pisadas, choques o golpes</t>
  </si>
  <si>
    <t>ensión física y fisiológica derivada de la actividad de conducción y falta de conocimiento sobre técnicas adecuadas para el descenso del vehículo</t>
  </si>
  <si>
    <t>Adopción de una postura inadecuada al descender del vehículo (acto subestándar no especificado).</t>
  </si>
  <si>
    <t>$233.456</t>
  </si>
  <si>
    <t>El accidente obedeció a factores biomecánicos y a una postura inadecuada durante el descenso del vehículo. Se recomienda fortalecer la prevención de lesiones osteomusculares mediante capacitación y sensibilización.</t>
  </si>
  <si>
    <t>Sensibilización al trabajador sobre el accidente y las causas identificadas.</t>
  </si>
  <si>
    <t>Capacitación en prevención de lesiones musculares al subir y descender del vehículo</t>
  </si>
  <si>
    <t>Socialización de la lección aprendida con todos los trabajadores.</t>
  </si>
  <si>
    <t>CLASIFICACIÓN DE LOS RIESGOS</t>
  </si>
  <si>
    <t>DIA DE LA SEMANA</t>
  </si>
  <si>
    <t>Jornada de Trabajo habitual</t>
  </si>
  <si>
    <t>Tipo de accidente</t>
  </si>
  <si>
    <t>Área o sitio donde ocurre el evento</t>
  </si>
  <si>
    <t>Tipo de la lesión</t>
  </si>
  <si>
    <t>Parte del cuerpo afectada</t>
  </si>
  <si>
    <t>Agende de la lesión</t>
  </si>
  <si>
    <t>Mecanismo o forma del accidente</t>
  </si>
  <si>
    <t>Tipo de vinculación</t>
  </si>
  <si>
    <t>Tipo de Contratación</t>
  </si>
  <si>
    <t>Almacenes o depósitos</t>
  </si>
  <si>
    <t>Fractura</t>
  </si>
  <si>
    <t>Cabeza</t>
  </si>
  <si>
    <t>Maquinas y equipos</t>
  </si>
  <si>
    <t>Caida de personas</t>
  </si>
  <si>
    <t>Administrativo</t>
  </si>
  <si>
    <t>Riesgos Químicos</t>
  </si>
  <si>
    <t>Areas de producción</t>
  </si>
  <si>
    <t>Luxación</t>
  </si>
  <si>
    <t>Medios de transporte</t>
  </si>
  <si>
    <t>Caida de objetos</t>
  </si>
  <si>
    <t>Misión</t>
  </si>
  <si>
    <t>Riesgos Biológicos</t>
  </si>
  <si>
    <t>Deportivo / Recreativo / Cultural</t>
  </si>
  <si>
    <t>Areas recreativas o deportivas</t>
  </si>
  <si>
    <t>Cuello</t>
  </si>
  <si>
    <t>Aparatos</t>
  </si>
  <si>
    <t>Coorperado</t>
  </si>
  <si>
    <t>Riesgo Psicolaboral</t>
  </si>
  <si>
    <t>Turnos</t>
  </si>
  <si>
    <t>Corredores o pasillos</t>
  </si>
  <si>
    <t>Conmosión o trauma interno</t>
  </si>
  <si>
    <t>Atrapamientos</t>
  </si>
  <si>
    <t>Estudiante o aprendiz</t>
  </si>
  <si>
    <t>Escaleras</t>
  </si>
  <si>
    <t>Amputacion o enucleación (exclusión o pérdida del ojo)</t>
  </si>
  <si>
    <t>Torax</t>
  </si>
  <si>
    <t>Herida</t>
  </si>
  <si>
    <t>Radiaciones</t>
  </si>
  <si>
    <t>Exposición o contacto con temperatura extrema</t>
  </si>
  <si>
    <t>Oficinas</t>
  </si>
  <si>
    <t>Miembros superiores</t>
  </si>
  <si>
    <t>Exposición o contacto con la eléctricidad</t>
  </si>
  <si>
    <t xml:space="preserve">Otras áreas comunes </t>
  </si>
  <si>
    <t>Golpe o contusión o aplastamiento</t>
  </si>
  <si>
    <t>Manos</t>
  </si>
  <si>
    <t>Animales (Vivios o productos animales)</t>
  </si>
  <si>
    <t>Exposición o contacto con sustancias nocivas, radiaciones o salpicaduras</t>
  </si>
  <si>
    <t>Otro</t>
  </si>
  <si>
    <t>Quemaduras</t>
  </si>
  <si>
    <t>Miembros inferiores</t>
  </si>
  <si>
    <t>Otros Agentes no clasificados</t>
  </si>
  <si>
    <t>Envenenamiento o intoxicación aguda o alergia</t>
  </si>
  <si>
    <t>Pies</t>
  </si>
  <si>
    <t>Agentes no clasificados por falta de datos</t>
  </si>
  <si>
    <t>Efectos del tiempo, del clima u otros relacionados con el ambiente</t>
  </si>
  <si>
    <t>Ubicaciones Multiples</t>
  </si>
  <si>
    <t>Asfixia</t>
  </si>
  <si>
    <t>Lesiones generales u otras</t>
  </si>
  <si>
    <t>Efecto de la electricidad</t>
  </si>
  <si>
    <t>Efecto nocivo de la radiación</t>
  </si>
  <si>
    <t>Lesiones múltiples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</si>
</sst>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409]* #,##0.00_ ;_-[$$-409]* \-#,##0.00\ ;_-[$$-409]* &quot;-&quot;??_ ;_-@_ "/>
  </numFmts>
  <fonts count="21">
    <font>
      <sz val="11"/>
      <color theme="1"/>
      <name val="Calibri"/>
      <family val="2"/>
      <scheme val="minor"/>
    </font>
    <font>
      <u/>
      <sz val="11"/>
      <color theme="10"/>
      <name val="Calibri"/>
      <family val="2"/>
      <scheme val="minor"/>
    </font>
    <font>
      <sz val="8"/>
      <color theme="1"/>
      <name val="Calibri"/>
      <family val="2"/>
      <scheme val="minor"/>
    </font>
    <font>
      <u/>
      <sz val="8"/>
      <color theme="10"/>
      <name val="Calibri"/>
      <family val="2"/>
      <scheme val="minor"/>
    </font>
    <font>
      <b/>
      <sz val="10"/>
      <color theme="0"/>
      <name val="Calibri"/>
      <family val="2"/>
      <scheme val="minor"/>
    </font>
    <font>
      <b/>
      <sz val="11"/>
      <color theme="1"/>
      <name val="Calibri"/>
      <family val="2"/>
      <scheme val="minor"/>
    </font>
    <font>
      <b/>
      <sz val="10"/>
      <color rgb="FF000000"/>
      <name val="Aptos Narrow"/>
      <family val="2"/>
      <scheme val="minor"/>
    </font>
    <font>
      <sz val="11"/>
      <color rgb="FF000000"/>
      <name val="Arial"/>
      <family val="2"/>
    </font>
    <font>
      <sz val="11"/>
      <color rgb="FF000000"/>
      <name val="Aptos Narrow"/>
      <family val="2"/>
      <scheme val="minor"/>
    </font>
    <font>
      <sz val="11"/>
      <color theme="1"/>
      <name val="Aptos Narrow"/>
      <family val="2"/>
      <scheme val="minor"/>
    </font>
    <font>
      <b/>
      <sz val="11"/>
      <color theme="1"/>
      <name val="Aptos Narrow"/>
      <family val="2"/>
      <scheme val="minor"/>
    </font>
    <font>
      <sz val="10"/>
      <color theme="1"/>
      <name val="Aptos Narrow"/>
      <family val="2"/>
      <scheme val="minor"/>
    </font>
    <font>
      <sz val="10"/>
      <color rgb="FF000000"/>
      <name val="Aptos Narrow"/>
      <family val="2"/>
      <scheme val="minor"/>
    </font>
    <font>
      <i/>
      <sz val="11"/>
      <color theme="1"/>
      <name val="Calibri"/>
      <family val="2"/>
      <scheme val="minor"/>
    </font>
    <font>
      <b/>
      <sz val="10"/>
      <color rgb="FFFFFFFF"/>
      <name val="Arial"/>
      <family val="2"/>
    </font>
    <font>
      <sz val="10"/>
      <color theme="1"/>
      <name val="Calibri"/>
      <family val="2"/>
      <scheme val="minor"/>
    </font>
    <font>
      <sz val="11"/>
      <color rgb="FF000000"/>
      <name val="Calibri"/>
      <charset val="1"/>
    </font>
    <font>
      <sz val="11"/>
      <color rgb="FF000000"/>
      <name val="Calibri"/>
      <scheme val="minor"/>
    </font>
    <font>
      <sz val="10"/>
      <name val="Arial"/>
      <family val="2"/>
    </font>
    <font>
      <sz val="10"/>
      <name val="Calibri"/>
      <family val="2"/>
    </font>
    <font>
      <sz val="14"/>
      <color rgb="FF000000"/>
      <name val="Calibri"/>
      <charset val="1"/>
    </font>
  </fonts>
  <fills count="10">
    <fill>
      <patternFill patternType="none"/>
    </fill>
    <fill>
      <patternFill patternType="gray125"/>
    </fill>
    <fill>
      <patternFill patternType="solid">
        <fgColor theme="4"/>
        <bgColor theme="4"/>
      </patternFill>
    </fill>
    <fill>
      <patternFill patternType="solid">
        <fgColor rgb="FF808080"/>
        <bgColor rgb="FF006600"/>
      </patternFill>
    </fill>
    <fill>
      <patternFill patternType="solid">
        <fgColor theme="4" tint="0.79998168889431442"/>
        <bgColor indexed="64"/>
      </patternFill>
    </fill>
    <fill>
      <patternFill patternType="solid">
        <fgColor rgb="FF808080"/>
        <bgColor rgb="FF000000"/>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1" fillId="0" borderId="0" applyNumberFormat="0" applyFill="0" applyBorder="0" applyAlignment="0" applyProtection="0"/>
    <xf numFmtId="0" fontId="9" fillId="0" borderId="0"/>
  </cellStyleXfs>
  <cellXfs count="76">
    <xf numFmtId="0" fontId="0" fillId="0" borderId="0" xfId="0"/>
    <xf numFmtId="0" fontId="0" fillId="0" borderId="0" xfId="0" applyAlignment="1">
      <alignment vertical="center" wrapText="1"/>
    </xf>
    <xf numFmtId="49" fontId="0" fillId="0" borderId="0" xfId="0" applyNumberFormat="1" applyAlignment="1">
      <alignment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49" fontId="3" fillId="0" borderId="0" xfId="1" applyNumberFormat="1" applyFont="1" applyAlignment="1">
      <alignment vertical="center" wrapText="1"/>
    </xf>
    <xf numFmtId="49" fontId="1" fillId="0" borderId="0" xfId="1" applyNumberFormat="1" applyAlignment="1">
      <alignment vertical="center" wrapText="1"/>
    </xf>
    <xf numFmtId="22" fontId="0" fillId="0" borderId="0" xfId="0" applyNumberFormat="1" applyAlignment="1">
      <alignment vertical="center" wrapText="1"/>
    </xf>
    <xf numFmtId="14" fontId="0" fillId="0" borderId="0" xfId="0" applyNumberFormat="1" applyAlignment="1">
      <alignment vertical="center" wrapText="1"/>
    </xf>
    <xf numFmtId="0" fontId="0" fillId="0" borderId="0" xfId="0" quotePrefix="1" applyAlignment="1">
      <alignment vertical="center" wrapText="1"/>
    </xf>
    <xf numFmtId="49" fontId="0" fillId="0" borderId="0" xfId="0" quotePrefix="1" applyNumberFormat="1" applyAlignment="1">
      <alignment vertical="center" wrapText="1"/>
    </xf>
    <xf numFmtId="0" fontId="0" fillId="0" borderId="0" xfId="0" applyAlignment="1">
      <alignment wrapText="1"/>
    </xf>
    <xf numFmtId="0" fontId="0" fillId="0" borderId="0" xfId="0" applyAlignment="1">
      <alignment vertical="center"/>
    </xf>
    <xf numFmtId="22"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5" fillId="0" borderId="0" xfId="0" applyFont="1" applyAlignment="1">
      <alignment vertical="center" wrapText="1"/>
    </xf>
    <xf numFmtId="0" fontId="5" fillId="0" borderId="0" xfId="0" applyFont="1" applyAlignment="1">
      <alignment vertical="center"/>
    </xf>
    <xf numFmtId="0" fontId="6" fillId="0" borderId="4" xfId="0" applyFont="1" applyBorder="1" applyAlignment="1">
      <alignment horizontal="center" vertical="center"/>
    </xf>
    <xf numFmtId="0" fontId="0" fillId="0" borderId="4" xfId="0" applyBorder="1" applyAlignment="1">
      <alignment vertical="center" wrapText="1"/>
    </xf>
    <xf numFmtId="0" fontId="7" fillId="0" borderId="4" xfId="0" applyFont="1" applyBorder="1" applyAlignment="1">
      <alignment horizontal="center" vertical="center" wrapText="1"/>
    </xf>
    <xf numFmtId="0" fontId="8" fillId="0" borderId="4" xfId="0" applyFont="1" applyBorder="1" applyAlignment="1">
      <alignment horizontal="center" vertical="center"/>
    </xf>
    <xf numFmtId="0" fontId="0" fillId="0" borderId="4" xfId="0" applyBorder="1" applyAlignment="1">
      <alignment vertical="center"/>
    </xf>
    <xf numFmtId="0" fontId="0" fillId="0" borderId="4" xfId="0" applyBorder="1" applyAlignment="1">
      <alignment horizontal="center" vertical="center"/>
    </xf>
    <xf numFmtId="0" fontId="10" fillId="0" borderId="4" xfId="2" applyFont="1" applyBorder="1" applyAlignment="1">
      <alignment horizontal="center" vertical="center"/>
    </xf>
    <xf numFmtId="0" fontId="10" fillId="0" borderId="4" xfId="2" applyFont="1" applyBorder="1" applyAlignment="1">
      <alignment horizontal="center" vertical="center" wrapText="1"/>
    </xf>
    <xf numFmtId="0" fontId="11" fillId="0" borderId="4" xfId="2" applyFont="1" applyBorder="1" applyAlignment="1">
      <alignment horizontal="center" vertical="center" wrapText="1"/>
    </xf>
    <xf numFmtId="0" fontId="9" fillId="0" borderId="4" xfId="2" applyBorder="1" applyAlignment="1">
      <alignment horizontal="center" vertical="center" wrapText="1"/>
    </xf>
    <xf numFmtId="17" fontId="6" fillId="0" borderId="5" xfId="0" applyNumberFormat="1" applyFont="1" applyBorder="1" applyAlignment="1">
      <alignment horizontal="center" vertical="center"/>
    </xf>
    <xf numFmtId="0" fontId="6" fillId="0" borderId="5" xfId="0" applyFont="1" applyBorder="1"/>
    <xf numFmtId="0" fontId="0" fillId="0" borderId="5" xfId="0" applyBorder="1" applyAlignment="1">
      <alignment horizontal="center" vertical="center"/>
    </xf>
    <xf numFmtId="0" fontId="6" fillId="6" borderId="5" xfId="0" applyFont="1" applyFill="1" applyBorder="1" applyAlignment="1">
      <alignment wrapText="1"/>
    </xf>
    <xf numFmtId="17" fontId="6" fillId="0" borderId="6" xfId="0" applyNumberFormat="1" applyFont="1" applyBorder="1" applyAlignment="1">
      <alignment horizontal="center" vertical="center"/>
    </xf>
    <xf numFmtId="17" fontId="6" fillId="0" borderId="7" xfId="0" applyNumberFormat="1" applyFont="1" applyBorder="1" applyAlignment="1">
      <alignment horizontal="center" vertical="center"/>
    </xf>
    <xf numFmtId="0" fontId="0" fillId="6" borderId="8" xfId="0" applyFill="1" applyBorder="1"/>
    <xf numFmtId="0" fontId="0" fillId="6" borderId="5" xfId="0" applyFill="1" applyBorder="1"/>
    <xf numFmtId="17" fontId="6" fillId="7" borderId="6" xfId="0" applyNumberFormat="1" applyFont="1" applyFill="1" applyBorder="1" applyAlignment="1">
      <alignment horizontal="center" vertical="center"/>
    </xf>
    <xf numFmtId="0" fontId="6" fillId="0" borderId="0" xfId="0" applyFont="1" applyAlignment="1">
      <alignment vertical="center" wrapText="1"/>
    </xf>
    <xf numFmtId="0" fontId="12" fillId="0" borderId="0" xfId="0" applyFont="1" applyAlignment="1">
      <alignment vertical="center"/>
    </xf>
    <xf numFmtId="0" fontId="5" fillId="6" borderId="8" xfId="0" applyFont="1" applyFill="1" applyBorder="1" applyAlignment="1">
      <alignment wrapText="1"/>
    </xf>
    <xf numFmtId="49" fontId="13" fillId="0" borderId="0" xfId="0" applyNumberFormat="1" applyFont="1" applyAlignment="1">
      <alignment vertical="center" wrapText="1"/>
    </xf>
    <xf numFmtId="0" fontId="14" fillId="3" borderId="0" xfId="0" applyFont="1" applyFill="1" applyAlignment="1">
      <alignment horizontal="center" vertical="center" wrapText="1"/>
    </xf>
    <xf numFmtId="14" fontId="0" fillId="0" borderId="0" xfId="0" applyNumberFormat="1" applyAlignment="1">
      <alignment horizontal="center" vertical="center"/>
    </xf>
    <xf numFmtId="0" fontId="0" fillId="4" borderId="0" xfId="0" applyFill="1" applyAlignment="1">
      <alignment horizontal="center" vertical="center" wrapText="1"/>
    </xf>
    <xf numFmtId="14" fontId="14" fillId="3" borderId="0" xfId="0" applyNumberFormat="1" applyFont="1" applyFill="1" applyAlignment="1">
      <alignment horizontal="center" vertical="center" wrapText="1"/>
    </xf>
    <xf numFmtId="164" fontId="14" fillId="3" borderId="0" xfId="0" applyNumberFormat="1" applyFont="1" applyFill="1" applyAlignment="1">
      <alignment horizontal="center" vertical="center" wrapText="1"/>
    </xf>
    <xf numFmtId="0" fontId="14" fillId="5" borderId="0" xfId="0" applyFont="1" applyFill="1" applyAlignment="1">
      <alignment horizontal="center" vertical="center" wrapText="1"/>
    </xf>
    <xf numFmtId="14" fontId="0" fillId="0" borderId="0" xfId="0" applyNumberFormat="1"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165" fontId="0" fillId="4" borderId="0" xfId="0" applyNumberFormat="1" applyFill="1" applyAlignment="1">
      <alignment horizontal="center" vertical="center" wrapText="1"/>
    </xf>
    <xf numFmtId="0" fontId="0" fillId="7" borderId="0" xfId="0" applyFill="1" applyAlignment="1">
      <alignment vertical="center" wrapText="1"/>
    </xf>
    <xf numFmtId="165" fontId="14" fillId="3" borderId="0" xfId="0" applyNumberFormat="1" applyFont="1" applyFill="1" applyAlignment="1">
      <alignment horizontal="center" vertical="center" wrapText="1"/>
    </xf>
    <xf numFmtId="0" fontId="0" fillId="9" borderId="0" xfId="0" applyFill="1" applyAlignment="1">
      <alignment horizontal="center" vertical="center" wrapText="1"/>
    </xf>
    <xf numFmtId="49" fontId="0" fillId="0" borderId="0" xfId="0" applyNumberFormat="1" applyAlignment="1">
      <alignment horizontal="center" vertical="center" wrapText="1"/>
    </xf>
    <xf numFmtId="49" fontId="0" fillId="0" borderId="0" xfId="0" quotePrefix="1" applyNumberFormat="1" applyAlignment="1">
      <alignment horizontal="center" vertical="center" wrapText="1"/>
    </xf>
    <xf numFmtId="49" fontId="3" fillId="0" borderId="0" xfId="1" applyNumberFormat="1" applyFont="1" applyAlignment="1">
      <alignment horizontal="center" vertical="center" wrapText="1"/>
    </xf>
    <xf numFmtId="49" fontId="1" fillId="0" borderId="0" xfId="1" applyNumberFormat="1" applyAlignment="1">
      <alignment horizontal="center" vertical="center" wrapText="1"/>
    </xf>
    <xf numFmtId="0" fontId="20" fillId="0" borderId="0" xfId="0" applyFont="1" applyAlignment="1">
      <alignment horizontal="center" vertical="center" wrapText="1"/>
    </xf>
    <xf numFmtId="0" fontId="15" fillId="0" borderId="0" xfId="0" applyFont="1" applyAlignment="1">
      <alignment horizontal="center" vertical="center" wrapText="1"/>
    </xf>
    <xf numFmtId="14" fontId="18" fillId="0" borderId="0" xfId="0" applyNumberFormat="1" applyFont="1" applyAlignment="1">
      <alignment horizontal="center" vertical="center" wrapText="1"/>
    </xf>
    <xf numFmtId="14" fontId="19" fillId="0" borderId="0" xfId="0" applyNumberFormat="1" applyFont="1" applyAlignment="1">
      <alignment horizontal="center" vertical="center" wrapText="1"/>
    </xf>
    <xf numFmtId="0" fontId="0" fillId="8" borderId="0" xfId="0" applyFill="1" applyAlignment="1">
      <alignment horizontal="center" vertical="center" wrapText="1"/>
    </xf>
    <xf numFmtId="0" fontId="0" fillId="7" borderId="0" xfId="0" applyFill="1" applyAlignment="1">
      <alignment horizontal="center" vertical="center" wrapText="1"/>
    </xf>
    <xf numFmtId="22" fontId="0" fillId="0" borderId="1" xfId="0" applyNumberFormat="1" applyBorder="1" applyAlignment="1">
      <alignment horizontal="center" vertical="center" wrapText="1"/>
    </xf>
    <xf numFmtId="0" fontId="4" fillId="2" borderId="0" xfId="0" applyFont="1" applyFill="1" applyAlignment="1">
      <alignment horizontal="center" vertical="center" wrapText="1"/>
    </xf>
    <xf numFmtId="22" fontId="0" fillId="0" borderId="2" xfId="0" applyNumberFormat="1" applyBorder="1" applyAlignment="1">
      <alignment horizontal="center" vertical="center" wrapText="1"/>
    </xf>
    <xf numFmtId="22" fontId="0" fillId="0" borderId="3" xfId="0" applyNumberFormat="1" applyBorder="1" applyAlignment="1">
      <alignment horizontal="center" vertical="center" wrapText="1"/>
    </xf>
    <xf numFmtId="22" fontId="0" fillId="7" borderId="0" xfId="0" applyNumberFormat="1" applyFill="1" applyAlignment="1">
      <alignment horizontal="center" vertical="center" wrapText="1"/>
    </xf>
    <xf numFmtId="49" fontId="0" fillId="7" borderId="0" xfId="0" applyNumberFormat="1" applyFill="1" applyAlignment="1">
      <alignment horizontal="center" vertical="center" wrapText="1"/>
    </xf>
    <xf numFmtId="1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49" fontId="3" fillId="7" borderId="0" xfId="1" applyNumberFormat="1" applyFont="1" applyFill="1" applyAlignment="1">
      <alignment horizontal="center" vertical="center" wrapText="1"/>
    </xf>
    <xf numFmtId="49" fontId="1" fillId="7" borderId="0" xfId="1" applyNumberFormat="1" applyFill="1" applyAlignment="1">
      <alignment horizontal="center" vertical="center" wrapText="1"/>
    </xf>
    <xf numFmtId="164" fontId="0" fillId="7" borderId="0" xfId="0" applyNumberFormat="1" applyFill="1" applyAlignment="1">
      <alignment horizontal="center" vertical="center" wrapText="1"/>
    </xf>
    <xf numFmtId="165" fontId="0" fillId="7" borderId="0" xfId="0" applyNumberFormat="1" applyFill="1" applyAlignment="1">
      <alignment horizontal="center" vertical="center" wrapText="1"/>
    </xf>
  </cellXfs>
  <cellStyles count="3">
    <cellStyle name="Hyperlink" xfId="1" xr:uid="{00000000-000B-0000-0000-000008000000}"/>
    <cellStyle name="Normal" xfId="0" builtinId="0"/>
    <cellStyle name="Normal 17 2" xfId="2" xr:uid="{2B70350C-E7D0-4872-8652-B0A6ADE0D580}"/>
  </cellStyles>
  <dxfs count="66">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z val="8"/>
      </font>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numFmt numFmtId="30" formatCode="@"/>
      <alignment vertical="center" wrapText="1"/>
    </dxf>
    <dxf>
      <alignment vertical="center" wrapText="1"/>
    </dxf>
    <dxf>
      <numFmt numFmtId="30" formatCode="@"/>
      <alignment horizontal="general" vertical="center" textRotation="0" wrapText="1" indent="0" justifyLastLine="0" shrinkToFit="0" readingOrder="0"/>
    </dxf>
    <dxf>
      <numFmt numFmtId="30" formatCode="@"/>
      <alignment vertical="center" wrapText="1"/>
    </dxf>
    <dxf>
      <numFmt numFmtId="30" formatCode="@"/>
      <alignment vertical="center" wrapText="1"/>
    </dxf>
    <dxf>
      <alignment vertical="center" wrapText="1"/>
    </dxf>
    <dxf>
      <alignment vertical="center" wrapText="1"/>
    </dxf>
    <dxf>
      <alignment vertical="center" wrapText="1"/>
    </dxf>
    <dxf>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C126" totalsRowShown="0" headerRowDxfId="65" dataDxfId="64">
  <autoFilter ref="A1:AC126" xr:uid="{00000000-0009-0000-0100-000001000000}">
    <filterColumn colId="5">
      <filters>
        <dateGroupItem year="2026" dateTimeGrouping="year"/>
      </filters>
    </filterColumn>
  </autoFilter>
  <tableColumns count="29">
    <tableColumn id="2" xr3:uid="{00000000-0010-0000-0000-000002000000}" name="Hora de inicio" dataDxfId="63">
      <extLst>
        <ext xmlns:xlmsforms="http://schemas.microsoft.com/office/spreadsheetml/2023/msForms" uri="{FCC71383-01E1-4257-9335-427F07BE8D7F}">
          <xlmsforms:question id="startDate"/>
        </ext>
      </extLst>
    </tableColumn>
    <tableColumn id="3" xr3:uid="{00000000-0010-0000-0000-000003000000}" name="Hora de finalización" dataDxfId="62">
      <extLst>
        <ext xmlns:xlmsforms="http://schemas.microsoft.com/office/spreadsheetml/2023/msForms" uri="{FCC71383-01E1-4257-9335-427F07BE8D7F}">
          <xlmsforms:question id="submitDate"/>
        </ext>
      </extLst>
    </tableColumn>
    <tableColumn id="4" xr3:uid="{00000000-0010-0000-0000-000004000000}" name="Correo electrónico" dataDxfId="61">
      <extLst>
        <ext xmlns:xlmsforms="http://schemas.microsoft.com/office/spreadsheetml/2023/msForms" uri="{FCC71383-01E1-4257-9335-427F07BE8D7F}">
          <xlmsforms:question id="responder"/>
        </ext>
      </extLst>
    </tableColumn>
    <tableColumn id="5" xr3:uid="{00000000-0010-0000-0000-000005000000}" name="Nombre" dataDxfId="60">
      <extLst>
        <ext xmlns:xlmsforms="http://schemas.microsoft.com/office/spreadsheetml/2023/msForms" uri="{FCC71383-01E1-4257-9335-427F07BE8D7F}">
          <xlmsforms:question id="responderName"/>
        </ext>
      </extLst>
    </tableColumn>
    <tableColumn id="6" xr3:uid="{00000000-0010-0000-0000-000006000000}" name="Jefe directo responsable del reporte" dataDxfId="59">
      <extLst>
        <ext xmlns:xlmsforms="http://schemas.microsoft.com/office/spreadsheetml/2023/msForms" uri="{FCC71383-01E1-4257-9335-427F07BE8D7F}">
          <xlmsforms:question id="rd059bf3d6235431698127f384db39a9e"/>
        </ext>
      </extLst>
    </tableColumn>
    <tableColumn id="7" xr3:uid="{00000000-0010-0000-0000-000007000000}" name="Fecha de la novedad o accidente" dataDxfId="58">
      <extLst>
        <ext xmlns:xlmsforms="http://schemas.microsoft.com/office/spreadsheetml/2023/msForms" uri="{FCC71383-01E1-4257-9335-427F07BE8D7F}">
          <xlmsforms:question id="r7eb6844f0407401cba99423e459614e0"/>
        </ext>
      </extLst>
    </tableColumn>
    <tableColumn id="8" xr3:uid="{00000000-0010-0000-0000-000008000000}" name="A que horas le reportan que ocurrieron los hechos" dataDxfId="57">
      <extLst>
        <ext xmlns:xlmsforms="http://schemas.microsoft.com/office/spreadsheetml/2023/msForms" uri="{FCC71383-01E1-4257-9335-427F07BE8D7F}">
          <xlmsforms:question id="r627ab4e9e33a48748113973e640d2fd4"/>
        </ext>
      </extLst>
    </tableColumn>
    <tableColumn id="9" xr3:uid="{00000000-0010-0000-0000-000009000000}" name="Placa del vehículo (si es administrativo colocar NO APLICA)" dataDxfId="56">
      <extLst>
        <ext xmlns:xlmsforms="http://schemas.microsoft.com/office/spreadsheetml/2023/msForms" uri="{FCC71383-01E1-4257-9335-427F07BE8D7F}">
          <xlmsforms:question id="rb3f909dfd9d24766909f9b7bbaf2f93a"/>
        </ext>
      </extLst>
    </tableColumn>
    <tableColumn id="10" xr3:uid="{00000000-0010-0000-0000-00000A000000}" name="Contrato o cliente" dataDxfId="55">
      <extLst>
        <ext xmlns:xlmsforms="http://schemas.microsoft.com/office/spreadsheetml/2023/msForms" uri="{FCC71383-01E1-4257-9335-427F07BE8D7F}">
          <xlmsforms:question id="rb946c74cdc3b47c3b7c4968bd62a7af7"/>
        </ext>
      </extLst>
    </tableColumn>
    <tableColumn id="11" xr3:uid="{00000000-0010-0000-0000-00000B000000}" name="Los hechos ocurrieron durante la prestación del servicio" dataDxfId="54">
      <extLst>
        <ext xmlns:xlmsforms="http://schemas.microsoft.com/office/spreadsheetml/2023/msForms" uri="{FCC71383-01E1-4257-9335-427F07BE8D7F}">
          <xlmsforms:question id="r16872aeb4ab54604ba5cafa279fd9a57"/>
        </ext>
      </extLst>
    </tableColumn>
    <tableColumn id="12" xr3:uid="{00000000-0010-0000-0000-00000C000000}" name="Código Servicio" dataDxfId="53">
      <extLst>
        <ext xmlns:xlmsforms="http://schemas.microsoft.com/office/spreadsheetml/2023/msForms" uri="{FCC71383-01E1-4257-9335-427F07BE8D7F}">
          <xlmsforms:question id="ra14ab2b3500c41bdb5a5f9ce15efb6c0"/>
        </ext>
      </extLst>
    </tableColumn>
    <tableColumn id="13" xr3:uid="{00000000-0010-0000-0000-00000D000000}" name="Nombre de Empleado que presenta el accidente o la novedad" dataDxfId="52">
      <extLst>
        <ext xmlns:xlmsforms="http://schemas.microsoft.com/office/spreadsheetml/2023/msForms" uri="{FCC71383-01E1-4257-9335-427F07BE8D7F}">
          <xlmsforms:question id="rfbc6aed96f664c97b041a209629b6881"/>
        </ext>
      </extLst>
    </tableColumn>
    <tableColumn id="14" xr3:uid="{00000000-0010-0000-0000-00000E000000}" name="Cedula del Empleado que presenta el accidente o la novedad" dataDxfId="51">
      <extLst>
        <ext xmlns:xlmsforms="http://schemas.microsoft.com/office/spreadsheetml/2023/msForms" uri="{FCC71383-01E1-4257-9335-427F07BE8D7F}">
          <xlmsforms:question id="r09d162fa92b947b1bab195862f4c9cdb"/>
        </ext>
      </extLst>
    </tableColumn>
    <tableColumn id="15" xr3:uid="{00000000-0010-0000-0000-00000F000000}" name="Número Celular del Empleado que presenta el accidente o la novedad" dataDxfId="50">
      <extLst>
        <ext xmlns:xlmsforms="http://schemas.microsoft.com/office/spreadsheetml/2023/msForms" uri="{FCC71383-01E1-4257-9335-427F07BE8D7F}">
          <xlmsforms:question id="r65ef24cd347a4722b29e18ad523419b4"/>
        </ext>
      </extLst>
    </tableColumn>
    <tableColumn id="16" xr3:uid="{00000000-0010-0000-0000-000010000000}" name="Identifique que tipo de novedad o accidente le indican en el reporte inicial, y describa si fue:" dataDxfId="49">
      <extLst>
        <ext xmlns:xlmsforms="http://schemas.microsoft.com/office/spreadsheetml/2023/msForms" uri="{FCC71383-01E1-4257-9335-427F07BE8D7F}">
          <xlmsforms:question id="r583c8f89b3fa469e8ecadcb1825bafd3"/>
        </ext>
      </extLst>
    </tableColumn>
    <tableColumn id="17" xr3:uid="{00000000-0010-0000-0000-000011000000}" name="Que Afectación identifica usted inicialmente en la versión dada en el reporte" dataDxfId="48">
      <extLst>
        <ext xmlns:xlmsforms="http://schemas.microsoft.com/office/spreadsheetml/2023/msForms" uri="{FCC71383-01E1-4257-9335-427F07BE8D7F}">
          <xlmsforms:question id="r08372a297df14a2ab831f9be5fb3b4f1"/>
        </ext>
      </extLst>
    </tableColumn>
    <tableColumn id="18" xr3:uid="{00000000-0010-0000-0000-000012000000}" name="Causa que genera el evento" dataDxfId="47">
      <extLst>
        <ext xmlns:xlmsforms="http://schemas.microsoft.com/office/spreadsheetml/2023/msForms" uri="{FCC71383-01E1-4257-9335-427F07BE8D7F}">
          <xlmsforms:question id="r98fbee03dd7a4eacbf5d1591ba8c7401"/>
        </ext>
      </extLst>
    </tableColumn>
    <tableColumn id="19" xr3:uid="{00000000-0010-0000-0000-000013000000}" name="Lesionados" dataDxfId="46">
      <extLst>
        <ext xmlns:xlmsforms="http://schemas.microsoft.com/office/spreadsheetml/2023/msForms" uri="{FCC71383-01E1-4257-9335-427F07BE8D7F}">
          <xlmsforms:question id="r7e4fd67bb6c3460391808bd37f07bc7b"/>
        </ext>
      </extLst>
    </tableColumn>
    <tableColumn id="20" xr3:uid="{00000000-0010-0000-0000-000014000000}" name="Nombre y teléfono de Funcionario (Empleado del Cliente) lesionado" dataDxfId="45">
      <extLst>
        <ext xmlns:xlmsforms="http://schemas.microsoft.com/office/spreadsheetml/2023/msForms" uri="{FCC71383-01E1-4257-9335-427F07BE8D7F}">
          <xlmsforms:question id="r40dcd3c45efd4474ba225f9d641424fb"/>
        </ext>
      </extLst>
    </tableColumn>
    <tableColumn id="21" xr3:uid="{00000000-0010-0000-0000-000015000000}" name="Nombre y teléfono de Tercero (otro actor vial) lesionado" dataDxfId="44">
      <extLst>
        <ext xmlns:xlmsforms="http://schemas.microsoft.com/office/spreadsheetml/2023/msForms" uri="{FCC71383-01E1-4257-9335-427F07BE8D7F}">
          <xlmsforms:question id="r75ce91ee50d340a4bdd32dcfe057fcc8"/>
        </ext>
      </extLst>
    </tableColumn>
    <tableColumn id="22" xr3:uid="{00000000-0010-0000-0000-000016000000}" name="Por favor, DESCRIBA la versión de los hechos que le da el empleado en el reporte inicial" dataDxfId="43">
      <extLst>
        <ext xmlns:xlmsforms="http://schemas.microsoft.com/office/spreadsheetml/2023/msForms" uri="{FCC71383-01E1-4257-9335-427F07BE8D7F}">
          <xlmsforms:question id="r13458b5d9b424e389beeb10c1703f03d"/>
        </ext>
      </extLst>
    </tableColumn>
    <tableColumn id="23" xr3:uid="{00000000-0010-0000-0000-000017000000}" name="ACCIONES TOMADAS POR EL JEFE DIRECTO DE EMPRESTUR S.A.S.: Se reemplaza el servicio" dataDxfId="42">
      <extLst>
        <ext xmlns:xlmsforms="http://schemas.microsoft.com/office/spreadsheetml/2023/msForms" uri="{FCC71383-01E1-4257-9335-427F07BE8D7F}">
          <xlmsforms:question id="r52692c083c294aa4b7a753fbece0dcbe"/>
        </ext>
      </extLst>
    </tableColumn>
    <tableColumn id="24" xr3:uid="{00000000-0010-0000-0000-000018000000}" name="ACCIONES TOMADAS POR EL JEFE DIRECTO DE EMPRESTUR S.A.S.: Se informa al cliente verbalmente" dataDxfId="41">
      <extLst>
        <ext xmlns:xlmsforms="http://schemas.microsoft.com/office/spreadsheetml/2023/msForms" uri="{FCC71383-01E1-4257-9335-427F07BE8D7F}">
          <xlmsforms:question id="rd2b2c5669030472db1f9225e55061b76"/>
        </ext>
      </extLst>
    </tableColumn>
    <tableColumn id="25" xr3:uid="{00000000-0010-0000-0000-000019000000}" name="ACCIONES TOMADAS POR EL JEFE DIRECTO DE EMPRESTUR S.A.S.: Se dan indicaciones al conductor (llamar tránsito, ambulancia)" dataDxfId="40">
      <extLst>
        <ext xmlns:xlmsforms="http://schemas.microsoft.com/office/spreadsheetml/2023/msForms" uri="{FCC71383-01E1-4257-9335-427F07BE8D7F}">
          <xlmsforms:question id="r23c456a0ac8347f19fd79d449c12b176"/>
        </ext>
      </extLst>
    </tableColumn>
    <tableColumn id="26" xr3:uid="{00000000-0010-0000-0000-00001A000000}" name="ACCIONES TOMADAS POR EL JEFE DIRECTO DE EMPRESTUR S.A.S.: Realiza acompañamiento en sitio" dataDxfId="39">
      <extLst>
        <ext xmlns:xlmsforms="http://schemas.microsoft.com/office/spreadsheetml/2023/msForms" uri="{FCC71383-01E1-4257-9335-427F07BE8D7F}">
          <xlmsforms:question id="r9e247d33c9d341a28482014868f6feb9"/>
        </ext>
      </extLst>
    </tableColumn>
    <tableColumn id="27" xr3:uid="{00000000-0010-0000-0000-00001B000000}" name="ACCIONES TOMADAS POR EL JEFE DIRECTO DE EMPRESTUR S.A.S.: Se reporta inmediatamente a SSTA de Emprestur" dataDxfId="38">
      <extLst>
        <ext xmlns:xlmsforms="http://schemas.microsoft.com/office/spreadsheetml/2023/msForms" uri="{FCC71383-01E1-4257-9335-427F07BE8D7F}">
          <xlmsforms:question id="r072f1e79d2a44a71a497dc3de8c34c7b"/>
        </ext>
      </extLst>
    </tableColumn>
    <tableColumn id="28" xr3:uid="{00000000-0010-0000-0000-00001C000000}" name="Acciones adicionales realizadas por el Gestor logístico de Emprestur o Jefe Directo" dataDxfId="37">
      <extLst>
        <ext xmlns:xlmsforms="http://schemas.microsoft.com/office/spreadsheetml/2023/msForms" uri="{FCC71383-01E1-4257-9335-427F07BE8D7F}">
          <xlmsforms:question id="r2443b6abb00f48db99ee231dae163cf7"/>
        </ext>
      </extLst>
    </tableColumn>
    <tableColumn id="29" xr3:uid="{00000000-0010-0000-0000-00001D000000}" name="Registro Fotográfico Características del registro fotográfico: Frente, laterales, panorámica de los vehículos implicados; afectación a tercero foto escenario completo; Posición bosquejo o zona lugar d" dataDxfId="36">
      <extLst>
        <ext xmlns:xlmsforms="http://schemas.microsoft.com/office/spreadsheetml/2023/msForms" uri="{FCC71383-01E1-4257-9335-427F07BE8D7F}">
          <xlmsforms:question id="r262f5f25b5c34263966c7a40d3167b95"/>
        </ext>
      </extLst>
    </tableColumn>
    <tableColumn id="30" xr3:uid="{00000000-0010-0000-0000-00001E000000}" name="SOPORTES PARA ANEXAR (Registro fotográfico, preoperacional de la ultima semana, bimestral vigente, soportes de mantenimiento, Reporte de GPS, planilla de servicio o asignación del servicio, Ficha del " dataDxfId="35">
      <extLst>
        <ext xmlns:xlmsforms="http://schemas.microsoft.com/office/spreadsheetml/2023/msForms" uri="{FCC71383-01E1-4257-9335-427F07BE8D7F}">
          <xlmsforms:question id="rdddf0925c4eb41a4b8857ce9d0434d81"/>
        </ext>
      </extLst>
    </tableColumn>
  </tableColumns>
  <tableStyleInfo name="TableStyleMedium2" showFirstColumn="0" showLastColumn="0" showRowStripes="1" showColumnStripes="0"/>
  <extLst>
    <ext xmlns:xlmsforms="http://schemas.microsoft.com/office/spreadsheetml/2023/msForms" uri="{839C7E11-91E4-4DBD-9C5D-0DEA604FA9AC}">
      <xlmsforms:msForm id="bmANa85I9UGa_-qlJ0ZEv9AiXcOnWiBDpmusU2KtlW9URE5OUzhWV1k3RDBPSE9KNUswMUtCUktJUC4u" isFormConnected="1" maxResponseId="125" latestEventMarker="12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rd059bf3d6235431698127f384db39a9e</xlmsforms:syncedQuestionId>
        <xlmsforms:syncedQuestionId>r7eb6844f0407401cba99423e459614e0</xlmsforms:syncedQuestionId>
        <xlmsforms:syncedQuestionId>r627ab4e9e33a48748113973e640d2fd4</xlmsforms:syncedQuestionId>
        <xlmsforms:syncedQuestionId>rb3f909dfd9d24766909f9b7bbaf2f93a</xlmsforms:syncedQuestionId>
        <xlmsforms:syncedQuestionId>rb946c74cdc3b47c3b7c4968bd62a7af7</xlmsforms:syncedQuestionId>
        <xlmsforms:syncedQuestionId>r16872aeb4ab54604ba5cafa279fd9a57</xlmsforms:syncedQuestionId>
        <xlmsforms:syncedQuestionId>ra14ab2b3500c41bdb5a5f9ce15efb6c0</xlmsforms:syncedQuestionId>
        <xlmsforms:syncedQuestionId>rfbc6aed96f664c97b041a209629b6881</xlmsforms:syncedQuestionId>
        <xlmsforms:syncedQuestionId>r09d162fa92b947b1bab195862f4c9cdb</xlmsforms:syncedQuestionId>
        <xlmsforms:syncedQuestionId>r65ef24cd347a4722b29e18ad523419b4</xlmsforms:syncedQuestionId>
        <xlmsforms:syncedQuestionId>r583c8f89b3fa469e8ecadcb1825bafd3</xlmsforms:syncedQuestionId>
        <xlmsforms:syncedQuestionId>r08372a297df14a2ab831f9be5fb3b4f1</xlmsforms:syncedQuestionId>
        <xlmsforms:syncedQuestionId>r98fbee03dd7a4eacbf5d1591ba8c7401</xlmsforms:syncedQuestionId>
        <xlmsforms:syncedQuestionId>r7e4fd67bb6c3460391808bd37f07bc7b</xlmsforms:syncedQuestionId>
        <xlmsforms:syncedQuestionId>r40dcd3c45efd4474ba225f9d641424fb</xlmsforms:syncedQuestionId>
        <xlmsforms:syncedQuestionId>r75ce91ee50d340a4bdd32dcfe057fcc8</xlmsforms:syncedQuestionId>
        <xlmsforms:syncedQuestionId>r13458b5d9b424e389beeb10c1703f03d</xlmsforms:syncedQuestionId>
        <xlmsforms:syncedQuestionId>r52692c083c294aa4b7a753fbece0dcbe</xlmsforms:syncedQuestionId>
        <xlmsforms:syncedQuestionId>rd2b2c5669030472db1f9225e55061b76</xlmsforms:syncedQuestionId>
        <xlmsforms:syncedQuestionId>r23c456a0ac8347f19fd79d449c12b176</xlmsforms:syncedQuestionId>
        <xlmsforms:syncedQuestionId>r9e247d33c9d341a28482014868f6feb9</xlmsforms:syncedQuestionId>
        <xlmsforms:syncedQuestionId>r072f1e79d2a44a71a497dc3de8c34c7b</xlmsforms:syncedQuestionId>
        <xlmsforms:syncedQuestionId>r2443b6abb00f48db99ee231dae163cf7</xlmsforms:syncedQuestionId>
        <xlmsforms:syncedQuestionId>r262f5f25b5c34263966c7a40d3167b95</xlmsforms:syncedQuestionId>
        <xlmsforms:syncedQuestionId>rdddf0925c4eb41a4b8857ce9d0434d81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mprestur-my.sharepoint.com/personal/alejandra_betancur_emprestur_com/Documents/Aplicaciones/Microsoft%20Forms/INFORMACI%C3%93N%20NOVEDAD%20_%20ACCIDENTES%2026042022%20(2)/SOPORTES%20PARA%20ANEXAR/WhatsApp%20Video%202026-02-16%20at%2007.31.16_anonymous.mp4" TargetMode="External"/><Relationship Id="rId13"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5-21%20at%2010.53.05%20AM_anonymous.jpeg;%20https:/emprestur-my.sharepoint.com/personal/alejandra_betancur_emprestur_com/Documents/Aplicaciones/Microsoft%20Forms/INFORMACI%C3%93N%20NOVEDAD%20_%20ACCIDENTES%2026042022%20(2)/SOPORTES%20PARA%20ANEXAR/WhatsApp%20Video%202026-05-20%20at%206.00.21%20AM_anonymous.mp4;%20https:/emprestur-my.sharepoint.com/personal/alejandra_betancur_emprestur_com/Documents/Aplicaciones/Microsoft%20Forms/INFORMACI%C3%93N%20NOVEDAD%20_%20ACCIDENTES%2026042022%20(2)/SOPORTES%20PARA%20ANEXAR/WhatsApp%20Video%202026-05-21%20at%2010.53.05%20AM_anonymous.mp4;%20https:/emprestur-my.sharepoint.com/personal/alejandra_betancur_emprestur_com/Documents/Aplicaciones/Microsoft%20Forms/INFORMACI%C3%93N%20NOVEDAD%20_%20ACCIDENTES%2026042022%20(2)/SOPORTES%20PARA%20ANEXAR/WhatsApp%20Image%202026-05-21%20at%2011.11.54%20AM_anonymous.jpeg;%20https:/emprestur-my.sharepoint.com/personal/alejandra_betancur_emprestur_com/Documents/Aplicaciones/Microsoft%20Forms/INFORMACI%C3%93N%20NOVEDAD%20_%20ACCIDENTES%2026042022%20(2)/SOPORTES%20PARA%20ANEXAR/WhatsApp%20Image%202026-05-21%20at%2011.11.55%20AM%20(1)_anonymous.jpeg;%20https:/emprestur-my.sharepoint.com/personal/alejandra_betancur_emprestur_com/Documents/Aplicaciones/Microsoft%20Forms/INFORMACI%C3%93N%20NOVEDAD%20_%20ACCIDENTES%2026042022%20(2)/SOPORTES%20PARA%20ANEXAR/WhatsApp%20Image%202026-05-21%20at%2011.11.55%20AM_anonymous.jpeg" TargetMode="External"/><Relationship Id="rId3" Type="http://schemas.openxmlformats.org/officeDocument/2006/relationships/hyperlink" Target="https://emprestur-my.sharepoint.com/personal/alejandra_betancur_emprestur_com/Documents/Aplicaciones/Microsoft%20Forms/INFORMACI%C3%93N%20NOVEDAD%20_%20ACCIDENTES%2026042022%20(2)/SOPORTES%20PARA%20ANEXAR/WhatsApp%20Video%202025-10-01%20at%2008.45.16_anonymous.mp4" TargetMode="External"/><Relationship Id="rId7"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3-16%20at%2011.19.31_anonymous.jpeg" TargetMode="External"/><Relationship Id="rId12"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5-21%20at%208.51.16%20AM%20(3)_anonymous.jpeg;%20https:/emprestur-my.sharepoint.com/personal/alejandra_betancur_emprestur_com/Documents/Aplicaciones/Microsoft%20Forms/INFORMACI%C3%93N%20NOVEDAD%20_%20ACCIDENTES%2026042022%20(2)/SOPORTES%20PARA%20ANEXAR/WhatsApp%20Image%202026-05-21%20at%208.51.16%20AM%20(2)_anonymous.jpeg;%20https:/emprestur-my.sharepoint.com/personal/alejandra_betancur_emprestur_com/Documents/Aplicaciones/Microsoft%20Forms/INFORMACI%C3%93N%20NOVEDAD%20_%20ACCIDENTES%2026042022%20(2)/SOPORTES%20PARA%20ANEXAR/WhatsApp%20Image%202026-05-21%20at%208.51.16%20AM%20(1)_anonymous.jpeg;%20https:/emprestur-my.sharepoint.com/personal/alejandra_betancur_emprestur_com/Documents/Aplicaciones/Microsoft%20Forms/INFORMACI%C3%93N%20NOVEDAD%20_%20ACCIDENTES%2026042022%20(2)/SOPORTES%20PARA%20ANEXAR/WhatsApp%20Image%202026-05-21%20at%208.51.16%20AM_anonymous.jpeg;%20https:/emprestur-my.sharepoint.com/personal/alejandra_betancur_emprestur_com/Documents/Aplicaciones/Microsoft%20Forms/INFORMACI%C3%93N%20NOVEDAD%20_%20ACCIDENTES%2026042022%20(2)/SOPORTES%20PARA%20ANEXAR/WhatsApp%20Image%202026-05-21%20at%208.51.15%20AM_anonymous.jpeg" TargetMode="External"/><Relationship Id="rId17" Type="http://schemas.openxmlformats.org/officeDocument/2006/relationships/table" Target="../tables/table1.xml"/><Relationship Id="rId2" Type="http://schemas.openxmlformats.org/officeDocument/2006/relationships/hyperlink" Target="https://emprestur-my.sharepoint.com/personal/alejandra_betancur_emprestur_com/Documents/Aplicaciones/Microsoft%20Forms/INFORMACI%C3%93N%20NOVEDAD%20_%20ACCIDENTES%2026042022%20(2)/SOPORTES%20PARA%20ANEXAR/IMG-20250918-WA0011_anonymous.jpg;%20https:/emprestur-my.sharepoint.com/personal/alejandra_betancur_emprestur_com/Documents/Aplicaciones/Microsoft%20Forms/INFORMACI%C3%93N%20NOVEDAD%20_%20ACCIDENTES%2026042022%20(2)/SOPORTES%20PARA%20ANEXAR/IMG-20250918-WA0012_anonymous.jpg;%20https:/emprestur-my.sharepoint.com/personal/alejandra_betancur_emprestur_com/Documents/Aplicaciones/Microsoft%20Forms/INFORMACI%C3%93N%20NOVEDAD%20_%20ACCIDENTES%2026042022%20(2)/SOPORTES%20PARA%20ANEXAR/IMG-20250918-WA0013_anonymous.jpg;%20https:/emprestur-my.sharepoint.com/personal/alejandra_betancur_emprestur_com/Documents/Aplicaciones/Microsoft%20Forms/INFORMACI%C3%93N%20NOVEDAD%20_%20ACCIDENTES%2026042022%20(2)/SOPORTES%20PARA%20ANEXAR/IMG-20250918-WA0014_anonymous.jpg;%20https:/emprestur-my.sharepoint.com/personal/alejandra_betancur_emprestur_com/Documents/Aplicaciones/Microsoft%20Forms/INFORMACI%C3%93N%20NOVEDAD%20_%20ACCIDENTES%2026042022%20(2)/SOPORTES%20PARA%20ANEXAR/IMG-20250918-WA0009_anonymous.jpg;%20https:/emprestur-my.sharepoint.com/personal/alejandra_betancur_emprestur_com/Documents/Aplicaciones/Microsoft%20Forms/INFORMACI%C3%93N%20NOVEDAD%20_%20ACCIDENTES%2026042022%20(2)/SOPORTES%20PARA%20ANEXAR/IMG-20250918-WA0010_anonymous.jpg" TargetMode="External"/><Relationship Id="rId16" Type="http://schemas.openxmlformats.org/officeDocument/2006/relationships/printerSettings" Target="../printerSettings/printerSettings1.bin"/><Relationship Id="rId1" Type="http://schemas.openxmlformats.org/officeDocument/2006/relationships/hyperlink" Target="https://emprestur-my.sharepoint.com/personal/alejandra_betancur_emprestur_com/Documents/Aplicaciones/Microsoft%20Forms/INFORMACI%C3%93N%20NOVEDAD%20_%20ACCIDENTES%2026042022%20(2)/SOPORTES%20PARA%20ANEXAR/REGISTRO%20FOTOGRAFICO%20NNN344_anonymous.pdf" TargetMode="External"/><Relationship Id="rId6" Type="http://schemas.openxmlformats.org/officeDocument/2006/relationships/hyperlink" Target="https://emprestur-my.sharepoint.com/personal/alejandra_betancur_emprestur_com/Documents/Aplicaciones/Microsoft%20Forms/INFORMACI%C3%93N%20NOVEDAD%20_%20ACCIDENTES%2026042022%20(2)/SOPORTES%20PARA%20ANEXAR/REGISTRO%20FOTOGR%C3%81FICO%20PXK221_anonymous.pdf;%20https:/emprestur-my.sharepoint.com/personal/alejandra_betancur_emprestur_com/Documents/Aplicaciones/Microsoft%20Forms/INFORMACI%C3%93N%20NOVEDAD%20_%20ACCIDENTES%2026042022%20(2)/SOPORTES%20PARA%20ANEXAR/RECORRIDO%20PXK221%20desde%20las%2013_anonymous.pdf" TargetMode="External"/><Relationship Id="rId11" Type="http://schemas.openxmlformats.org/officeDocument/2006/relationships/hyperlink" Target="https://emprestur-my.sharepoint.com/personal/alejandra_betancur_emprestur_com/Documents/Aplicaciones/Microsoft%20Forms/INFORMACI%C3%93N%20NOVEDAD%20_%20ACCIDENTES%2026042022%20(2)/SOPORTES%20PARA%20ANEXAR/FOTOS%20ACCIDENTE%20GTY441_anonymous.pdf" TargetMode="External"/><Relationship Id="rId5" Type="http://schemas.openxmlformats.org/officeDocument/2006/relationships/hyperlink" Target="https://emprestur-my.sharepoint.com/personal/alejandra_betancur_emprestur_com/Documents/Aplicaciones/Microsoft%20Forms/INFORMACI%C3%93N%20NOVEDAD%20_%20ACCIDENTES%2026042022%20(2)/SOPORTES%20PARA%20ANEXAR/WhatsApp%20Image%202025-11-11%20at%204.37.36%20AM_anonymous.jpeg;%20https:/emprestur-my.sharepoint.com/personal/alejandra_betancur_emprestur_com/Documents/Aplicaciones/Microsoft%20Forms/INFORMACI%C3%93N%20NOVEDAD%20_%20ACCIDENTES%2026042022%20(2)/SOPORTES%20PARA%20ANEXAR/WhatsApp%20Video%202025-11-11%20at%204.37.56%20AM_anonymous.mp4;%20https:/emprestur-my.sharepoint.com/personal/alejandra_betancur_emprestur_com/Documents/Aplicaciones/Microsoft%20Forms/INFORMACI%C3%93N%20NOVEDAD%20_%20ACCIDENTES%2026042022%20(2)/SOPORTES%20PARA%20ANEXAR/WhatsApp%20Image%202025-11-11%20at%205.20.35%20AM_anonymous.jpeg;%20https:/emprestur-my.sharepoint.com/personal/alejandra_betancur_emprestur_com/Documents/Aplicaciones/Microsoft%20Forms/INFORMACI%C3%93N%20NOVEDAD%20_%20ACCIDENTES%2026042022%20(2)/SOPORTES%20PARA%20ANEXAR/WhatsApp%20Image%202025-11-11%20at%205.17.57%20AM_anonymous.jpeg;%20https:/emprestur-my.sharepoint.com/personal/alejandra_betancur_emprestur_com/Documents/Aplicaciones/Microsoft%20Forms/INFORMACI%C3%93N%20NOVEDAD%20_%20ACCIDENTES%2026042022%20(2)/SOPORTES%20PARA%20ANEXAR/WhatsApp%20Image%202025-11-11%20at%205.17.48%20AM_anonymous.jpeg;%20https:/emprestur-my.sharepoint.com/personal/alejandra_betancur_emprestur_com/Documents/Aplicaciones/Microsoft%20Forms/INFORMACI%C3%93N%20NOVEDAD%20_%20ACCIDENTES%2026042022%20(2)/SOPORTES%20PARA%20ANEXAR/WhatsApp%20Image%202025-11-10%20at%205.07.50%20PM_anonymous.jpeg" TargetMode="External"/><Relationship Id="rId15"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6-03%20at%2010.06.10%20AM_anonymous.jpeg;%20https:/emprestur-my.sharepoint.com/personal/alejandra_betancur_emprestur_com/Documents/Aplicaciones/Microsoft%20Forms/INFORMACI%C3%93N%20NOVEDAD%20_%20ACCIDENTES%2026042022%20(2)/SOPORTES%20PARA%20ANEXAR/WhatsApp%20Image%202026-06-03%20at%2010.07.00%20AM_anonymous.jpeg" TargetMode="External"/><Relationship Id="rId10"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4-20%20at%2013.26.31_anonymous.jpeg" TargetMode="External"/><Relationship Id="rId4" Type="http://schemas.openxmlformats.org/officeDocument/2006/relationships/hyperlink" Target="https://emprestur-my.sharepoint.com/personal/alejandra_betancur_emprestur_com/Documents/Aplicaciones/Microsoft%20Forms/INFORMACI%C3%93N%20NOVEDAD%20_%20ACCIDENTES%2026042022%20(2)/SOPORTES%20PARA%20ANEXAR/WhatsApp%20Image%202025-10-14%20at%207.33.21%20AM_anonymous.jpeg" TargetMode="External"/><Relationship Id="rId9"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3-24%20at%2015.14.35_anonymous.jpeg;%20https:/emprestur-my.sharepoint.com/personal/alejandra_betancur_emprestur_com/Documents/Aplicaciones/Microsoft%20Forms/INFORMACI%C3%93N%20NOVEDAD%20_%20ACCIDENTES%2026042022%20(2)/SOPORTES%20PARA%20ANEXAR/WhatsApp%20Image%202026-03-24%20at%2015.14.35%20(1)_anonymous.jpeg;%20https:/emprestur-my.sharepoint.com/personal/alejandra_betancur_emprestur_com/Documents/Aplicaciones/Microsoft%20Forms/INFORMACI%C3%93N%20NOVEDAD%20_%20ACCIDENTES%2026042022%20(2)/SOPORTES%20PARA%20ANEXAR/WhatsApp%20Image%202026-03-24%20at%2015.14.35%20(2)_anonymous.jpeg;%20https:/emprestur-my.sharepoint.com/personal/alejandra_betancur_emprestur_com/Documents/Aplicaciones/Microsoft%20Forms/INFORMACI%C3%93N%20NOVEDAD%20_%20ACCIDENTES%2026042022%20(2)/SOPORTES%20PARA%20ANEXAR/WhatsApp%20Image%202026-03-24%20at%2015.14.35%20(3)_anonymous.jpeg" TargetMode="External"/><Relationship Id="rId14" Type="http://schemas.openxmlformats.org/officeDocument/2006/relationships/hyperlink" Target="https://emprestur-my.sharepoint.com/personal/alejandra_betancur_emprestur_com/Documents/Aplicaciones/Microsoft%20Forms/INFORMACI%C3%93N%20NOVEDAD%20_%20ACCIDENTES%2026042022%20(2)/SOPORTES%20PARA%20ANEXAR/REGISTRO%20FOTOGR%C3%81FICO%20ESR480_anonymous.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5-21%20at%2010.53.05%20AM_anonymous.jpeg;%20https:/emprestur-my.sharepoint.com/personal/alejandra_betancur_emprestur_com/Documents/Aplicaciones/Microsoft%20Forms/INFORMACI%C3%93N%20NOVEDAD%20_%20ACCIDENTES%2026042022%20(2)/SOPORTES%20PARA%20ANEXAR/WhatsApp%20Video%202026-05-20%20at%206.00.21%20AM_anonymous.mp4;%20https:/emprestur-my.sharepoint.com/personal/alejandra_betancur_emprestur_com/Documents/Aplicaciones/Microsoft%20Forms/INFORMACI%C3%93N%20NOVEDAD%20_%20ACCIDENTES%2026042022%20(2)/SOPORTES%20PARA%20ANEXAR/WhatsApp%20Video%202026-05-21%20at%2010.53.05%20AM_anonymous.mp4;%20https:/emprestur-my.sharepoint.com/personal/alejandra_betancur_emprestur_com/Documents/Aplicaciones/Microsoft%20Forms/INFORMACI%C3%93N%20NOVEDAD%20_%20ACCIDENTES%2026042022%20(2)/SOPORTES%20PARA%20ANEXAR/WhatsApp%20Image%202026-05-21%20at%2011.11.54%20AM_anonymous.jpeg;%20https:/emprestur-my.sharepoint.com/personal/alejandra_betancur_emprestur_com/Documents/Aplicaciones/Microsoft%20Forms/INFORMACI%C3%93N%20NOVEDAD%20_%20ACCIDENTES%2026042022%20(2)/SOPORTES%20PARA%20ANEXAR/WhatsApp%20Image%202026-05-21%20at%2011.11.55%20AM%20(1)_anonymous.jpeg;%20https:/emprestur-my.sharepoint.com/personal/alejandra_betancur_emprestur_com/Documents/Aplicaciones/Microsoft%20Forms/INFORMACI%C3%93N%20NOVEDAD%20_%20ACCIDENTES%2026042022%20(2)/SOPORTES%20PARA%20ANEXAR/WhatsApp%20Image%202026-05-21%20at%2011.11.55%20AM_anonymous.jpeg" TargetMode="External"/><Relationship Id="rId13"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4-20%20at%2013.26.31_anonymous.jpeg" TargetMode="External"/><Relationship Id="rId3"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3-24%20at%2015.14.35_anonymous.jpeg;%20https:/emprestur-my.sharepoint.com/personal/alejandra_betancur_emprestur_com/Documents/Aplicaciones/Microsoft%20Forms/INFORMACI%C3%93N%20NOVEDAD%20_%20ACCIDENTES%2026042022%20(2)/SOPORTES%20PARA%20ANEXAR/WhatsApp%20Image%202026-03-24%20at%2015.14.35%20(1)_anonymous.jpeg;%20https:/emprestur-my.sharepoint.com/personal/alejandra_betancur_emprestur_com/Documents/Aplicaciones/Microsoft%20Forms/INFORMACI%C3%93N%20NOVEDAD%20_%20ACCIDENTES%2026042022%20(2)/SOPORTES%20PARA%20ANEXAR/WhatsApp%20Image%202026-03-24%20at%2015.14.35%20(2)_anonymous.jpeg;%20https:/emprestur-my.sharepoint.com/personal/alejandra_betancur_emprestur_com/Documents/Aplicaciones/Microsoft%20Forms/INFORMACI%C3%93N%20NOVEDAD%20_%20ACCIDENTES%2026042022%20(2)/SOPORTES%20PARA%20ANEXAR/WhatsApp%20Image%202026-03-24%20at%2015.14.35%20(3)_anonymous.jpeg" TargetMode="External"/><Relationship Id="rId7"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5-21%20at%208.51.16%20AM%20(3)_anonymous.jpeg;%20https:/emprestur-my.sharepoint.com/personal/alejandra_betancur_emprestur_com/Documents/Aplicaciones/Microsoft%20Forms/INFORMACI%C3%93N%20NOVEDAD%20_%20ACCIDENTES%2026042022%20(2)/SOPORTES%20PARA%20ANEXAR/WhatsApp%20Image%202026-05-21%20at%208.51.16%20AM%20(2)_anonymous.jpeg;%20https:/emprestur-my.sharepoint.com/personal/alejandra_betancur_emprestur_com/Documents/Aplicaciones/Microsoft%20Forms/INFORMACI%C3%93N%20NOVEDAD%20_%20ACCIDENTES%2026042022%20(2)/SOPORTES%20PARA%20ANEXAR/WhatsApp%20Image%202026-05-21%20at%208.51.16%20AM%20(1)_anonymous.jpeg;%20https:/emprestur-my.sharepoint.com/personal/alejandra_betancur_emprestur_com/Documents/Aplicaciones/Microsoft%20Forms/INFORMACI%C3%93N%20NOVEDAD%20_%20ACCIDENTES%2026042022%20(2)/SOPORTES%20PARA%20ANEXAR/WhatsApp%20Image%202026-05-21%20at%208.51.16%20AM_anonymous.jpeg;%20https:/emprestur-my.sharepoint.com/personal/alejandra_betancur_emprestur_com/Documents/Aplicaciones/Microsoft%20Forms/INFORMACI%C3%93N%20NOVEDAD%20_%20ACCIDENTES%2026042022%20(2)/SOPORTES%20PARA%20ANEXAR/WhatsApp%20Image%202026-05-21%20at%208.51.15%20AM_anonymous.jpeg" TargetMode="External"/><Relationship Id="rId12"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4-20%20at%2013.26.31_anonymous.jpeg" TargetMode="External"/><Relationship Id="rId2" Type="http://schemas.openxmlformats.org/officeDocument/2006/relationships/hyperlink" Target="https://emprestur-my.sharepoint.com/personal/alejandra_betancur_emprestur_com/Documents/Aplicaciones/Microsoft%20Forms/INFORMACI%C3%93N%20NOVEDAD%20_%20ACCIDENTES%2026042022%20(2)/SOPORTES%20PARA%20ANEXAR/WhatsApp%20Video%202026-02-16%20at%2007.31.16_anonymous.mp4" TargetMode="External"/><Relationship Id="rId1"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3-16%20at%2011.19.31_anonymous.jpeg" TargetMode="External"/><Relationship Id="rId6" Type="http://schemas.openxmlformats.org/officeDocument/2006/relationships/hyperlink" Target="https://emprestur-my.sharepoint.com/personal/alejandra_betancur_emprestur_com/Documents/Aplicaciones/Microsoft%20Forms/INFORMACI%C3%93N%20NOVEDAD%20_%20ACCIDENTES%2026042022%20(2)/SOPORTES%20PARA%20ANEXAR/FOTOS%20ACCIDENTE%20GTY441_anonymous.pdf" TargetMode="External"/><Relationship Id="rId11"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4-20%20at%2013.26.31_anonymous.jpeg" TargetMode="External"/><Relationship Id="rId5" Type="http://schemas.openxmlformats.org/officeDocument/2006/relationships/hyperlink" Target="https://emprestur-my.sharepoint.com/personal/alejandra_betancur_emprestur_com/Documents/Aplicaciones/Microsoft%20Forms/INFORMACI%C3%93N%20NOVEDAD%20_%20ACCIDENTES%2026042022%20(2)/SOPORTES%20PARA%20ANEXAR/REGISTRO%20FOTOGR%C3%81FICO%20PXK221_anonymous.pdf;%20https:/emprestur-my.sharepoint.com/personal/alejandra_betancur_emprestur_com/Documents/Aplicaciones/Microsoft%20Forms/INFORMACI%C3%93N%20NOVEDAD%20_%20ACCIDENTES%2026042022%20(2)/SOPORTES%20PARA%20ANEXAR/RECORRIDO%20PXK221%20desde%20las%2013_anonymous.pdf" TargetMode="External"/><Relationship Id="rId15"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6-03%20at%2010.06.10%20AM_anonymous.jpeg;%20https:/emprestur-my.sharepoint.com/personal/alejandra_betancur_emprestur_com/Documents/Aplicaciones/Microsoft%20Forms/INFORMACI%C3%93N%20NOVEDAD%20_%20ACCIDENTES%2026042022%20(2)/SOPORTES%20PARA%20ANEXAR/WhatsApp%20Image%202026-06-03%20at%2010.07.00%20AM_anonymous.jpeg" TargetMode="External"/><Relationship Id="rId10"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6-03%20at%2010.06.10%20AM_anonymous.jpeg;%20https:/emprestur-my.sharepoint.com/personal/alejandra_betancur_emprestur_com/Documents/Aplicaciones/Microsoft%20Forms/INFORMACI%C3%93N%20NOVEDAD%20_%20ACCIDENTES%2026042022%20(2)/SOPORTES%20PARA%20ANEXAR/WhatsApp%20Image%202026-06-03%20at%2010.07.00%20AM_anonymous.jpeg" TargetMode="External"/><Relationship Id="rId4"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4-20%20at%2013.26.31_anonymous.jpeg" TargetMode="External"/><Relationship Id="rId9" Type="http://schemas.openxmlformats.org/officeDocument/2006/relationships/hyperlink" Target="https://emprestur-my.sharepoint.com/personal/alejandra_betancur_emprestur_com/Documents/Aplicaciones/Microsoft%20Forms/INFORMACI%C3%93N%20NOVEDAD%20_%20ACCIDENTES%2026042022%20(2)/SOPORTES%20PARA%20ANEXAR/REGISTRO%20FOTOGR%C3%81FICO%20ESR480_anonymous.pdf" TargetMode="External"/><Relationship Id="rId14" Type="http://schemas.openxmlformats.org/officeDocument/2006/relationships/hyperlink" Target="https://emprestur-my.sharepoint.com/personal/alejandra_betancur_emprestur_com/Documents/Aplicaciones/Microsoft%20Forms/INFORMACI%C3%93N%20NOVEDAD%20_%20ACCIDENTES%2026042022%20(2)/SOPORTES%20PARA%20ANEXAR/WhatsApp%20Image%202026-04-20%20at%2013.26.31_anonymous.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AC126"/>
  <sheetViews>
    <sheetView topLeftCell="A98" workbookViewId="0">
      <selection activeCell="A99" sqref="A99"/>
    </sheetView>
  </sheetViews>
  <sheetFormatPr defaultRowHeight="15"/>
  <cols>
    <col min="1" max="1" width="21.140625" style="1" customWidth="1"/>
    <col min="2" max="2" width="19" style="1" customWidth="1"/>
    <col min="3" max="3" width="13" style="1" customWidth="1"/>
    <col min="4" max="4" width="8" style="1" customWidth="1"/>
    <col min="5" max="6" width="20" style="1" bestFit="1" customWidth="1"/>
    <col min="7" max="7" width="25" style="1" customWidth="1"/>
    <col min="8" max="8" width="26.140625" style="1" customWidth="1"/>
    <col min="9" max="9" width="20" style="1" bestFit="1" customWidth="1"/>
    <col min="10" max="10" width="20" style="1" hidden="1" customWidth="1"/>
    <col min="11" max="11" width="20" style="1" bestFit="1" customWidth="1"/>
    <col min="12" max="12" width="33.42578125" style="1" customWidth="1"/>
    <col min="13" max="20" width="20" style="1" bestFit="1" customWidth="1"/>
    <col min="21" max="21" width="36.5703125" style="1" bestFit="1" customWidth="1"/>
    <col min="22" max="28" width="20" style="1" bestFit="1" customWidth="1"/>
    <col min="29" max="29" width="60.7109375" style="1" customWidth="1"/>
    <col min="30" max="16384" width="9.140625" style="1"/>
  </cols>
  <sheetData>
    <row r="1" spans="1:29" ht="7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14" hidden="1" customHeight="1">
      <c r="A2" s="7">
        <v>45743.363483796296</v>
      </c>
      <c r="B2" s="7">
        <v>45743.37296296296</v>
      </c>
      <c r="C2" s="1" t="s">
        <v>29</v>
      </c>
      <c r="E2" s="1" t="s">
        <v>30</v>
      </c>
      <c r="F2" s="8">
        <v>45736</v>
      </c>
      <c r="G2" s="1" t="s">
        <v>31</v>
      </c>
      <c r="H2" s="1" t="s">
        <v>32</v>
      </c>
      <c r="I2" s="1" t="s">
        <v>33</v>
      </c>
      <c r="J2" s="1" t="s">
        <v>34</v>
      </c>
      <c r="K2" s="1" t="s">
        <v>35</v>
      </c>
      <c r="L2" s="1" t="s">
        <v>36</v>
      </c>
      <c r="M2" s="9" t="s">
        <v>37</v>
      </c>
      <c r="N2" s="1" t="s">
        <v>38</v>
      </c>
      <c r="O2" s="1" t="s">
        <v>39</v>
      </c>
      <c r="P2" s="1" t="s">
        <v>40</v>
      </c>
      <c r="Q2" s="1" t="s">
        <v>41</v>
      </c>
      <c r="R2" s="1" t="s">
        <v>42</v>
      </c>
      <c r="S2" s="1" t="s">
        <v>42</v>
      </c>
      <c r="T2" s="1" t="s">
        <v>42</v>
      </c>
      <c r="U2" s="1" t="s">
        <v>43</v>
      </c>
      <c r="V2" s="1" t="s">
        <v>44</v>
      </c>
      <c r="W2" s="1" t="s">
        <v>45</v>
      </c>
      <c r="X2" s="1" t="s">
        <v>44</v>
      </c>
      <c r="Y2" s="1" t="s">
        <v>44</v>
      </c>
      <c r="Z2" s="1" t="s">
        <v>45</v>
      </c>
      <c r="AA2" s="1" t="s">
        <v>46</v>
      </c>
      <c r="AB2" s="1" t="s">
        <v>45</v>
      </c>
      <c r="AC2" s="3" t="s">
        <v>47</v>
      </c>
    </row>
    <row r="3" spans="1:29" ht="114" hidden="1" customHeight="1">
      <c r="A3" s="7">
        <v>45743.417233796295</v>
      </c>
      <c r="B3" s="7">
        <v>45743.420694444445</v>
      </c>
      <c r="C3" s="1" t="s">
        <v>29</v>
      </c>
      <c r="E3" s="1" t="s">
        <v>48</v>
      </c>
      <c r="F3" s="8">
        <v>45737</v>
      </c>
      <c r="G3" s="1" t="s">
        <v>49</v>
      </c>
      <c r="H3" s="1" t="s">
        <v>50</v>
      </c>
      <c r="I3" s="1" t="s">
        <v>51</v>
      </c>
      <c r="J3" s="1" t="s">
        <v>34</v>
      </c>
      <c r="K3" s="9" t="s">
        <v>52</v>
      </c>
      <c r="L3" s="1" t="s">
        <v>53</v>
      </c>
      <c r="M3" s="9" t="s">
        <v>54</v>
      </c>
      <c r="N3" s="9" t="s">
        <v>55</v>
      </c>
      <c r="O3" s="1" t="s">
        <v>56</v>
      </c>
      <c r="P3" s="1" t="s">
        <v>57</v>
      </c>
      <c r="Q3" s="1" t="s">
        <v>58</v>
      </c>
      <c r="R3" s="1" t="s">
        <v>59</v>
      </c>
      <c r="S3" s="9" t="s">
        <v>52</v>
      </c>
      <c r="T3" s="1" t="s">
        <v>60</v>
      </c>
      <c r="U3" s="1" t="s">
        <v>61</v>
      </c>
      <c r="V3" s="1" t="s">
        <v>44</v>
      </c>
      <c r="W3" s="1" t="s">
        <v>44</v>
      </c>
      <c r="X3" s="1" t="s">
        <v>45</v>
      </c>
      <c r="Y3" s="1" t="s">
        <v>44</v>
      </c>
      <c r="Z3" s="1" t="s">
        <v>45</v>
      </c>
      <c r="AA3" s="1" t="s">
        <v>62</v>
      </c>
      <c r="AB3" s="1" t="s">
        <v>44</v>
      </c>
      <c r="AC3" s="3"/>
    </row>
    <row r="4" spans="1:29" ht="114" hidden="1" customHeight="1">
      <c r="A4" s="7">
        <v>45743.470509259256</v>
      </c>
      <c r="B4" s="7">
        <v>45743.480162037034</v>
      </c>
      <c r="C4" s="1" t="s">
        <v>29</v>
      </c>
      <c r="E4" s="1" t="s">
        <v>63</v>
      </c>
      <c r="F4" s="8">
        <v>45742</v>
      </c>
      <c r="G4" s="1" t="s">
        <v>64</v>
      </c>
      <c r="H4" s="1" t="s">
        <v>65</v>
      </c>
      <c r="I4" s="1" t="s">
        <v>66</v>
      </c>
      <c r="J4" s="1" t="s">
        <v>34</v>
      </c>
      <c r="K4" s="1" t="s">
        <v>67</v>
      </c>
      <c r="L4" s="1" t="s">
        <v>68</v>
      </c>
      <c r="M4" s="9" t="s">
        <v>69</v>
      </c>
      <c r="N4" s="9" t="s">
        <v>70</v>
      </c>
      <c r="O4" s="1" t="s">
        <v>56</v>
      </c>
      <c r="P4" s="1" t="s">
        <v>71</v>
      </c>
      <c r="Q4" s="1" t="s">
        <v>72</v>
      </c>
      <c r="R4" s="1" t="s">
        <v>42</v>
      </c>
      <c r="S4" s="1" t="s">
        <v>67</v>
      </c>
      <c r="T4" s="1" t="s">
        <v>67</v>
      </c>
      <c r="U4" s="1" t="s">
        <v>73</v>
      </c>
      <c r="V4" s="1" t="s">
        <v>44</v>
      </c>
      <c r="W4" s="1" t="s">
        <v>45</v>
      </c>
      <c r="X4" s="1" t="s">
        <v>44</v>
      </c>
      <c r="Y4" s="1" t="s">
        <v>45</v>
      </c>
      <c r="Z4" s="1" t="s">
        <v>45</v>
      </c>
      <c r="AA4" s="1" t="s">
        <v>74</v>
      </c>
      <c r="AB4" s="1" t="s">
        <v>45</v>
      </c>
      <c r="AC4" s="3" t="s">
        <v>75</v>
      </c>
    </row>
    <row r="5" spans="1:29" ht="114" hidden="1" customHeight="1">
      <c r="A5" s="7">
        <v>45749.337581018503</v>
      </c>
      <c r="B5" s="7">
        <v>45749.371585648099</v>
      </c>
      <c r="C5" s="2" t="s">
        <v>76</v>
      </c>
      <c r="D5" s="2"/>
      <c r="E5" s="2" t="s">
        <v>77</v>
      </c>
      <c r="F5" s="8">
        <v>45748</v>
      </c>
      <c r="G5" s="2" t="s">
        <v>78</v>
      </c>
      <c r="H5" s="2" t="s">
        <v>79</v>
      </c>
      <c r="I5" s="2" t="s">
        <v>80</v>
      </c>
      <c r="J5" s="2" t="s">
        <v>34</v>
      </c>
      <c r="K5" s="2" t="s">
        <v>81</v>
      </c>
      <c r="L5" s="2" t="s">
        <v>82</v>
      </c>
      <c r="M5" s="10" t="s">
        <v>83</v>
      </c>
      <c r="N5" s="10" t="s">
        <v>84</v>
      </c>
      <c r="O5" s="2" t="s">
        <v>39</v>
      </c>
      <c r="P5" s="2" t="s">
        <v>85</v>
      </c>
      <c r="Q5" s="2" t="s">
        <v>58</v>
      </c>
      <c r="R5" s="2" t="s">
        <v>86</v>
      </c>
      <c r="S5" s="2" t="s">
        <v>87</v>
      </c>
      <c r="T5" s="2" t="s">
        <v>88</v>
      </c>
      <c r="U5" s="2" t="s">
        <v>89</v>
      </c>
      <c r="V5" s="2" t="s">
        <v>45</v>
      </c>
      <c r="W5" s="2" t="s">
        <v>45</v>
      </c>
      <c r="X5" s="2" t="s">
        <v>44</v>
      </c>
      <c r="Y5" s="2" t="s">
        <v>44</v>
      </c>
      <c r="Z5" s="2" t="s">
        <v>45</v>
      </c>
      <c r="AA5" s="2" t="s">
        <v>90</v>
      </c>
      <c r="AB5" s="2" t="s">
        <v>45</v>
      </c>
      <c r="AC5" s="4" t="s">
        <v>91</v>
      </c>
    </row>
    <row r="6" spans="1:29" ht="114" hidden="1" customHeight="1">
      <c r="A6" s="7">
        <v>45754.558668981503</v>
      </c>
      <c r="B6" s="7">
        <v>45754.564861111103</v>
      </c>
      <c r="C6" s="2" t="s">
        <v>76</v>
      </c>
      <c r="D6" s="2"/>
      <c r="E6" s="2" t="s">
        <v>92</v>
      </c>
      <c r="F6" s="8">
        <v>45748</v>
      </c>
      <c r="G6" s="2" t="s">
        <v>93</v>
      </c>
      <c r="H6" s="2" t="s">
        <v>42</v>
      </c>
      <c r="I6" s="2" t="s">
        <v>94</v>
      </c>
      <c r="J6" s="2" t="s">
        <v>34</v>
      </c>
      <c r="K6" s="10" t="s">
        <v>95</v>
      </c>
      <c r="L6" s="2" t="s">
        <v>96</v>
      </c>
      <c r="M6" s="10" t="s">
        <v>97</v>
      </c>
      <c r="N6" s="10" t="s">
        <v>98</v>
      </c>
      <c r="O6" s="2" t="s">
        <v>39</v>
      </c>
      <c r="P6" s="2" t="s">
        <v>40</v>
      </c>
      <c r="Q6" s="2" t="s">
        <v>58</v>
      </c>
      <c r="R6" s="2" t="s">
        <v>42</v>
      </c>
      <c r="S6" s="2" t="s">
        <v>42</v>
      </c>
      <c r="T6" s="2" t="s">
        <v>42</v>
      </c>
      <c r="U6" s="2" t="s">
        <v>99</v>
      </c>
      <c r="V6" s="2" t="s">
        <v>45</v>
      </c>
      <c r="W6" s="2" t="s">
        <v>45</v>
      </c>
      <c r="X6" s="2" t="s">
        <v>45</v>
      </c>
      <c r="Y6" s="2" t="s">
        <v>45</v>
      </c>
      <c r="Z6" s="2" t="s">
        <v>45</v>
      </c>
      <c r="AA6" s="2" t="s">
        <v>42</v>
      </c>
      <c r="AB6" s="2" t="s">
        <v>45</v>
      </c>
      <c r="AC6" s="11" t="s">
        <v>100</v>
      </c>
    </row>
    <row r="7" spans="1:29" ht="114" hidden="1" customHeight="1">
      <c r="A7" s="7">
        <v>45761.389618055597</v>
      </c>
      <c r="B7" s="7">
        <v>45761.406226851803</v>
      </c>
      <c r="C7" s="2" t="s">
        <v>76</v>
      </c>
      <c r="D7" s="2"/>
      <c r="E7" s="2" t="s">
        <v>101</v>
      </c>
      <c r="F7" s="8">
        <v>45758</v>
      </c>
      <c r="G7" s="2" t="s">
        <v>102</v>
      </c>
      <c r="H7" s="2" t="s">
        <v>103</v>
      </c>
      <c r="I7" s="2" t="s">
        <v>66</v>
      </c>
      <c r="J7" s="2" t="s">
        <v>34</v>
      </c>
      <c r="K7" s="10" t="s">
        <v>42</v>
      </c>
      <c r="L7" s="2" t="s">
        <v>104</v>
      </c>
      <c r="M7" s="10" t="s">
        <v>105</v>
      </c>
      <c r="N7" s="10" t="s">
        <v>106</v>
      </c>
      <c r="O7" s="2" t="s">
        <v>56</v>
      </c>
      <c r="P7" s="2" t="s">
        <v>71</v>
      </c>
      <c r="Q7" s="2" t="s">
        <v>72</v>
      </c>
      <c r="R7" s="2" t="s">
        <v>42</v>
      </c>
      <c r="S7" s="2" t="s">
        <v>42</v>
      </c>
      <c r="T7" s="2" t="s">
        <v>42</v>
      </c>
      <c r="U7" s="2" t="s">
        <v>107</v>
      </c>
      <c r="V7" s="2" t="s">
        <v>44</v>
      </c>
      <c r="W7" s="2" t="s">
        <v>44</v>
      </c>
      <c r="X7" s="2" t="s">
        <v>44</v>
      </c>
      <c r="Y7" s="2" t="s">
        <v>44</v>
      </c>
      <c r="Z7" s="2" t="s">
        <v>44</v>
      </c>
      <c r="AA7" s="2" t="s">
        <v>108</v>
      </c>
      <c r="AB7" s="2" t="s">
        <v>45</v>
      </c>
      <c r="AC7" s="5" t="s">
        <v>109</v>
      </c>
    </row>
    <row r="8" spans="1:29" ht="114" hidden="1" customHeight="1">
      <c r="A8" s="7">
        <v>45770.630763888897</v>
      </c>
      <c r="B8" s="7">
        <v>45770.635150463</v>
      </c>
      <c r="C8" s="2" t="s">
        <v>76</v>
      </c>
      <c r="D8" s="2"/>
      <c r="E8" s="2" t="s">
        <v>110</v>
      </c>
      <c r="F8" s="8">
        <v>45770</v>
      </c>
      <c r="G8" s="2" t="s">
        <v>111</v>
      </c>
      <c r="H8" s="2" t="s">
        <v>112</v>
      </c>
      <c r="I8" s="2" t="s">
        <v>113</v>
      </c>
      <c r="J8" s="2" t="s">
        <v>34</v>
      </c>
      <c r="K8" s="10" t="s">
        <v>114</v>
      </c>
      <c r="L8" s="2" t="s">
        <v>115</v>
      </c>
      <c r="M8" s="10" t="s">
        <v>116</v>
      </c>
      <c r="N8" s="10" t="s">
        <v>117</v>
      </c>
      <c r="O8" s="2" t="s">
        <v>56</v>
      </c>
      <c r="P8" s="2" t="s">
        <v>71</v>
      </c>
      <c r="Q8" s="2" t="s">
        <v>41</v>
      </c>
      <c r="R8" s="2" t="s">
        <v>42</v>
      </c>
      <c r="S8" s="2" t="s">
        <v>42</v>
      </c>
      <c r="T8" s="2" t="s">
        <v>42</v>
      </c>
      <c r="U8" s="2" t="s">
        <v>118</v>
      </c>
      <c r="V8" s="2" t="s">
        <v>44</v>
      </c>
      <c r="W8" s="2" t="s">
        <v>44</v>
      </c>
      <c r="X8" s="2" t="s">
        <v>44</v>
      </c>
      <c r="Y8" s="2" t="s">
        <v>44</v>
      </c>
      <c r="Z8" s="2" t="s">
        <v>45</v>
      </c>
      <c r="AA8" s="2" t="s">
        <v>42</v>
      </c>
      <c r="AB8" s="2" t="s">
        <v>45</v>
      </c>
      <c r="AC8" s="11" t="s">
        <v>119</v>
      </c>
    </row>
    <row r="9" spans="1:29" ht="114" hidden="1" customHeight="1">
      <c r="A9" s="7">
        <v>45776.581967592603</v>
      </c>
      <c r="B9" s="7">
        <v>45776.587696759299</v>
      </c>
      <c r="C9" s="2" t="s">
        <v>76</v>
      </c>
      <c r="D9" s="2"/>
      <c r="E9" s="2" t="s">
        <v>120</v>
      </c>
      <c r="F9" s="8">
        <v>45771</v>
      </c>
      <c r="G9" s="2" t="s">
        <v>121</v>
      </c>
      <c r="H9" s="2" t="s">
        <v>122</v>
      </c>
      <c r="I9" s="2" t="s">
        <v>66</v>
      </c>
      <c r="J9" s="2" t="s">
        <v>34</v>
      </c>
      <c r="K9" s="10" t="s">
        <v>123</v>
      </c>
      <c r="L9" s="2" t="s">
        <v>124</v>
      </c>
      <c r="M9" s="10" t="s">
        <v>125</v>
      </c>
      <c r="N9" s="10" t="s">
        <v>126</v>
      </c>
      <c r="O9" s="2" t="s">
        <v>56</v>
      </c>
      <c r="P9" s="2" t="s">
        <v>57</v>
      </c>
      <c r="Q9" s="2" t="s">
        <v>41</v>
      </c>
      <c r="R9" s="2" t="s">
        <v>127</v>
      </c>
      <c r="S9" s="2" t="s">
        <v>128</v>
      </c>
      <c r="T9" s="2" t="s">
        <v>42</v>
      </c>
      <c r="U9" s="2" t="s">
        <v>129</v>
      </c>
      <c r="V9" s="2" t="s">
        <v>44</v>
      </c>
      <c r="W9" s="2" t="s">
        <v>45</v>
      </c>
      <c r="X9" s="2" t="s">
        <v>44</v>
      </c>
      <c r="Y9" s="2"/>
      <c r="Z9" s="2" t="s">
        <v>44</v>
      </c>
      <c r="AA9" s="2" t="s">
        <v>130</v>
      </c>
      <c r="AB9" s="2" t="s">
        <v>45</v>
      </c>
      <c r="AC9" s="5"/>
    </row>
    <row r="10" spans="1:29" ht="114" hidden="1" customHeight="1">
      <c r="A10" s="7">
        <v>45782.242245370398</v>
      </c>
      <c r="B10" s="7">
        <v>45782.245277777802</v>
      </c>
      <c r="C10" s="2" t="s">
        <v>76</v>
      </c>
      <c r="D10" s="2"/>
      <c r="E10" s="2" t="s">
        <v>120</v>
      </c>
      <c r="F10" s="8">
        <v>45780</v>
      </c>
      <c r="G10" s="2" t="s">
        <v>131</v>
      </c>
      <c r="H10" s="2" t="s">
        <v>132</v>
      </c>
      <c r="I10" s="2" t="s">
        <v>133</v>
      </c>
      <c r="J10" s="2" t="s">
        <v>134</v>
      </c>
      <c r="K10" s="10" t="s">
        <v>135</v>
      </c>
      <c r="L10" s="2" t="s">
        <v>136</v>
      </c>
      <c r="M10" s="10" t="s">
        <v>137</v>
      </c>
      <c r="N10" s="10" t="s">
        <v>138</v>
      </c>
      <c r="O10" s="2" t="s">
        <v>139</v>
      </c>
      <c r="P10" s="2" t="s">
        <v>71</v>
      </c>
      <c r="Q10" s="2" t="s">
        <v>58</v>
      </c>
      <c r="R10" s="2" t="s">
        <v>42</v>
      </c>
      <c r="S10" s="2" t="s">
        <v>42</v>
      </c>
      <c r="T10" s="2" t="s">
        <v>42</v>
      </c>
      <c r="U10" s="2" t="s">
        <v>140</v>
      </c>
      <c r="V10" s="2" t="s">
        <v>44</v>
      </c>
      <c r="W10" s="2" t="s">
        <v>44</v>
      </c>
      <c r="X10" s="2" t="s">
        <v>44</v>
      </c>
      <c r="Y10" s="2" t="s">
        <v>44</v>
      </c>
      <c r="Z10" s="2" t="s">
        <v>44</v>
      </c>
      <c r="AA10" s="2" t="s">
        <v>141</v>
      </c>
      <c r="AB10" s="2" t="s">
        <v>45</v>
      </c>
      <c r="AC10" s="11" t="s">
        <v>142</v>
      </c>
    </row>
    <row r="11" spans="1:29" ht="114" hidden="1" customHeight="1">
      <c r="A11" s="7">
        <v>45793.709641203699</v>
      </c>
      <c r="B11" s="7">
        <v>45793.7187037037</v>
      </c>
      <c r="C11" s="2" t="s">
        <v>76</v>
      </c>
      <c r="D11" s="2"/>
      <c r="E11" s="2" t="s">
        <v>143</v>
      </c>
      <c r="F11" s="8">
        <v>45793</v>
      </c>
      <c r="G11" s="2" t="s">
        <v>144</v>
      </c>
      <c r="H11" s="2" t="s">
        <v>145</v>
      </c>
      <c r="I11" s="2" t="s">
        <v>146</v>
      </c>
      <c r="J11" s="2" t="s">
        <v>34</v>
      </c>
      <c r="K11" s="10" t="s">
        <v>52</v>
      </c>
      <c r="L11" s="2" t="s">
        <v>147</v>
      </c>
      <c r="M11" s="10" t="s">
        <v>148</v>
      </c>
      <c r="N11" s="10" t="s">
        <v>149</v>
      </c>
      <c r="O11" s="2" t="s">
        <v>150</v>
      </c>
      <c r="P11" s="2" t="s">
        <v>57</v>
      </c>
      <c r="Q11" s="2" t="s">
        <v>72</v>
      </c>
      <c r="R11" s="2" t="s">
        <v>127</v>
      </c>
      <c r="S11" s="2" t="s">
        <v>151</v>
      </c>
      <c r="T11" s="2" t="s">
        <v>134</v>
      </c>
      <c r="U11" s="2" t="s">
        <v>152</v>
      </c>
      <c r="V11" s="2" t="s">
        <v>44</v>
      </c>
      <c r="W11" s="2" t="s">
        <v>45</v>
      </c>
      <c r="X11" s="2" t="s">
        <v>45</v>
      </c>
      <c r="Y11" s="2" t="s">
        <v>44</v>
      </c>
      <c r="Z11" s="2" t="s">
        <v>45</v>
      </c>
      <c r="AA11" s="2" t="s">
        <v>153</v>
      </c>
      <c r="AB11" s="2" t="s">
        <v>44</v>
      </c>
      <c r="AC11" s="5"/>
    </row>
    <row r="12" spans="1:29" ht="114" hidden="1" customHeight="1">
      <c r="A12" s="7">
        <v>45803.292418981502</v>
      </c>
      <c r="B12" s="7">
        <v>45803.307812500003</v>
      </c>
      <c r="C12" s="2" t="s">
        <v>76</v>
      </c>
      <c r="D12" s="2"/>
      <c r="E12" s="2" t="s">
        <v>154</v>
      </c>
      <c r="F12" s="8">
        <v>45800</v>
      </c>
      <c r="G12" s="2" t="s">
        <v>155</v>
      </c>
      <c r="H12" s="2" t="s">
        <v>156</v>
      </c>
      <c r="I12" s="2" t="s">
        <v>157</v>
      </c>
      <c r="J12" s="2" t="s">
        <v>34</v>
      </c>
      <c r="K12" s="10" t="s">
        <v>158</v>
      </c>
      <c r="L12" s="2" t="s">
        <v>159</v>
      </c>
      <c r="M12" s="10" t="s">
        <v>160</v>
      </c>
      <c r="N12" s="10" t="s">
        <v>161</v>
      </c>
      <c r="O12" s="2" t="s">
        <v>56</v>
      </c>
      <c r="P12" s="2" t="s">
        <v>40</v>
      </c>
      <c r="Q12" s="2" t="s">
        <v>41</v>
      </c>
      <c r="R12" s="2" t="s">
        <v>42</v>
      </c>
      <c r="S12" s="2" t="s">
        <v>42</v>
      </c>
      <c r="T12" s="2" t="s">
        <v>42</v>
      </c>
      <c r="U12" s="2" t="s">
        <v>162</v>
      </c>
      <c r="V12" s="2" t="s">
        <v>44</v>
      </c>
      <c r="W12" s="2" t="s">
        <v>45</v>
      </c>
      <c r="X12" s="2" t="s">
        <v>44</v>
      </c>
      <c r="Y12" s="2" t="s">
        <v>44</v>
      </c>
      <c r="Z12" s="2" t="s">
        <v>44</v>
      </c>
      <c r="AA12" s="2" t="s">
        <v>163</v>
      </c>
      <c r="AB12" s="2" t="s">
        <v>45</v>
      </c>
      <c r="AC12" s="5" t="s">
        <v>164</v>
      </c>
    </row>
    <row r="13" spans="1:29" ht="114" hidden="1" customHeight="1">
      <c r="A13" s="7">
        <v>45805.266851851797</v>
      </c>
      <c r="B13" s="7">
        <v>45805.2726736111</v>
      </c>
      <c r="C13" s="2" t="s">
        <v>76</v>
      </c>
      <c r="D13" s="2"/>
      <c r="E13" s="2" t="s">
        <v>165</v>
      </c>
      <c r="F13" s="8">
        <v>45804</v>
      </c>
      <c r="G13" s="2" t="s">
        <v>166</v>
      </c>
      <c r="H13" s="2" t="s">
        <v>167</v>
      </c>
      <c r="I13" s="2" t="s">
        <v>168</v>
      </c>
      <c r="J13" s="2" t="s">
        <v>134</v>
      </c>
      <c r="K13" s="10" t="s">
        <v>169</v>
      </c>
      <c r="L13" s="2" t="s">
        <v>170</v>
      </c>
      <c r="M13" s="10" t="s">
        <v>171</v>
      </c>
      <c r="N13" s="10" t="s">
        <v>172</v>
      </c>
      <c r="O13" s="2" t="s">
        <v>139</v>
      </c>
      <c r="P13" s="2" t="s">
        <v>71</v>
      </c>
      <c r="Q13" s="2" t="s">
        <v>72</v>
      </c>
      <c r="R13" s="2" t="s">
        <v>127</v>
      </c>
      <c r="S13" s="2" t="s">
        <v>173</v>
      </c>
      <c r="T13" s="2" t="s">
        <v>173</v>
      </c>
      <c r="U13" s="2" t="s">
        <v>174</v>
      </c>
      <c r="V13" s="2" t="s">
        <v>45</v>
      </c>
      <c r="W13" s="2" t="s">
        <v>45</v>
      </c>
      <c r="X13" s="2" t="s">
        <v>44</v>
      </c>
      <c r="Y13" s="2" t="s">
        <v>44</v>
      </c>
      <c r="Z13" s="2" t="s">
        <v>44</v>
      </c>
      <c r="AA13" s="2" t="s">
        <v>175</v>
      </c>
      <c r="AB13" s="2" t="s">
        <v>45</v>
      </c>
      <c r="AC13" s="5" t="s">
        <v>176</v>
      </c>
    </row>
    <row r="14" spans="1:29" ht="114" hidden="1" customHeight="1">
      <c r="A14" s="7">
        <v>45805.3997453704</v>
      </c>
      <c r="B14" s="7">
        <v>45805.425648148099</v>
      </c>
      <c r="C14" s="2" t="s">
        <v>76</v>
      </c>
      <c r="D14" s="2"/>
      <c r="E14" s="2" t="s">
        <v>154</v>
      </c>
      <c r="F14" s="8">
        <v>45804</v>
      </c>
      <c r="G14" s="2" t="s">
        <v>177</v>
      </c>
      <c r="H14" s="2" t="s">
        <v>178</v>
      </c>
      <c r="I14" s="2" t="s">
        <v>51</v>
      </c>
      <c r="J14" s="2" t="s">
        <v>34</v>
      </c>
      <c r="K14" s="10" t="s">
        <v>179</v>
      </c>
      <c r="L14" s="2" t="s">
        <v>180</v>
      </c>
      <c r="M14" s="10" t="s">
        <v>181</v>
      </c>
      <c r="N14" s="10" t="s">
        <v>182</v>
      </c>
      <c r="O14" s="2" t="s">
        <v>56</v>
      </c>
      <c r="P14" s="2" t="s">
        <v>57</v>
      </c>
      <c r="Q14" s="2" t="s">
        <v>41</v>
      </c>
      <c r="R14" s="2" t="s">
        <v>59</v>
      </c>
      <c r="S14" s="2" t="s">
        <v>42</v>
      </c>
      <c r="T14" s="2" t="s">
        <v>183</v>
      </c>
      <c r="U14" s="2" t="s">
        <v>184</v>
      </c>
      <c r="V14" s="2" t="s">
        <v>45</v>
      </c>
      <c r="W14" s="2" t="s">
        <v>45</v>
      </c>
      <c r="X14" s="2" t="s">
        <v>45</v>
      </c>
      <c r="Y14" s="2" t="s">
        <v>44</v>
      </c>
      <c r="Z14" s="2" t="s">
        <v>45</v>
      </c>
      <c r="AA14" s="2" t="s">
        <v>185</v>
      </c>
      <c r="AB14" s="2" t="s">
        <v>45</v>
      </c>
      <c r="AC14" s="11" t="s">
        <v>186</v>
      </c>
    </row>
    <row r="15" spans="1:29" ht="114" hidden="1" customHeight="1">
      <c r="A15" s="7">
        <v>45808.885219907403</v>
      </c>
      <c r="B15" s="7">
        <v>45808.890821759298</v>
      </c>
      <c r="C15" s="2" t="s">
        <v>76</v>
      </c>
      <c r="D15" s="2"/>
      <c r="E15" s="2" t="s">
        <v>120</v>
      </c>
      <c r="F15" s="8">
        <v>45807</v>
      </c>
      <c r="G15" s="2" t="s">
        <v>187</v>
      </c>
      <c r="H15" s="2" t="s">
        <v>188</v>
      </c>
      <c r="I15" s="2" t="s">
        <v>189</v>
      </c>
      <c r="J15" s="2" t="s">
        <v>134</v>
      </c>
      <c r="K15" s="10" t="s">
        <v>190</v>
      </c>
      <c r="L15" s="2" t="s">
        <v>191</v>
      </c>
      <c r="M15" s="10" t="s">
        <v>192</v>
      </c>
      <c r="N15" s="10" t="s">
        <v>193</v>
      </c>
      <c r="O15" s="2" t="s">
        <v>56</v>
      </c>
      <c r="P15" s="2" t="s">
        <v>57</v>
      </c>
      <c r="Q15" s="2" t="s">
        <v>72</v>
      </c>
      <c r="R15" s="2" t="s">
        <v>42</v>
      </c>
      <c r="S15" s="2" t="s">
        <v>42</v>
      </c>
      <c r="T15" s="2" t="s">
        <v>42</v>
      </c>
      <c r="U15" s="2" t="s">
        <v>194</v>
      </c>
      <c r="V15" s="2" t="s">
        <v>45</v>
      </c>
      <c r="W15" s="2" t="s">
        <v>44</v>
      </c>
      <c r="X15" s="2" t="s">
        <v>45</v>
      </c>
      <c r="Y15" s="2" t="s">
        <v>44</v>
      </c>
      <c r="Z15" s="2" t="s">
        <v>45</v>
      </c>
      <c r="AA15" s="2" t="s">
        <v>195</v>
      </c>
      <c r="AB15" s="2" t="s">
        <v>45</v>
      </c>
      <c r="AC15" s="5"/>
    </row>
    <row r="16" spans="1:29" ht="114" hidden="1" customHeight="1">
      <c r="A16" s="7">
        <v>45808.978356481501</v>
      </c>
      <c r="B16" s="7">
        <v>45808.979652777802</v>
      </c>
      <c r="C16" s="2" t="s">
        <v>76</v>
      </c>
      <c r="D16" s="2"/>
      <c r="E16" s="2" t="s">
        <v>196</v>
      </c>
      <c r="F16" s="8">
        <v>45808</v>
      </c>
      <c r="G16" s="2" t="s">
        <v>197</v>
      </c>
      <c r="H16" s="2" t="s">
        <v>188</v>
      </c>
      <c r="I16" s="2" t="s">
        <v>198</v>
      </c>
      <c r="J16" s="2" t="s">
        <v>34</v>
      </c>
      <c r="K16" s="10" t="s">
        <v>199</v>
      </c>
      <c r="L16" s="2" t="s">
        <v>200</v>
      </c>
      <c r="M16" s="10" t="s">
        <v>201</v>
      </c>
      <c r="N16" s="10" t="s">
        <v>202</v>
      </c>
      <c r="O16" s="2" t="s">
        <v>150</v>
      </c>
      <c r="P16" s="2" t="s">
        <v>57</v>
      </c>
      <c r="Q16" s="2" t="s">
        <v>58</v>
      </c>
      <c r="R16" s="2" t="s">
        <v>42</v>
      </c>
      <c r="S16" s="2" t="s">
        <v>42</v>
      </c>
      <c r="T16" s="2" t="s">
        <v>42</v>
      </c>
      <c r="U16" s="2" t="s">
        <v>203</v>
      </c>
      <c r="V16" s="2" t="s">
        <v>45</v>
      </c>
      <c r="W16" s="2" t="s">
        <v>44</v>
      </c>
      <c r="X16" s="2" t="s">
        <v>45</v>
      </c>
      <c r="Y16" s="2" t="s">
        <v>45</v>
      </c>
      <c r="Z16" s="2" t="s">
        <v>45</v>
      </c>
      <c r="AA16" s="2" t="s">
        <v>204</v>
      </c>
      <c r="AB16" s="2" t="s">
        <v>45</v>
      </c>
      <c r="AC16" s="5" t="s">
        <v>205</v>
      </c>
    </row>
    <row r="17" spans="1:29" ht="114" hidden="1" customHeight="1">
      <c r="A17" s="7">
        <v>45809.576481481497</v>
      </c>
      <c r="B17" s="7">
        <v>45809.583912037</v>
      </c>
      <c r="C17" s="2" t="s">
        <v>76</v>
      </c>
      <c r="D17" s="2"/>
      <c r="E17" s="2" t="s">
        <v>206</v>
      </c>
      <c r="F17" s="8">
        <v>45809</v>
      </c>
      <c r="G17" s="2" t="s">
        <v>207</v>
      </c>
      <c r="H17" s="2" t="s">
        <v>208</v>
      </c>
      <c r="I17" s="2" t="s">
        <v>209</v>
      </c>
      <c r="J17" s="2" t="s">
        <v>34</v>
      </c>
      <c r="K17" s="10" t="s">
        <v>210</v>
      </c>
      <c r="L17" s="2" t="s">
        <v>211</v>
      </c>
      <c r="M17" s="10" t="s">
        <v>212</v>
      </c>
      <c r="N17" s="10" t="s">
        <v>213</v>
      </c>
      <c r="O17" s="2" t="s">
        <v>56</v>
      </c>
      <c r="P17" s="2" t="s">
        <v>85</v>
      </c>
      <c r="Q17" s="2" t="s">
        <v>41</v>
      </c>
      <c r="R17" s="2" t="s">
        <v>86</v>
      </c>
      <c r="S17" s="10" t="s">
        <v>214</v>
      </c>
      <c r="T17" s="2" t="s">
        <v>215</v>
      </c>
      <c r="U17" s="2" t="s">
        <v>216</v>
      </c>
      <c r="V17" s="2" t="s">
        <v>44</v>
      </c>
      <c r="W17" s="2" t="s">
        <v>45</v>
      </c>
      <c r="X17" s="2" t="s">
        <v>44</v>
      </c>
      <c r="Y17" s="2" t="s">
        <v>44</v>
      </c>
      <c r="Z17" s="2" t="s">
        <v>45</v>
      </c>
      <c r="AA17" s="2" t="s">
        <v>217</v>
      </c>
      <c r="AB17" s="2" t="s">
        <v>44</v>
      </c>
      <c r="AC17" s="5"/>
    </row>
    <row r="18" spans="1:29" ht="114" hidden="1" customHeight="1">
      <c r="A18" s="7">
        <v>45817.379212963002</v>
      </c>
      <c r="B18" s="7">
        <v>45817.379502314798</v>
      </c>
      <c r="C18" s="2" t="s">
        <v>76</v>
      </c>
      <c r="D18" s="2"/>
      <c r="E18" s="2" t="s">
        <v>218</v>
      </c>
      <c r="F18" s="8">
        <v>45814</v>
      </c>
      <c r="G18" s="2" t="s">
        <v>219</v>
      </c>
      <c r="H18" s="2" t="s">
        <v>220</v>
      </c>
      <c r="I18" s="2" t="s">
        <v>113</v>
      </c>
      <c r="J18" s="2" t="s">
        <v>34</v>
      </c>
      <c r="K18" s="10" t="s">
        <v>221</v>
      </c>
      <c r="L18" s="2" t="s">
        <v>222</v>
      </c>
      <c r="M18" s="10" t="s">
        <v>223</v>
      </c>
      <c r="N18" s="10" t="s">
        <v>224</v>
      </c>
      <c r="O18" s="2" t="s">
        <v>56</v>
      </c>
      <c r="P18" s="2" t="s">
        <v>40</v>
      </c>
      <c r="Q18" s="2" t="s">
        <v>41</v>
      </c>
      <c r="R18" s="2" t="s">
        <v>42</v>
      </c>
      <c r="S18" s="10" t="s">
        <v>42</v>
      </c>
      <c r="T18" s="2" t="s">
        <v>42</v>
      </c>
      <c r="U18" s="2" t="s">
        <v>225</v>
      </c>
      <c r="V18" s="2" t="s">
        <v>44</v>
      </c>
      <c r="W18" s="2" t="s">
        <v>45</v>
      </c>
      <c r="X18" s="2" t="s">
        <v>45</v>
      </c>
      <c r="Y18" s="2" t="s">
        <v>44</v>
      </c>
      <c r="Z18" s="2" t="s">
        <v>44</v>
      </c>
      <c r="AA18" s="2" t="s">
        <v>226</v>
      </c>
      <c r="AB18" s="2" t="s">
        <v>45</v>
      </c>
      <c r="AC18" s="5" t="s">
        <v>227</v>
      </c>
    </row>
    <row r="19" spans="1:29" ht="114" hidden="1" customHeight="1">
      <c r="A19" s="7">
        <v>45818.347395833298</v>
      </c>
      <c r="B19" s="7">
        <v>45818.360462962999</v>
      </c>
      <c r="C19" s="2" t="s">
        <v>76</v>
      </c>
      <c r="D19" s="2"/>
      <c r="E19" s="2" t="s">
        <v>228</v>
      </c>
      <c r="F19" s="8">
        <v>45815</v>
      </c>
      <c r="G19" s="2" t="s">
        <v>229</v>
      </c>
      <c r="H19" s="2" t="s">
        <v>230</v>
      </c>
      <c r="I19" s="2" t="s">
        <v>51</v>
      </c>
      <c r="J19" s="2" t="s">
        <v>34</v>
      </c>
      <c r="K19" s="10" t="s">
        <v>231</v>
      </c>
      <c r="L19" s="2" t="s">
        <v>232</v>
      </c>
      <c r="M19" s="10" t="s">
        <v>233</v>
      </c>
      <c r="N19" s="10" t="s">
        <v>234</v>
      </c>
      <c r="O19" s="2" t="s">
        <v>56</v>
      </c>
      <c r="P19" s="2" t="s">
        <v>71</v>
      </c>
      <c r="Q19" s="2" t="s">
        <v>58</v>
      </c>
      <c r="R19" s="2" t="s">
        <v>42</v>
      </c>
      <c r="S19" s="10" t="s">
        <v>235</v>
      </c>
      <c r="T19" s="2" t="s">
        <v>42</v>
      </c>
      <c r="U19" s="2" t="s">
        <v>236</v>
      </c>
      <c r="V19" s="2" t="s">
        <v>45</v>
      </c>
      <c r="W19" s="2" t="s">
        <v>44</v>
      </c>
      <c r="X19" s="2" t="s">
        <v>45</v>
      </c>
      <c r="Y19" s="2" t="s">
        <v>44</v>
      </c>
      <c r="Z19" s="2" t="s">
        <v>45</v>
      </c>
      <c r="AA19" s="2" t="s">
        <v>237</v>
      </c>
      <c r="AB19" s="2" t="s">
        <v>45</v>
      </c>
      <c r="AC19" s="11" t="s">
        <v>238</v>
      </c>
    </row>
    <row r="20" spans="1:29" ht="114" hidden="1" customHeight="1">
      <c r="A20" s="7">
        <v>45828.572129629603</v>
      </c>
      <c r="B20" s="7">
        <v>45828.574884259302</v>
      </c>
      <c r="C20" s="2" t="s">
        <v>76</v>
      </c>
      <c r="D20" s="2"/>
      <c r="E20" s="2" t="s">
        <v>239</v>
      </c>
      <c r="F20" s="8">
        <v>45828</v>
      </c>
      <c r="G20" s="2" t="s">
        <v>240</v>
      </c>
      <c r="H20" s="2" t="s">
        <v>241</v>
      </c>
      <c r="I20" s="2" t="s">
        <v>242</v>
      </c>
      <c r="J20" s="2" t="s">
        <v>34</v>
      </c>
      <c r="K20" s="10" t="s">
        <v>243</v>
      </c>
      <c r="L20" s="2" t="s">
        <v>244</v>
      </c>
      <c r="M20" s="10" t="s">
        <v>245</v>
      </c>
      <c r="N20" s="10" t="s">
        <v>246</v>
      </c>
      <c r="O20" s="2" t="s">
        <v>247</v>
      </c>
      <c r="P20" s="2" t="s">
        <v>248</v>
      </c>
      <c r="Q20" s="2" t="s">
        <v>41</v>
      </c>
      <c r="R20" s="2" t="s">
        <v>59</v>
      </c>
      <c r="S20" s="10" t="s">
        <v>249</v>
      </c>
      <c r="T20" s="2" t="s">
        <v>249</v>
      </c>
      <c r="U20" s="2" t="s">
        <v>250</v>
      </c>
      <c r="V20" s="2" t="s">
        <v>44</v>
      </c>
      <c r="W20" s="2" t="s">
        <v>44</v>
      </c>
      <c r="X20" s="2" t="s">
        <v>45</v>
      </c>
      <c r="Y20" s="2" t="s">
        <v>44</v>
      </c>
      <c r="Z20" s="2" t="s">
        <v>45</v>
      </c>
      <c r="AA20" s="2" t="s">
        <v>251</v>
      </c>
      <c r="AB20" s="2" t="s">
        <v>44</v>
      </c>
      <c r="AC20" s="5"/>
    </row>
    <row r="21" spans="1:29" ht="114" hidden="1" customHeight="1">
      <c r="A21" s="7">
        <v>45842.585104166697</v>
      </c>
      <c r="B21" s="7">
        <v>45842.585277777798</v>
      </c>
      <c r="C21" s="2" t="s">
        <v>76</v>
      </c>
      <c r="D21" s="2"/>
      <c r="E21" s="2" t="s">
        <v>120</v>
      </c>
      <c r="F21" s="8">
        <v>45840</v>
      </c>
      <c r="G21" s="2" t="s">
        <v>252</v>
      </c>
      <c r="H21" s="2" t="s">
        <v>253</v>
      </c>
      <c r="I21" s="2" t="s">
        <v>168</v>
      </c>
      <c r="J21" s="2" t="s">
        <v>34</v>
      </c>
      <c r="K21" s="10" t="s">
        <v>168</v>
      </c>
      <c r="L21" s="2" t="s">
        <v>254</v>
      </c>
      <c r="M21" s="10" t="s">
        <v>255</v>
      </c>
      <c r="N21" s="10" t="s">
        <v>256</v>
      </c>
      <c r="O21" s="2" t="s">
        <v>56</v>
      </c>
      <c r="P21" s="2" t="s">
        <v>71</v>
      </c>
      <c r="Q21" s="2" t="s">
        <v>72</v>
      </c>
      <c r="R21" s="2" t="s">
        <v>42</v>
      </c>
      <c r="S21" s="10" t="s">
        <v>42</v>
      </c>
      <c r="T21" s="2" t="s">
        <v>42</v>
      </c>
      <c r="U21" s="2" t="s">
        <v>257</v>
      </c>
      <c r="V21" s="2" t="s">
        <v>45</v>
      </c>
      <c r="W21" s="2" t="s">
        <v>45</v>
      </c>
      <c r="X21" s="2" t="s">
        <v>45</v>
      </c>
      <c r="Y21" s="2" t="s">
        <v>44</v>
      </c>
      <c r="Z21" s="2" t="s">
        <v>45</v>
      </c>
      <c r="AA21" s="2" t="s">
        <v>258</v>
      </c>
      <c r="AB21" s="2" t="s">
        <v>45</v>
      </c>
      <c r="AC21" s="5" t="s">
        <v>259</v>
      </c>
    </row>
    <row r="22" spans="1:29" ht="114" hidden="1" customHeight="1">
      <c r="A22" s="7">
        <v>45856.620347222197</v>
      </c>
      <c r="B22" s="7">
        <v>45856.620844907397</v>
      </c>
      <c r="C22" s="2" t="s">
        <v>76</v>
      </c>
      <c r="D22" s="2"/>
      <c r="E22" s="2" t="s">
        <v>260</v>
      </c>
      <c r="F22" s="8">
        <v>45856</v>
      </c>
      <c r="G22" s="2" t="s">
        <v>261</v>
      </c>
      <c r="H22" s="2" t="s">
        <v>262</v>
      </c>
      <c r="I22" s="2" t="s">
        <v>168</v>
      </c>
      <c r="J22" s="2" t="s">
        <v>34</v>
      </c>
      <c r="K22" s="10" t="s">
        <v>263</v>
      </c>
      <c r="L22" s="2" t="s">
        <v>264</v>
      </c>
      <c r="M22" s="10" t="s">
        <v>265</v>
      </c>
      <c r="N22" s="10" t="s">
        <v>266</v>
      </c>
      <c r="O22" s="2" t="s">
        <v>247</v>
      </c>
      <c r="P22" s="2" t="s">
        <v>40</v>
      </c>
      <c r="Q22" s="2" t="s">
        <v>41</v>
      </c>
      <c r="R22" s="2" t="s">
        <v>59</v>
      </c>
      <c r="S22" s="10" t="s">
        <v>88</v>
      </c>
      <c r="T22" s="2" t="s">
        <v>267</v>
      </c>
      <c r="U22" s="2" t="s">
        <v>268</v>
      </c>
      <c r="V22" s="2" t="s">
        <v>44</v>
      </c>
      <c r="W22" s="2" t="s">
        <v>44</v>
      </c>
      <c r="X22" s="2" t="s">
        <v>44</v>
      </c>
      <c r="Y22" s="2" t="s">
        <v>44</v>
      </c>
      <c r="Z22" s="2" t="s">
        <v>45</v>
      </c>
      <c r="AA22" s="2" t="s">
        <v>269</v>
      </c>
      <c r="AB22" s="2" t="s">
        <v>45</v>
      </c>
      <c r="AC22" s="5" t="s">
        <v>270</v>
      </c>
    </row>
    <row r="23" spans="1:29" ht="114" hidden="1" customHeight="1">
      <c r="A23" s="7">
        <v>45868.6593055556</v>
      </c>
      <c r="B23" s="7">
        <v>45868.6976967593</v>
      </c>
      <c r="C23" s="2" t="s">
        <v>76</v>
      </c>
      <c r="D23" s="2"/>
      <c r="E23" s="2" t="s">
        <v>271</v>
      </c>
      <c r="F23" s="8">
        <v>45868</v>
      </c>
      <c r="G23" s="2" t="s">
        <v>272</v>
      </c>
      <c r="H23" s="2" t="s">
        <v>273</v>
      </c>
      <c r="I23" s="2" t="s">
        <v>274</v>
      </c>
      <c r="J23" s="2" t="s">
        <v>134</v>
      </c>
      <c r="K23" s="10" t="s">
        <v>42</v>
      </c>
      <c r="L23" s="2" t="s">
        <v>275</v>
      </c>
      <c r="M23" s="10" t="s">
        <v>276</v>
      </c>
      <c r="N23" s="10" t="s">
        <v>277</v>
      </c>
      <c r="O23" s="2" t="s">
        <v>56</v>
      </c>
      <c r="P23" s="2" t="s">
        <v>71</v>
      </c>
      <c r="Q23" s="2" t="s">
        <v>58</v>
      </c>
      <c r="R23" s="2" t="s">
        <v>42</v>
      </c>
      <c r="S23" s="10" t="s">
        <v>42</v>
      </c>
      <c r="T23" s="2" t="s">
        <v>278</v>
      </c>
      <c r="U23" s="2" t="s">
        <v>279</v>
      </c>
      <c r="V23" s="2" t="s">
        <v>44</v>
      </c>
      <c r="W23" s="2" t="s">
        <v>44</v>
      </c>
      <c r="X23" s="2" t="s">
        <v>45</v>
      </c>
      <c r="Y23" s="2" t="s">
        <v>44</v>
      </c>
      <c r="Z23" s="2" t="s">
        <v>45</v>
      </c>
      <c r="AA23" s="2" t="s">
        <v>280</v>
      </c>
      <c r="AB23" s="2" t="s">
        <v>45</v>
      </c>
      <c r="AC23" s="6" t="s">
        <v>281</v>
      </c>
    </row>
    <row r="24" spans="1:29" ht="114" hidden="1" customHeight="1">
      <c r="A24" s="7">
        <v>45869.302372685197</v>
      </c>
      <c r="B24" s="7">
        <v>45869.305625000001</v>
      </c>
      <c r="C24" s="2" t="s">
        <v>76</v>
      </c>
      <c r="D24" s="2"/>
      <c r="E24" s="2" t="s">
        <v>120</v>
      </c>
      <c r="F24" s="8">
        <v>45865</v>
      </c>
      <c r="G24" s="2" t="s">
        <v>282</v>
      </c>
      <c r="H24" s="2" t="s">
        <v>283</v>
      </c>
      <c r="I24" s="2" t="s">
        <v>284</v>
      </c>
      <c r="J24" s="2" t="s">
        <v>134</v>
      </c>
      <c r="K24" s="10" t="s">
        <v>285</v>
      </c>
      <c r="L24" s="2" t="s">
        <v>286</v>
      </c>
      <c r="M24" s="10" t="s">
        <v>287</v>
      </c>
      <c r="N24" s="10" t="s">
        <v>288</v>
      </c>
      <c r="O24" s="2" t="s">
        <v>56</v>
      </c>
      <c r="P24" s="2" t="s">
        <v>71</v>
      </c>
      <c r="Q24" s="2" t="s">
        <v>58</v>
      </c>
      <c r="R24" s="2" t="s">
        <v>127</v>
      </c>
      <c r="S24" s="10" t="s">
        <v>289</v>
      </c>
      <c r="T24" s="2" t="s">
        <v>42</v>
      </c>
      <c r="U24" s="2" t="s">
        <v>290</v>
      </c>
      <c r="V24" s="2" t="s">
        <v>44</v>
      </c>
      <c r="W24" s="2" t="s">
        <v>45</v>
      </c>
      <c r="X24" s="2" t="s">
        <v>44</v>
      </c>
      <c r="Y24" s="2" t="s">
        <v>44</v>
      </c>
      <c r="Z24" s="2" t="s">
        <v>45</v>
      </c>
      <c r="AA24" s="2" t="s">
        <v>291</v>
      </c>
      <c r="AB24" s="2" t="s">
        <v>45</v>
      </c>
      <c r="AC24" s="5" t="s">
        <v>292</v>
      </c>
    </row>
    <row r="25" spans="1:29" ht="114" hidden="1" customHeight="1">
      <c r="A25" s="7">
        <v>45869.586180555598</v>
      </c>
      <c r="B25" s="7">
        <v>45869.593935185199</v>
      </c>
      <c r="C25" s="2" t="s">
        <v>76</v>
      </c>
      <c r="D25" s="2"/>
      <c r="E25" s="2" t="s">
        <v>293</v>
      </c>
      <c r="F25" s="8">
        <v>45866</v>
      </c>
      <c r="G25" s="2" t="s">
        <v>294</v>
      </c>
      <c r="H25" s="2" t="s">
        <v>122</v>
      </c>
      <c r="I25" s="2" t="s">
        <v>66</v>
      </c>
      <c r="J25" s="2" t="s">
        <v>34</v>
      </c>
      <c r="K25" s="10" t="s">
        <v>42</v>
      </c>
      <c r="L25" s="2" t="s">
        <v>295</v>
      </c>
      <c r="M25" s="10" t="s">
        <v>276</v>
      </c>
      <c r="N25" s="10" t="s">
        <v>277</v>
      </c>
      <c r="O25" s="2" t="s">
        <v>56</v>
      </c>
      <c r="P25" s="2" t="s">
        <v>71</v>
      </c>
      <c r="Q25" s="2" t="s">
        <v>41</v>
      </c>
      <c r="R25" s="2" t="s">
        <v>42</v>
      </c>
      <c r="S25" s="10" t="s">
        <v>42</v>
      </c>
      <c r="T25" s="2" t="s">
        <v>296</v>
      </c>
      <c r="U25" s="2" t="s">
        <v>297</v>
      </c>
      <c r="V25" s="2" t="s">
        <v>44</v>
      </c>
      <c r="W25" s="2" t="s">
        <v>44</v>
      </c>
      <c r="X25" s="2" t="s">
        <v>44</v>
      </c>
      <c r="Y25" s="2" t="s">
        <v>44</v>
      </c>
      <c r="Z25" s="2" t="s">
        <v>44</v>
      </c>
      <c r="AA25" s="2" t="s">
        <v>298</v>
      </c>
      <c r="AB25" s="2" t="s">
        <v>45</v>
      </c>
      <c r="AC25" s="5" t="s">
        <v>299</v>
      </c>
    </row>
    <row r="26" spans="1:29" ht="114" hidden="1" customHeight="1">
      <c r="A26" s="7">
        <v>45870.359895833302</v>
      </c>
      <c r="B26" s="7">
        <v>45870.365289351903</v>
      </c>
      <c r="C26" s="2" t="s">
        <v>76</v>
      </c>
      <c r="D26" s="2"/>
      <c r="E26" s="2" t="s">
        <v>239</v>
      </c>
      <c r="F26" s="8">
        <v>45870</v>
      </c>
      <c r="G26" s="2" t="s">
        <v>300</v>
      </c>
      <c r="H26" s="2" t="s">
        <v>301</v>
      </c>
      <c r="I26" s="2" t="s">
        <v>67</v>
      </c>
      <c r="J26" s="2" t="s">
        <v>134</v>
      </c>
      <c r="K26" s="10" t="s">
        <v>67</v>
      </c>
      <c r="L26" s="2" t="s">
        <v>302</v>
      </c>
      <c r="M26" s="10" t="s">
        <v>303</v>
      </c>
      <c r="N26" s="10" t="s">
        <v>304</v>
      </c>
      <c r="O26" s="2" t="s">
        <v>56</v>
      </c>
      <c r="P26" s="2" t="s">
        <v>40</v>
      </c>
      <c r="Q26" s="2" t="s">
        <v>58</v>
      </c>
      <c r="R26" s="2" t="s">
        <v>42</v>
      </c>
      <c r="S26" s="10" t="s">
        <v>67</v>
      </c>
      <c r="T26" s="2" t="s">
        <v>67</v>
      </c>
      <c r="U26" s="2" t="s">
        <v>305</v>
      </c>
      <c r="V26" s="2" t="s">
        <v>44</v>
      </c>
      <c r="W26" s="2" t="s">
        <v>44</v>
      </c>
      <c r="X26" s="2" t="s">
        <v>45</v>
      </c>
      <c r="Y26" s="2" t="s">
        <v>44</v>
      </c>
      <c r="Z26" s="2" t="s">
        <v>45</v>
      </c>
      <c r="AA26" s="2" t="s">
        <v>306</v>
      </c>
      <c r="AB26" s="2" t="s">
        <v>44</v>
      </c>
      <c r="AC26" s="5"/>
    </row>
    <row r="27" spans="1:29" ht="114" hidden="1" customHeight="1">
      <c r="A27" s="7">
        <v>45870.636608796303</v>
      </c>
      <c r="B27" s="7">
        <v>45870.640451388899</v>
      </c>
      <c r="C27" s="2" t="s">
        <v>76</v>
      </c>
      <c r="D27" s="2"/>
      <c r="E27" s="2" t="s">
        <v>143</v>
      </c>
      <c r="F27" s="8">
        <v>45870</v>
      </c>
      <c r="G27" s="2" t="s">
        <v>307</v>
      </c>
      <c r="H27" s="2" t="s">
        <v>308</v>
      </c>
      <c r="I27" s="2" t="s">
        <v>309</v>
      </c>
      <c r="J27" s="2" t="s">
        <v>34</v>
      </c>
      <c r="K27" s="10" t="s">
        <v>52</v>
      </c>
      <c r="L27" s="2" t="s">
        <v>310</v>
      </c>
      <c r="M27" s="10" t="s">
        <v>311</v>
      </c>
      <c r="N27" s="10" t="s">
        <v>312</v>
      </c>
      <c r="O27" s="2" t="s">
        <v>150</v>
      </c>
      <c r="P27" s="2" t="s">
        <v>57</v>
      </c>
      <c r="Q27" s="2" t="s">
        <v>72</v>
      </c>
      <c r="R27" s="2" t="s">
        <v>127</v>
      </c>
      <c r="S27" s="10" t="s">
        <v>313</v>
      </c>
      <c r="T27" s="2" t="s">
        <v>44</v>
      </c>
      <c r="U27" s="2" t="s">
        <v>314</v>
      </c>
      <c r="V27" s="2" t="s">
        <v>44</v>
      </c>
      <c r="W27" s="2" t="s">
        <v>45</v>
      </c>
      <c r="X27" s="2" t="s">
        <v>44</v>
      </c>
      <c r="Y27" s="2" t="s">
        <v>44</v>
      </c>
      <c r="Z27" s="2" t="s">
        <v>45</v>
      </c>
      <c r="AA27" s="2" t="s">
        <v>315</v>
      </c>
      <c r="AB27" s="2" t="s">
        <v>44</v>
      </c>
      <c r="AC27" s="5"/>
    </row>
    <row r="28" spans="1:29" ht="114" hidden="1" customHeight="1">
      <c r="A28" s="7">
        <v>45873.426516203697</v>
      </c>
      <c r="B28" s="7">
        <v>45873.432939814797</v>
      </c>
      <c r="C28" s="2" t="s">
        <v>76</v>
      </c>
      <c r="D28" s="2"/>
      <c r="E28" s="2" t="s">
        <v>316</v>
      </c>
      <c r="F28" s="8">
        <v>45865</v>
      </c>
      <c r="G28" s="2" t="s">
        <v>317</v>
      </c>
      <c r="H28" s="2" t="s">
        <v>67</v>
      </c>
      <c r="I28" s="2" t="s">
        <v>67</v>
      </c>
      <c r="J28" s="2" t="s">
        <v>134</v>
      </c>
      <c r="K28" s="10" t="s">
        <v>67</v>
      </c>
      <c r="L28" s="2" t="s">
        <v>318</v>
      </c>
      <c r="M28" s="10" t="s">
        <v>319</v>
      </c>
      <c r="N28" s="10" t="s">
        <v>320</v>
      </c>
      <c r="O28" s="2" t="s">
        <v>150</v>
      </c>
      <c r="P28" s="2" t="s">
        <v>57</v>
      </c>
      <c r="Q28" s="2" t="s">
        <v>72</v>
      </c>
      <c r="R28" s="2" t="s">
        <v>127</v>
      </c>
      <c r="S28" s="10" t="s">
        <v>67</v>
      </c>
      <c r="T28" s="2" t="s">
        <v>67</v>
      </c>
      <c r="U28" s="2" t="s">
        <v>321</v>
      </c>
      <c r="V28" s="2" t="s">
        <v>44</v>
      </c>
      <c r="W28" s="2" t="s">
        <v>44</v>
      </c>
      <c r="X28" s="2" t="s">
        <v>44</v>
      </c>
      <c r="Y28" s="2" t="s">
        <v>44</v>
      </c>
      <c r="Z28" s="2" t="s">
        <v>44</v>
      </c>
      <c r="AA28" s="2" t="s">
        <v>322</v>
      </c>
      <c r="AB28" s="2" t="s">
        <v>44</v>
      </c>
      <c r="AC28" s="5"/>
    </row>
    <row r="29" spans="1:29" ht="114" hidden="1" customHeight="1">
      <c r="A29" s="7">
        <v>45873.664236111101</v>
      </c>
      <c r="B29" s="7">
        <v>45873.696319444403</v>
      </c>
      <c r="C29" s="2" t="s">
        <v>76</v>
      </c>
      <c r="D29" s="2"/>
      <c r="E29" s="2" t="s">
        <v>323</v>
      </c>
      <c r="F29" s="8">
        <v>45873</v>
      </c>
      <c r="G29" s="2" t="s">
        <v>324</v>
      </c>
      <c r="H29" s="2" t="s">
        <v>325</v>
      </c>
      <c r="I29" s="2" t="s">
        <v>326</v>
      </c>
      <c r="J29" s="2" t="s">
        <v>34</v>
      </c>
      <c r="K29" s="10" t="s">
        <v>327</v>
      </c>
      <c r="L29" s="2" t="s">
        <v>328</v>
      </c>
      <c r="M29" s="10" t="s">
        <v>329</v>
      </c>
      <c r="N29" s="10" t="s">
        <v>330</v>
      </c>
      <c r="O29" s="2" t="s">
        <v>56</v>
      </c>
      <c r="P29" s="2" t="s">
        <v>71</v>
      </c>
      <c r="Q29" s="2" t="s">
        <v>41</v>
      </c>
      <c r="R29" s="2" t="s">
        <v>42</v>
      </c>
      <c r="S29" s="10" t="s">
        <v>331</v>
      </c>
      <c r="T29" s="10" t="s">
        <v>332</v>
      </c>
      <c r="U29" s="2" t="s">
        <v>333</v>
      </c>
      <c r="V29" s="2" t="s">
        <v>44</v>
      </c>
      <c r="W29" s="2" t="s">
        <v>45</v>
      </c>
      <c r="X29" s="2" t="s">
        <v>44</v>
      </c>
      <c r="Y29" s="2" t="s">
        <v>44</v>
      </c>
      <c r="Z29" s="2" t="s">
        <v>45</v>
      </c>
      <c r="AA29" s="2" t="s">
        <v>334</v>
      </c>
      <c r="AB29" s="2" t="s">
        <v>44</v>
      </c>
      <c r="AC29" s="5"/>
    </row>
    <row r="30" spans="1:29" ht="114" hidden="1" customHeight="1">
      <c r="A30" s="7">
        <v>45882.370162036997</v>
      </c>
      <c r="B30" s="7">
        <v>45882.578657407401</v>
      </c>
      <c r="C30" s="2" t="s">
        <v>76</v>
      </c>
      <c r="D30" s="2"/>
      <c r="E30" s="2" t="s">
        <v>271</v>
      </c>
      <c r="F30" s="8">
        <v>45882</v>
      </c>
      <c r="G30" s="2" t="s">
        <v>335</v>
      </c>
      <c r="H30" s="2" t="s">
        <v>336</v>
      </c>
      <c r="I30" s="2" t="s">
        <v>113</v>
      </c>
      <c r="J30" s="2" t="s">
        <v>34</v>
      </c>
      <c r="K30" s="10" t="s">
        <v>113</v>
      </c>
      <c r="L30" s="2" t="s">
        <v>337</v>
      </c>
      <c r="M30" s="10" t="s">
        <v>338</v>
      </c>
      <c r="N30" s="10" t="s">
        <v>339</v>
      </c>
      <c r="O30" s="2" t="s">
        <v>56</v>
      </c>
      <c r="P30" s="2" t="s">
        <v>71</v>
      </c>
      <c r="Q30" s="2" t="s">
        <v>58</v>
      </c>
      <c r="R30" s="2" t="s">
        <v>42</v>
      </c>
      <c r="S30" s="10" t="s">
        <v>42</v>
      </c>
      <c r="T30" s="10" t="s">
        <v>340</v>
      </c>
      <c r="U30" s="2" t="s">
        <v>341</v>
      </c>
      <c r="V30" s="2" t="s">
        <v>45</v>
      </c>
      <c r="W30" s="2" t="s">
        <v>45</v>
      </c>
      <c r="X30" s="2" t="s">
        <v>45</v>
      </c>
      <c r="Y30" s="2" t="s">
        <v>44</v>
      </c>
      <c r="Z30" s="2" t="s">
        <v>45</v>
      </c>
      <c r="AA30" s="2" t="s">
        <v>342</v>
      </c>
      <c r="AB30" s="2" t="s">
        <v>45</v>
      </c>
      <c r="AC30" s="5" t="s">
        <v>343</v>
      </c>
    </row>
    <row r="31" spans="1:29" ht="114" hidden="1" customHeight="1">
      <c r="A31" s="7">
        <v>45885.418599536999</v>
      </c>
      <c r="B31" s="7">
        <v>45885.431678240697</v>
      </c>
      <c r="C31" s="2" t="s">
        <v>76</v>
      </c>
      <c r="D31" s="2"/>
      <c r="E31" s="2" t="s">
        <v>293</v>
      </c>
      <c r="F31" s="8">
        <v>45884</v>
      </c>
      <c r="G31" s="2" t="s">
        <v>344</v>
      </c>
      <c r="H31" s="2" t="s">
        <v>345</v>
      </c>
      <c r="I31" s="2" t="s">
        <v>346</v>
      </c>
      <c r="J31" s="2" t="s">
        <v>34</v>
      </c>
      <c r="K31" s="10" t="s">
        <v>346</v>
      </c>
      <c r="L31" s="2" t="s">
        <v>347</v>
      </c>
      <c r="M31" s="10" t="s">
        <v>348</v>
      </c>
      <c r="N31" s="10" t="s">
        <v>349</v>
      </c>
      <c r="O31" s="2" t="s">
        <v>56</v>
      </c>
      <c r="P31" s="2" t="s">
        <v>40</v>
      </c>
      <c r="Q31" s="2" t="s">
        <v>41</v>
      </c>
      <c r="R31" s="2" t="s">
        <v>42</v>
      </c>
      <c r="S31" s="10" t="s">
        <v>42</v>
      </c>
      <c r="T31" s="10" t="s">
        <v>42</v>
      </c>
      <c r="U31" s="2" t="s">
        <v>350</v>
      </c>
      <c r="V31" s="2" t="s">
        <v>44</v>
      </c>
      <c r="W31" s="2" t="s">
        <v>45</v>
      </c>
      <c r="X31" s="2" t="s">
        <v>45</v>
      </c>
      <c r="Y31" s="2" t="s">
        <v>44</v>
      </c>
      <c r="Z31" s="2" t="s">
        <v>44</v>
      </c>
      <c r="AA31" s="2" t="s">
        <v>351</v>
      </c>
      <c r="AB31" s="2" t="s">
        <v>45</v>
      </c>
      <c r="AC31" s="5" t="s">
        <v>352</v>
      </c>
    </row>
    <row r="32" spans="1:29" ht="114" hidden="1" customHeight="1">
      <c r="A32" s="7">
        <v>45889.361423611103</v>
      </c>
      <c r="B32" s="7">
        <v>45889.556840277801</v>
      </c>
      <c r="C32" s="2" t="s">
        <v>76</v>
      </c>
      <c r="D32" s="2"/>
      <c r="E32" s="2" t="s">
        <v>353</v>
      </c>
      <c r="F32" s="8">
        <v>45888</v>
      </c>
      <c r="G32" s="2" t="s">
        <v>354</v>
      </c>
      <c r="H32" s="2" t="s">
        <v>355</v>
      </c>
      <c r="I32" s="2" t="s">
        <v>157</v>
      </c>
      <c r="J32" s="2" t="s">
        <v>34</v>
      </c>
      <c r="K32" s="10" t="s">
        <v>157</v>
      </c>
      <c r="L32" s="2" t="s">
        <v>356</v>
      </c>
      <c r="M32" s="10" t="s">
        <v>357</v>
      </c>
      <c r="N32" s="10" t="s">
        <v>358</v>
      </c>
      <c r="O32" s="2" t="s">
        <v>56</v>
      </c>
      <c r="P32" s="2" t="s">
        <v>71</v>
      </c>
      <c r="Q32" s="2" t="s">
        <v>41</v>
      </c>
      <c r="R32" s="2" t="s">
        <v>42</v>
      </c>
      <c r="S32" s="10" t="s">
        <v>42</v>
      </c>
      <c r="T32" s="10" t="s">
        <v>42</v>
      </c>
      <c r="U32" s="2" t="s">
        <v>359</v>
      </c>
      <c r="V32" s="2" t="s">
        <v>44</v>
      </c>
      <c r="W32" s="2" t="s">
        <v>44</v>
      </c>
      <c r="X32" s="2" t="s">
        <v>45</v>
      </c>
      <c r="Y32" s="2" t="s">
        <v>44</v>
      </c>
      <c r="Z32" s="2" t="s">
        <v>45</v>
      </c>
      <c r="AA32" s="2" t="s">
        <v>360</v>
      </c>
      <c r="AB32" s="2" t="s">
        <v>45</v>
      </c>
      <c r="AC32" s="5" t="s">
        <v>361</v>
      </c>
    </row>
    <row r="33" spans="1:29" ht="114" hidden="1" customHeight="1">
      <c r="A33" s="7">
        <v>45894.3590625</v>
      </c>
      <c r="B33" s="7">
        <v>45894.671435185199</v>
      </c>
      <c r="C33" s="2" t="s">
        <v>76</v>
      </c>
      <c r="D33" s="2"/>
      <c r="E33" s="2" t="s">
        <v>293</v>
      </c>
      <c r="F33" s="8">
        <v>45892</v>
      </c>
      <c r="G33" s="2" t="s">
        <v>362</v>
      </c>
      <c r="H33" s="2" t="s">
        <v>284</v>
      </c>
      <c r="I33" s="2" t="s">
        <v>363</v>
      </c>
      <c r="J33" s="2" t="s">
        <v>34</v>
      </c>
      <c r="K33" s="10" t="s">
        <v>363</v>
      </c>
      <c r="L33" s="2" t="s">
        <v>364</v>
      </c>
      <c r="M33" s="10" t="s">
        <v>365</v>
      </c>
      <c r="N33" s="10" t="s">
        <v>366</v>
      </c>
      <c r="O33" s="2" t="s">
        <v>56</v>
      </c>
      <c r="P33" s="2" t="s">
        <v>71</v>
      </c>
      <c r="Q33" s="2" t="s">
        <v>41</v>
      </c>
      <c r="R33" s="2" t="s">
        <v>42</v>
      </c>
      <c r="S33" s="10" t="s">
        <v>42</v>
      </c>
      <c r="T33" s="10" t="s">
        <v>42</v>
      </c>
      <c r="U33" s="2" t="s">
        <v>367</v>
      </c>
      <c r="V33" s="2" t="s">
        <v>44</v>
      </c>
      <c r="W33" s="2" t="s">
        <v>45</v>
      </c>
      <c r="X33" s="2" t="s">
        <v>45</v>
      </c>
      <c r="Y33" s="2" t="s">
        <v>44</v>
      </c>
      <c r="Z33" s="2" t="s">
        <v>44</v>
      </c>
      <c r="AA33" s="2" t="s">
        <v>368</v>
      </c>
      <c r="AB33" s="2" t="s">
        <v>45</v>
      </c>
      <c r="AC33" s="5" t="s">
        <v>369</v>
      </c>
    </row>
    <row r="34" spans="1:29" ht="114" hidden="1" customHeight="1">
      <c r="A34" s="7">
        <v>45910.346759259301</v>
      </c>
      <c r="B34" s="7">
        <v>45910.3822685185</v>
      </c>
      <c r="C34" s="2" t="s">
        <v>76</v>
      </c>
      <c r="D34" s="2"/>
      <c r="E34" s="2" t="s">
        <v>63</v>
      </c>
      <c r="F34" s="8">
        <v>45910</v>
      </c>
      <c r="G34" s="2" t="s">
        <v>370</v>
      </c>
      <c r="H34" s="2" t="s">
        <v>371</v>
      </c>
      <c r="I34" s="2" t="s">
        <v>66</v>
      </c>
      <c r="J34" s="2" t="s">
        <v>34</v>
      </c>
      <c r="K34" s="10" t="s">
        <v>42</v>
      </c>
      <c r="L34" s="2" t="s">
        <v>372</v>
      </c>
      <c r="M34" s="10" t="s">
        <v>373</v>
      </c>
      <c r="N34" s="10" t="s">
        <v>374</v>
      </c>
      <c r="O34" s="2" t="s">
        <v>56</v>
      </c>
      <c r="P34" s="2" t="s">
        <v>71</v>
      </c>
      <c r="Q34" s="2" t="s">
        <v>72</v>
      </c>
      <c r="R34" s="2" t="s">
        <v>42</v>
      </c>
      <c r="S34" s="10" t="s">
        <v>375</v>
      </c>
      <c r="T34" s="10" t="s">
        <v>376</v>
      </c>
      <c r="U34" s="2" t="s">
        <v>377</v>
      </c>
      <c r="V34" s="2" t="s">
        <v>44</v>
      </c>
      <c r="W34" s="2" t="s">
        <v>44</v>
      </c>
      <c r="X34" s="2" t="s">
        <v>44</v>
      </c>
      <c r="Y34" s="2" t="s">
        <v>44</v>
      </c>
      <c r="Z34" s="2" t="s">
        <v>45</v>
      </c>
      <c r="AA34" s="2" t="s">
        <v>378</v>
      </c>
      <c r="AB34" s="2" t="s">
        <v>45</v>
      </c>
      <c r="AC34" s="5" t="s">
        <v>379</v>
      </c>
    </row>
    <row r="35" spans="1:29" ht="114" hidden="1" customHeight="1">
      <c r="A35" s="7">
        <v>45910.448564814797</v>
      </c>
      <c r="B35" s="7">
        <v>45910.4629166667</v>
      </c>
      <c r="C35" s="2" t="s">
        <v>76</v>
      </c>
      <c r="D35" s="2"/>
      <c r="E35" s="2" t="s">
        <v>228</v>
      </c>
      <c r="F35" s="8">
        <v>45909</v>
      </c>
      <c r="G35" s="2" t="s">
        <v>380</v>
      </c>
      <c r="H35" s="2" t="s">
        <v>381</v>
      </c>
      <c r="I35" s="2" t="s">
        <v>51</v>
      </c>
      <c r="J35" s="2" t="s">
        <v>34</v>
      </c>
      <c r="K35" s="10" t="s">
        <v>382</v>
      </c>
      <c r="L35" s="2" t="s">
        <v>383</v>
      </c>
      <c r="M35" s="10" t="s">
        <v>384</v>
      </c>
      <c r="N35" s="10" t="s">
        <v>385</v>
      </c>
      <c r="O35" s="2" t="s">
        <v>56</v>
      </c>
      <c r="P35" s="2" t="s">
        <v>71</v>
      </c>
      <c r="Q35" s="2" t="s">
        <v>41</v>
      </c>
      <c r="R35" s="2" t="s">
        <v>42</v>
      </c>
      <c r="S35" s="10" t="s">
        <v>42</v>
      </c>
      <c r="T35" s="10" t="s">
        <v>42</v>
      </c>
      <c r="U35" s="2" t="s">
        <v>386</v>
      </c>
      <c r="V35" s="2" t="s">
        <v>45</v>
      </c>
      <c r="W35" s="2" t="s">
        <v>45</v>
      </c>
      <c r="X35" s="2" t="s">
        <v>45</v>
      </c>
      <c r="Y35" s="2" t="s">
        <v>44</v>
      </c>
      <c r="Z35" s="2" t="s">
        <v>45</v>
      </c>
      <c r="AA35" s="2" t="s">
        <v>387</v>
      </c>
      <c r="AB35" s="2" t="s">
        <v>45</v>
      </c>
      <c r="AC35" s="5" t="s">
        <v>388</v>
      </c>
    </row>
    <row r="36" spans="1:29" ht="114" hidden="1" customHeight="1">
      <c r="A36" s="7">
        <v>45916.3172569444</v>
      </c>
      <c r="B36" s="7">
        <v>45916.395023148099</v>
      </c>
      <c r="C36" s="2" t="s">
        <v>76</v>
      </c>
      <c r="D36" s="2"/>
      <c r="E36" s="2" t="s">
        <v>293</v>
      </c>
      <c r="F36" s="8">
        <v>45911</v>
      </c>
      <c r="G36" s="2" t="s">
        <v>389</v>
      </c>
      <c r="H36" s="2" t="s">
        <v>390</v>
      </c>
      <c r="I36" s="2" t="s">
        <v>157</v>
      </c>
      <c r="J36" s="2" t="s">
        <v>34</v>
      </c>
      <c r="K36" s="10" t="s">
        <v>42</v>
      </c>
      <c r="L36" s="2" t="s">
        <v>391</v>
      </c>
      <c r="M36" s="10" t="s">
        <v>392</v>
      </c>
      <c r="N36" s="10" t="s">
        <v>393</v>
      </c>
      <c r="O36" s="2" t="s">
        <v>56</v>
      </c>
      <c r="P36" s="2" t="s">
        <v>71</v>
      </c>
      <c r="Q36" s="2" t="s">
        <v>41</v>
      </c>
      <c r="R36" s="2" t="s">
        <v>42</v>
      </c>
      <c r="S36" s="10" t="s">
        <v>394</v>
      </c>
      <c r="T36" s="10" t="s">
        <v>395</v>
      </c>
      <c r="U36" s="2" t="s">
        <v>396</v>
      </c>
      <c r="V36" s="2" t="s">
        <v>44</v>
      </c>
      <c r="W36" s="2" t="s">
        <v>45</v>
      </c>
      <c r="X36" s="2" t="s">
        <v>45</v>
      </c>
      <c r="Y36" s="2" t="s">
        <v>44</v>
      </c>
      <c r="Z36" s="2" t="s">
        <v>44</v>
      </c>
      <c r="AA36" s="2" t="s">
        <v>397</v>
      </c>
      <c r="AB36" s="2" t="s">
        <v>45</v>
      </c>
      <c r="AC36" s="5" t="s">
        <v>398</v>
      </c>
    </row>
    <row r="37" spans="1:29" ht="114" hidden="1" customHeight="1">
      <c r="A37" s="7">
        <v>45918.4613888889</v>
      </c>
      <c r="B37" s="7">
        <v>45918.470879629604</v>
      </c>
      <c r="C37" s="2" t="s">
        <v>76</v>
      </c>
      <c r="D37" s="2"/>
      <c r="E37" s="2" t="s">
        <v>399</v>
      </c>
      <c r="F37" s="8">
        <v>45918</v>
      </c>
      <c r="G37" s="2" t="s">
        <v>400</v>
      </c>
      <c r="H37" s="2" t="s">
        <v>401</v>
      </c>
      <c r="I37" s="2" t="s">
        <v>168</v>
      </c>
      <c r="J37" s="2" t="s">
        <v>34</v>
      </c>
      <c r="K37" s="10" t="s">
        <v>402</v>
      </c>
      <c r="L37" s="2" t="s">
        <v>403</v>
      </c>
      <c r="M37" s="10" t="s">
        <v>404</v>
      </c>
      <c r="N37" s="10" t="s">
        <v>405</v>
      </c>
      <c r="O37" s="2" t="s">
        <v>39</v>
      </c>
      <c r="P37" s="2" t="s">
        <v>40</v>
      </c>
      <c r="Q37" s="2" t="s">
        <v>58</v>
      </c>
      <c r="R37" s="2" t="s">
        <v>42</v>
      </c>
      <c r="S37" s="10" t="s">
        <v>406</v>
      </c>
      <c r="T37" s="10" t="s">
        <v>406</v>
      </c>
      <c r="U37" s="2" t="s">
        <v>407</v>
      </c>
      <c r="V37" s="2" t="s">
        <v>44</v>
      </c>
      <c r="W37" s="2" t="s">
        <v>45</v>
      </c>
      <c r="X37" s="2" t="s">
        <v>44</v>
      </c>
      <c r="Y37" s="2" t="s">
        <v>44</v>
      </c>
      <c r="Z37" s="2" t="s">
        <v>45</v>
      </c>
      <c r="AA37" s="2" t="s">
        <v>408</v>
      </c>
      <c r="AB37" s="2" t="s">
        <v>45</v>
      </c>
      <c r="AC37" s="6" t="s">
        <v>409</v>
      </c>
    </row>
    <row r="38" spans="1:29" ht="114" hidden="1" customHeight="1">
      <c r="A38" s="7">
        <v>45918.567407407398</v>
      </c>
      <c r="B38" s="7">
        <v>45918.680254629602</v>
      </c>
      <c r="C38" s="2" t="s">
        <v>76</v>
      </c>
      <c r="D38" s="2"/>
      <c r="E38" s="2" t="s">
        <v>228</v>
      </c>
      <c r="F38" s="8">
        <v>45918</v>
      </c>
      <c r="G38" s="2" t="s">
        <v>410</v>
      </c>
      <c r="H38" s="2" t="s">
        <v>411</v>
      </c>
      <c r="I38" s="2" t="s">
        <v>51</v>
      </c>
      <c r="J38" s="2" t="s">
        <v>34</v>
      </c>
      <c r="K38" s="10" t="s">
        <v>412</v>
      </c>
      <c r="L38" s="2" t="s">
        <v>413</v>
      </c>
      <c r="M38" s="10" t="s">
        <v>414</v>
      </c>
      <c r="N38" s="10" t="s">
        <v>415</v>
      </c>
      <c r="O38" s="2" t="s">
        <v>56</v>
      </c>
      <c r="P38" s="2" t="s">
        <v>71</v>
      </c>
      <c r="Q38" s="2" t="s">
        <v>72</v>
      </c>
      <c r="R38" s="2" t="s">
        <v>42</v>
      </c>
      <c r="S38" s="10" t="s">
        <v>42</v>
      </c>
      <c r="T38" s="10" t="s">
        <v>42</v>
      </c>
      <c r="U38" s="2" t="s">
        <v>416</v>
      </c>
      <c r="V38" s="2" t="s">
        <v>45</v>
      </c>
      <c r="W38" s="2" t="s">
        <v>45</v>
      </c>
      <c r="X38" s="2" t="s">
        <v>45</v>
      </c>
      <c r="Y38" s="2" t="s">
        <v>44</v>
      </c>
      <c r="Z38" s="2" t="s">
        <v>45</v>
      </c>
      <c r="AA38" s="2" t="s">
        <v>417</v>
      </c>
      <c r="AB38" s="2" t="s">
        <v>45</v>
      </c>
      <c r="AC38" s="5" t="s">
        <v>418</v>
      </c>
    </row>
    <row r="39" spans="1:29" ht="114" hidden="1" customHeight="1">
      <c r="A39" s="7">
        <v>45918.680289351803</v>
      </c>
      <c r="B39" s="7">
        <v>45918.695972222202</v>
      </c>
      <c r="C39" s="2" t="s">
        <v>76</v>
      </c>
      <c r="D39" s="2"/>
      <c r="E39" s="2" t="s">
        <v>228</v>
      </c>
      <c r="F39" s="8">
        <v>45918</v>
      </c>
      <c r="G39" s="2" t="s">
        <v>419</v>
      </c>
      <c r="H39" s="2" t="s">
        <v>420</v>
      </c>
      <c r="I39" s="2" t="s">
        <v>51</v>
      </c>
      <c r="J39" s="2" t="s">
        <v>34</v>
      </c>
      <c r="K39" s="10" t="s">
        <v>421</v>
      </c>
      <c r="L39" s="2" t="s">
        <v>422</v>
      </c>
      <c r="M39" s="10" t="s">
        <v>423</v>
      </c>
      <c r="N39" s="10" t="s">
        <v>424</v>
      </c>
      <c r="O39" s="2" t="s">
        <v>56</v>
      </c>
      <c r="P39" s="2" t="s">
        <v>71</v>
      </c>
      <c r="Q39" s="2" t="s">
        <v>72</v>
      </c>
      <c r="R39" s="2" t="s">
        <v>42</v>
      </c>
      <c r="S39" s="10" t="s">
        <v>42</v>
      </c>
      <c r="T39" s="10" t="s">
        <v>42</v>
      </c>
      <c r="U39" s="2" t="s">
        <v>425</v>
      </c>
      <c r="V39" s="2" t="s">
        <v>45</v>
      </c>
      <c r="W39" s="2" t="s">
        <v>45</v>
      </c>
      <c r="X39" s="2" t="s">
        <v>45</v>
      </c>
      <c r="Y39" s="2" t="s">
        <v>44</v>
      </c>
      <c r="Z39" s="2" t="s">
        <v>45</v>
      </c>
      <c r="AA39" s="2" t="s">
        <v>426</v>
      </c>
      <c r="AB39" s="2" t="s">
        <v>45</v>
      </c>
      <c r="AC39" s="5" t="s">
        <v>427</v>
      </c>
    </row>
    <row r="40" spans="1:29" ht="114" hidden="1" customHeight="1">
      <c r="A40" s="7">
        <v>45923.341481481497</v>
      </c>
      <c r="B40" s="7">
        <v>45923.4715393519</v>
      </c>
      <c r="C40" s="2" t="s">
        <v>76</v>
      </c>
      <c r="D40" s="2"/>
      <c r="E40" s="2" t="s">
        <v>293</v>
      </c>
      <c r="F40" s="8">
        <v>45922</v>
      </c>
      <c r="G40" s="2" t="s">
        <v>428</v>
      </c>
      <c r="H40" s="2" t="s">
        <v>429</v>
      </c>
      <c r="I40" s="2" t="s">
        <v>430</v>
      </c>
      <c r="J40" s="2" t="s">
        <v>134</v>
      </c>
      <c r="K40" s="10" t="s">
        <v>42</v>
      </c>
      <c r="L40" s="2" t="s">
        <v>275</v>
      </c>
      <c r="M40" s="10" t="s">
        <v>276</v>
      </c>
      <c r="N40" s="10" t="s">
        <v>277</v>
      </c>
      <c r="O40" s="2" t="s">
        <v>139</v>
      </c>
      <c r="P40" s="2" t="s">
        <v>71</v>
      </c>
      <c r="Q40" s="2" t="s">
        <v>41</v>
      </c>
      <c r="R40" s="2" t="s">
        <v>42</v>
      </c>
      <c r="S40" s="10" t="s">
        <v>42</v>
      </c>
      <c r="T40" s="10" t="s">
        <v>431</v>
      </c>
      <c r="U40" s="2" t="s">
        <v>432</v>
      </c>
      <c r="V40" s="2" t="s">
        <v>44</v>
      </c>
      <c r="W40" s="2" t="s">
        <v>44</v>
      </c>
      <c r="X40" s="2" t="s">
        <v>45</v>
      </c>
      <c r="Y40" s="2" t="s">
        <v>44</v>
      </c>
      <c r="Z40" s="2" t="s">
        <v>44</v>
      </c>
      <c r="AA40" s="2" t="s">
        <v>433</v>
      </c>
      <c r="AB40" s="2" t="s">
        <v>45</v>
      </c>
      <c r="AC40" s="5" t="s">
        <v>434</v>
      </c>
    </row>
    <row r="41" spans="1:29" ht="114" hidden="1" customHeight="1">
      <c r="A41" s="7">
        <v>45926.564004629603</v>
      </c>
      <c r="B41" s="7">
        <v>45926.5716203704</v>
      </c>
      <c r="C41" s="2" t="s">
        <v>76</v>
      </c>
      <c r="D41" s="2"/>
      <c r="E41" s="2" t="s">
        <v>228</v>
      </c>
      <c r="F41" s="8">
        <v>45922</v>
      </c>
      <c r="G41" s="2" t="s">
        <v>435</v>
      </c>
      <c r="H41" s="2" t="s">
        <v>436</v>
      </c>
      <c r="I41" s="2" t="s">
        <v>51</v>
      </c>
      <c r="J41" s="2" t="s">
        <v>34</v>
      </c>
      <c r="K41" s="10" t="s">
        <v>437</v>
      </c>
      <c r="L41" s="2" t="s">
        <v>438</v>
      </c>
      <c r="M41" s="10" t="s">
        <v>439</v>
      </c>
      <c r="N41" s="10" t="s">
        <v>440</v>
      </c>
      <c r="O41" s="2" t="s">
        <v>56</v>
      </c>
      <c r="P41" s="2" t="s">
        <v>40</v>
      </c>
      <c r="Q41" s="2" t="s">
        <v>58</v>
      </c>
      <c r="R41" s="2" t="s">
        <v>42</v>
      </c>
      <c r="S41" s="10" t="s">
        <v>42</v>
      </c>
      <c r="T41" s="10" t="s">
        <v>42</v>
      </c>
      <c r="U41" s="2" t="s">
        <v>441</v>
      </c>
      <c r="V41" s="2" t="s">
        <v>44</v>
      </c>
      <c r="W41" s="2" t="s">
        <v>44</v>
      </c>
      <c r="X41" s="2" t="s">
        <v>44</v>
      </c>
      <c r="Y41" s="2" t="s">
        <v>44</v>
      </c>
      <c r="Z41" s="2" t="s">
        <v>44</v>
      </c>
      <c r="AA41" s="2" t="s">
        <v>442</v>
      </c>
      <c r="AB41" s="2" t="s">
        <v>45</v>
      </c>
      <c r="AC41" s="5" t="s">
        <v>443</v>
      </c>
    </row>
    <row r="42" spans="1:29" ht="114" hidden="1" customHeight="1">
      <c r="A42" s="7">
        <v>45932.401851851901</v>
      </c>
      <c r="B42" s="7">
        <v>45932.4476967593</v>
      </c>
      <c r="C42" s="2" t="s">
        <v>76</v>
      </c>
      <c r="D42" s="2"/>
      <c r="E42" s="2" t="s">
        <v>228</v>
      </c>
      <c r="F42" s="8">
        <v>45931</v>
      </c>
      <c r="G42" s="2" t="s">
        <v>444</v>
      </c>
      <c r="H42" s="2" t="s">
        <v>445</v>
      </c>
      <c r="I42" s="2" t="s">
        <v>51</v>
      </c>
      <c r="J42" s="2" t="s">
        <v>34</v>
      </c>
      <c r="K42" s="10" t="s">
        <v>446</v>
      </c>
      <c r="L42" s="2" t="s">
        <v>447</v>
      </c>
      <c r="M42" s="10" t="s">
        <v>448</v>
      </c>
      <c r="N42" s="10" t="s">
        <v>449</v>
      </c>
      <c r="O42" s="2" t="s">
        <v>56</v>
      </c>
      <c r="P42" s="2" t="s">
        <v>71</v>
      </c>
      <c r="Q42" s="2" t="s">
        <v>41</v>
      </c>
      <c r="R42" s="2" t="s">
        <v>42</v>
      </c>
      <c r="S42" s="10" t="s">
        <v>42</v>
      </c>
      <c r="T42" s="10" t="s">
        <v>42</v>
      </c>
      <c r="U42" s="2" t="s">
        <v>450</v>
      </c>
      <c r="V42" s="2" t="s">
        <v>45</v>
      </c>
      <c r="W42" s="2" t="s">
        <v>45</v>
      </c>
      <c r="X42" s="2" t="s">
        <v>45</v>
      </c>
      <c r="Y42" s="2" t="s">
        <v>44</v>
      </c>
      <c r="Z42" s="2" t="s">
        <v>45</v>
      </c>
      <c r="AA42" s="2" t="s">
        <v>451</v>
      </c>
      <c r="AB42" s="2" t="s">
        <v>45</v>
      </c>
      <c r="AC42" s="6" t="s">
        <v>452</v>
      </c>
    </row>
    <row r="43" spans="1:29" ht="114" hidden="1" customHeight="1">
      <c r="A43" s="7">
        <v>45937.451747685198</v>
      </c>
      <c r="B43" s="7">
        <v>45937.460358796299</v>
      </c>
      <c r="C43" s="2" t="s">
        <v>76</v>
      </c>
      <c r="D43" s="2"/>
      <c r="E43" s="2" t="s">
        <v>453</v>
      </c>
      <c r="F43" s="8">
        <v>45937</v>
      </c>
      <c r="G43" s="2" t="s">
        <v>454</v>
      </c>
      <c r="H43" s="2" t="s">
        <v>455</v>
      </c>
      <c r="I43" s="2" t="s">
        <v>66</v>
      </c>
      <c r="J43" s="2" t="s">
        <v>34</v>
      </c>
      <c r="K43" s="10" t="s">
        <v>456</v>
      </c>
      <c r="L43" s="2" t="s">
        <v>457</v>
      </c>
      <c r="M43" s="10" t="s">
        <v>458</v>
      </c>
      <c r="N43" s="10" t="s">
        <v>459</v>
      </c>
      <c r="O43" s="2" t="s">
        <v>139</v>
      </c>
      <c r="P43" s="2" t="s">
        <v>71</v>
      </c>
      <c r="Q43" s="2" t="s">
        <v>72</v>
      </c>
      <c r="R43" s="2" t="s">
        <v>42</v>
      </c>
      <c r="S43" s="10" t="s">
        <v>42</v>
      </c>
      <c r="T43" s="10" t="s">
        <v>42</v>
      </c>
      <c r="U43" s="2" t="s">
        <v>460</v>
      </c>
      <c r="V43" s="2" t="s">
        <v>45</v>
      </c>
      <c r="W43" s="2" t="s">
        <v>44</v>
      </c>
      <c r="X43" s="2" t="s">
        <v>45</v>
      </c>
      <c r="Y43" s="2" t="s">
        <v>44</v>
      </c>
      <c r="Z43" s="2" t="s">
        <v>45</v>
      </c>
      <c r="AA43" s="2" t="s">
        <v>461</v>
      </c>
      <c r="AB43" s="2" t="s">
        <v>45</v>
      </c>
      <c r="AC43" s="5" t="s">
        <v>462</v>
      </c>
    </row>
    <row r="44" spans="1:29" ht="114" hidden="1" customHeight="1">
      <c r="A44" s="7">
        <v>45937.717928240701</v>
      </c>
      <c r="B44" s="7">
        <v>45937.726006944402</v>
      </c>
      <c r="C44" s="2" t="s">
        <v>76</v>
      </c>
      <c r="D44" s="2"/>
      <c r="E44" s="2" t="s">
        <v>206</v>
      </c>
      <c r="F44" s="8">
        <v>45937</v>
      </c>
      <c r="G44" s="2" t="s">
        <v>463</v>
      </c>
      <c r="H44" s="2" t="s">
        <v>464</v>
      </c>
      <c r="I44" s="2" t="s">
        <v>465</v>
      </c>
      <c r="J44" s="2" t="s">
        <v>34</v>
      </c>
      <c r="K44" s="10" t="s">
        <v>466</v>
      </c>
      <c r="L44" s="2" t="s">
        <v>467</v>
      </c>
      <c r="M44" s="10" t="s">
        <v>468</v>
      </c>
      <c r="N44" s="10" t="s">
        <v>469</v>
      </c>
      <c r="O44" s="2" t="s">
        <v>56</v>
      </c>
      <c r="P44" s="2" t="s">
        <v>71</v>
      </c>
      <c r="Q44" s="2" t="s">
        <v>72</v>
      </c>
      <c r="R44" s="2" t="s">
        <v>42</v>
      </c>
      <c r="S44" s="10" t="s">
        <v>470</v>
      </c>
      <c r="T44" s="10" t="s">
        <v>471</v>
      </c>
      <c r="U44" s="2" t="s">
        <v>472</v>
      </c>
      <c r="V44" s="2" t="s">
        <v>45</v>
      </c>
      <c r="W44" s="2" t="s">
        <v>45</v>
      </c>
      <c r="X44" s="2" t="s">
        <v>45</v>
      </c>
      <c r="Y44" s="2" t="s">
        <v>44</v>
      </c>
      <c r="Z44" s="2" t="s">
        <v>45</v>
      </c>
      <c r="AA44" s="2" t="s">
        <v>473</v>
      </c>
      <c r="AB44" s="2" t="s">
        <v>45</v>
      </c>
      <c r="AC44" s="5" t="s">
        <v>474</v>
      </c>
    </row>
    <row r="45" spans="1:29" ht="114" hidden="1" customHeight="1">
      <c r="A45" s="7">
        <v>45944.3969097222</v>
      </c>
      <c r="B45" s="7">
        <v>45944.407974537004</v>
      </c>
      <c r="C45" s="2" t="s">
        <v>76</v>
      </c>
      <c r="D45" s="2"/>
      <c r="E45" s="2" t="s">
        <v>399</v>
      </c>
      <c r="F45" s="8">
        <v>45943</v>
      </c>
      <c r="G45" s="2" t="s">
        <v>475</v>
      </c>
      <c r="H45" s="2" t="s">
        <v>476</v>
      </c>
      <c r="I45" s="2" t="s">
        <v>168</v>
      </c>
      <c r="J45" s="2" t="s">
        <v>34</v>
      </c>
      <c r="K45" s="10" t="s">
        <v>477</v>
      </c>
      <c r="L45" s="2" t="s">
        <v>478</v>
      </c>
      <c r="M45" s="10" t="s">
        <v>479</v>
      </c>
      <c r="N45" s="10" t="s">
        <v>480</v>
      </c>
      <c r="O45" s="2" t="s">
        <v>56</v>
      </c>
      <c r="P45" s="2" t="s">
        <v>71</v>
      </c>
      <c r="Q45" s="2" t="s">
        <v>41</v>
      </c>
      <c r="R45" s="2" t="s">
        <v>42</v>
      </c>
      <c r="S45" s="10" t="s">
        <v>481</v>
      </c>
      <c r="T45" s="10" t="s">
        <v>482</v>
      </c>
      <c r="U45" s="2" t="s">
        <v>483</v>
      </c>
      <c r="V45" s="2" t="s">
        <v>44</v>
      </c>
      <c r="W45" s="2" t="s">
        <v>44</v>
      </c>
      <c r="X45" s="2" t="s">
        <v>44</v>
      </c>
      <c r="Y45" s="2" t="s">
        <v>44</v>
      </c>
      <c r="Z45" s="2" t="s">
        <v>44</v>
      </c>
      <c r="AA45" s="2" t="s">
        <v>484</v>
      </c>
      <c r="AB45" s="2" t="s">
        <v>45</v>
      </c>
      <c r="AC45" s="5" t="s">
        <v>485</v>
      </c>
    </row>
    <row r="46" spans="1:29" ht="114" hidden="1" customHeight="1">
      <c r="A46" s="7">
        <v>45944.4999537037</v>
      </c>
      <c r="B46" s="7">
        <v>45944.503668981502</v>
      </c>
      <c r="C46" s="2" t="s">
        <v>76</v>
      </c>
      <c r="D46" s="2"/>
      <c r="E46" s="2" t="s">
        <v>486</v>
      </c>
      <c r="F46" s="8">
        <v>45944</v>
      </c>
      <c r="G46" s="2" t="s">
        <v>487</v>
      </c>
      <c r="H46" s="2" t="s">
        <v>488</v>
      </c>
      <c r="I46" s="2" t="s">
        <v>489</v>
      </c>
      <c r="J46" s="2" t="s">
        <v>34</v>
      </c>
      <c r="K46" s="10" t="s">
        <v>490</v>
      </c>
      <c r="L46" s="2" t="s">
        <v>491</v>
      </c>
      <c r="M46" s="10" t="s">
        <v>492</v>
      </c>
      <c r="N46" s="10" t="s">
        <v>493</v>
      </c>
      <c r="O46" s="2" t="s">
        <v>247</v>
      </c>
      <c r="P46" s="2" t="s">
        <v>248</v>
      </c>
      <c r="Q46" s="2" t="s">
        <v>72</v>
      </c>
      <c r="R46" s="2" t="s">
        <v>42</v>
      </c>
      <c r="S46" s="10" t="s">
        <v>42</v>
      </c>
      <c r="T46" s="10" t="s">
        <v>42</v>
      </c>
      <c r="U46" s="2" t="s">
        <v>494</v>
      </c>
      <c r="V46" s="2" t="s">
        <v>45</v>
      </c>
      <c r="W46" s="2" t="s">
        <v>45</v>
      </c>
      <c r="X46" s="2" t="s">
        <v>45</v>
      </c>
      <c r="Y46" s="2" t="s">
        <v>44</v>
      </c>
      <c r="Z46" s="2" t="s">
        <v>45</v>
      </c>
      <c r="AA46" s="2" t="s">
        <v>42</v>
      </c>
      <c r="AB46" s="2" t="s">
        <v>45</v>
      </c>
      <c r="AC46" s="6" t="s">
        <v>495</v>
      </c>
    </row>
    <row r="47" spans="1:29" ht="114" hidden="1" customHeight="1">
      <c r="A47" s="7">
        <v>45945.333344907398</v>
      </c>
      <c r="B47" s="7">
        <v>45945.369340277801</v>
      </c>
      <c r="C47" s="2" t="s">
        <v>76</v>
      </c>
      <c r="D47" s="2"/>
      <c r="E47" s="2" t="s">
        <v>496</v>
      </c>
      <c r="F47" s="8">
        <v>45944</v>
      </c>
      <c r="G47" s="2" t="s">
        <v>497</v>
      </c>
      <c r="H47" s="2" t="s">
        <v>488</v>
      </c>
      <c r="I47" s="2" t="s">
        <v>66</v>
      </c>
      <c r="J47" s="2" t="s">
        <v>34</v>
      </c>
      <c r="K47" s="10" t="s">
        <v>42</v>
      </c>
      <c r="L47" s="2" t="s">
        <v>491</v>
      </c>
      <c r="M47" s="10" t="s">
        <v>492</v>
      </c>
      <c r="N47" s="10" t="s">
        <v>493</v>
      </c>
      <c r="O47" s="2" t="s">
        <v>56</v>
      </c>
      <c r="P47" s="2" t="s">
        <v>71</v>
      </c>
      <c r="Q47" s="2" t="s">
        <v>41</v>
      </c>
      <c r="R47" s="2" t="s">
        <v>42</v>
      </c>
      <c r="S47" s="10" t="s">
        <v>498</v>
      </c>
      <c r="T47" s="10" t="s">
        <v>499</v>
      </c>
      <c r="U47" s="2" t="s">
        <v>500</v>
      </c>
      <c r="V47" s="2" t="s">
        <v>45</v>
      </c>
      <c r="W47" s="2" t="s">
        <v>45</v>
      </c>
      <c r="X47" s="2" t="s">
        <v>45</v>
      </c>
      <c r="Y47" s="2" t="s">
        <v>44</v>
      </c>
      <c r="Z47" s="2" t="s">
        <v>45</v>
      </c>
      <c r="AA47" s="2" t="s">
        <v>501</v>
      </c>
      <c r="AB47" s="2" t="s">
        <v>45</v>
      </c>
      <c r="AC47" s="5" t="s">
        <v>502</v>
      </c>
    </row>
    <row r="48" spans="1:29" ht="114" hidden="1" customHeight="1">
      <c r="A48" s="7">
        <v>45945.8682638889</v>
      </c>
      <c r="B48" s="7">
        <v>45945.874178240701</v>
      </c>
      <c r="C48" s="2" t="s">
        <v>76</v>
      </c>
      <c r="D48" s="2"/>
      <c r="E48" s="2" t="s">
        <v>503</v>
      </c>
      <c r="F48" s="8">
        <v>45945</v>
      </c>
      <c r="G48" s="2" t="s">
        <v>504</v>
      </c>
      <c r="H48" s="2" t="s">
        <v>505</v>
      </c>
      <c r="I48" s="2" t="s">
        <v>506</v>
      </c>
      <c r="J48" s="2" t="s">
        <v>34</v>
      </c>
      <c r="K48" s="10" t="s">
        <v>507</v>
      </c>
      <c r="L48" s="2" t="s">
        <v>508</v>
      </c>
      <c r="M48" s="10" t="s">
        <v>509</v>
      </c>
      <c r="N48" s="10" t="s">
        <v>510</v>
      </c>
      <c r="O48" s="2" t="s">
        <v>56</v>
      </c>
      <c r="P48" s="2" t="s">
        <v>71</v>
      </c>
      <c r="Q48" s="2" t="s">
        <v>41</v>
      </c>
      <c r="R48" s="2" t="s">
        <v>42</v>
      </c>
      <c r="S48" s="10" t="s">
        <v>511</v>
      </c>
      <c r="T48" s="10" t="s">
        <v>42</v>
      </c>
      <c r="U48" s="2" t="s">
        <v>512</v>
      </c>
      <c r="V48" s="2" t="s">
        <v>44</v>
      </c>
      <c r="W48" s="2" t="s">
        <v>45</v>
      </c>
      <c r="X48" s="2" t="s">
        <v>44</v>
      </c>
      <c r="Y48" s="2" t="s">
        <v>44</v>
      </c>
      <c r="Z48" s="2" t="s">
        <v>44</v>
      </c>
      <c r="AA48" s="2" t="s">
        <v>513</v>
      </c>
      <c r="AB48" s="2" t="s">
        <v>45</v>
      </c>
      <c r="AC48" s="5" t="s">
        <v>514</v>
      </c>
    </row>
    <row r="49" spans="1:29" ht="114" hidden="1" customHeight="1">
      <c r="A49" s="7">
        <v>45950.564965277801</v>
      </c>
      <c r="B49" s="7">
        <v>45950.573553240698</v>
      </c>
      <c r="C49" s="2" t="s">
        <v>76</v>
      </c>
      <c r="D49" s="2"/>
      <c r="E49" s="2" t="s">
        <v>515</v>
      </c>
      <c r="F49" s="8">
        <v>45950</v>
      </c>
      <c r="G49" s="2" t="s">
        <v>516</v>
      </c>
      <c r="H49" s="2" t="s">
        <v>517</v>
      </c>
      <c r="I49" s="2" t="s">
        <v>66</v>
      </c>
      <c r="J49" s="2" t="s">
        <v>34</v>
      </c>
      <c r="K49" s="10" t="s">
        <v>42</v>
      </c>
      <c r="L49" s="2" t="s">
        <v>518</v>
      </c>
      <c r="M49" s="10" t="s">
        <v>519</v>
      </c>
      <c r="N49" s="10" t="s">
        <v>520</v>
      </c>
      <c r="O49" s="2" t="s">
        <v>247</v>
      </c>
      <c r="P49" s="2" t="s">
        <v>248</v>
      </c>
      <c r="Q49" s="2" t="s">
        <v>72</v>
      </c>
      <c r="R49" s="2" t="s">
        <v>59</v>
      </c>
      <c r="S49" s="10" t="s">
        <v>42</v>
      </c>
      <c r="T49" s="10" t="s">
        <v>521</v>
      </c>
      <c r="U49" s="2" t="s">
        <v>522</v>
      </c>
      <c r="V49" s="2" t="s">
        <v>44</v>
      </c>
      <c r="W49" s="2" t="s">
        <v>45</v>
      </c>
      <c r="X49" s="2" t="s">
        <v>44</v>
      </c>
      <c r="Y49" s="2" t="s">
        <v>44</v>
      </c>
      <c r="Z49" s="2" t="s">
        <v>45</v>
      </c>
      <c r="AA49" s="2" t="s">
        <v>523</v>
      </c>
      <c r="AB49" s="2" t="s">
        <v>44</v>
      </c>
      <c r="AC49" s="5"/>
    </row>
    <row r="50" spans="1:29" ht="114" hidden="1" customHeight="1">
      <c r="A50" s="7">
        <v>45957.341111111098</v>
      </c>
      <c r="B50" s="7">
        <v>45957.363865740699</v>
      </c>
      <c r="C50" s="2" t="s">
        <v>76</v>
      </c>
      <c r="D50" s="2"/>
      <c r="E50" s="2" t="s">
        <v>524</v>
      </c>
      <c r="F50" s="8">
        <v>45953</v>
      </c>
      <c r="G50" s="2" t="s">
        <v>525</v>
      </c>
      <c r="H50" s="2" t="s">
        <v>526</v>
      </c>
      <c r="I50" s="2" t="s">
        <v>527</v>
      </c>
      <c r="J50" s="2" t="s">
        <v>34</v>
      </c>
      <c r="K50" s="10" t="s">
        <v>42</v>
      </c>
      <c r="L50" s="2" t="s">
        <v>528</v>
      </c>
      <c r="M50" s="10" t="s">
        <v>529</v>
      </c>
      <c r="N50" s="10" t="s">
        <v>530</v>
      </c>
      <c r="O50" s="2" t="s">
        <v>39</v>
      </c>
      <c r="P50" s="2" t="s">
        <v>71</v>
      </c>
      <c r="Q50" s="2" t="s">
        <v>41</v>
      </c>
      <c r="R50" s="2" t="s">
        <v>42</v>
      </c>
      <c r="S50" s="10" t="s">
        <v>42</v>
      </c>
      <c r="T50" s="10" t="s">
        <v>42</v>
      </c>
      <c r="U50" s="2" t="s">
        <v>531</v>
      </c>
      <c r="V50" s="2" t="s">
        <v>44</v>
      </c>
      <c r="W50" s="2" t="s">
        <v>44</v>
      </c>
      <c r="X50" s="2" t="s">
        <v>44</v>
      </c>
      <c r="Y50" s="2" t="s">
        <v>44</v>
      </c>
      <c r="Z50" s="2" t="s">
        <v>44</v>
      </c>
      <c r="AA50" s="2" t="s">
        <v>532</v>
      </c>
      <c r="AB50" s="2" t="s">
        <v>45</v>
      </c>
      <c r="AC50" s="5" t="s">
        <v>533</v>
      </c>
    </row>
    <row r="51" spans="1:29" ht="114" hidden="1" customHeight="1">
      <c r="A51" s="7">
        <v>45961.6577314815</v>
      </c>
      <c r="B51" s="7">
        <v>45961.695659722202</v>
      </c>
      <c r="C51" s="2" t="s">
        <v>76</v>
      </c>
      <c r="D51" s="2"/>
      <c r="E51" s="2" t="s">
        <v>92</v>
      </c>
      <c r="F51" s="8">
        <v>45960</v>
      </c>
      <c r="G51" s="2" t="s">
        <v>534</v>
      </c>
      <c r="H51" s="2" t="s">
        <v>535</v>
      </c>
      <c r="I51" s="2" t="s">
        <v>536</v>
      </c>
      <c r="J51" s="2" t="s">
        <v>34</v>
      </c>
      <c r="K51" s="10" t="s">
        <v>537</v>
      </c>
      <c r="L51" s="2" t="s">
        <v>538</v>
      </c>
      <c r="M51" s="10" t="s">
        <v>539</v>
      </c>
      <c r="N51" s="10" t="s">
        <v>540</v>
      </c>
      <c r="O51" s="2" t="s">
        <v>150</v>
      </c>
      <c r="P51" s="2" t="s">
        <v>57</v>
      </c>
      <c r="Q51" s="2" t="s">
        <v>72</v>
      </c>
      <c r="R51" s="2" t="s">
        <v>127</v>
      </c>
      <c r="S51" s="10" t="s">
        <v>42</v>
      </c>
      <c r="T51" s="10" t="s">
        <v>42</v>
      </c>
      <c r="U51" s="2" t="s">
        <v>541</v>
      </c>
      <c r="V51" s="2" t="s">
        <v>45</v>
      </c>
      <c r="W51" s="2" t="s">
        <v>45</v>
      </c>
      <c r="X51" s="2" t="s">
        <v>45</v>
      </c>
      <c r="Y51" s="2" t="s">
        <v>45</v>
      </c>
      <c r="Z51" s="2" t="s">
        <v>45</v>
      </c>
      <c r="AA51" s="2" t="s">
        <v>542</v>
      </c>
      <c r="AB51" s="2" t="s">
        <v>45</v>
      </c>
      <c r="AC51" s="5"/>
    </row>
    <row r="52" spans="1:29" ht="114" hidden="1" customHeight="1">
      <c r="A52" s="7">
        <v>45962.507534722201</v>
      </c>
      <c r="B52" s="7">
        <v>45962.529155092598</v>
      </c>
      <c r="C52" s="2" t="s">
        <v>76</v>
      </c>
      <c r="D52" s="2"/>
      <c r="E52" s="2" t="s">
        <v>63</v>
      </c>
      <c r="F52" s="8">
        <v>45961</v>
      </c>
      <c r="G52" s="2" t="s">
        <v>543</v>
      </c>
      <c r="H52" s="2" t="s">
        <v>544</v>
      </c>
      <c r="I52" s="2" t="s">
        <v>66</v>
      </c>
      <c r="J52" s="2" t="s">
        <v>34</v>
      </c>
      <c r="K52" s="10" t="s">
        <v>545</v>
      </c>
      <c r="L52" s="2" t="s">
        <v>546</v>
      </c>
      <c r="M52" s="10" t="s">
        <v>547</v>
      </c>
      <c r="N52" s="10" t="s">
        <v>548</v>
      </c>
      <c r="O52" s="2" t="s">
        <v>56</v>
      </c>
      <c r="P52" s="2" t="s">
        <v>71</v>
      </c>
      <c r="Q52" s="2" t="s">
        <v>72</v>
      </c>
      <c r="R52" s="2" t="s">
        <v>42</v>
      </c>
      <c r="S52" s="10" t="s">
        <v>549</v>
      </c>
      <c r="T52" s="10" t="s">
        <v>550</v>
      </c>
      <c r="U52" s="2" t="s">
        <v>551</v>
      </c>
      <c r="V52" s="2" t="s">
        <v>44</v>
      </c>
      <c r="W52" s="2" t="s">
        <v>45</v>
      </c>
      <c r="X52" s="2" t="s">
        <v>45</v>
      </c>
      <c r="Y52" s="2" t="s">
        <v>44</v>
      </c>
      <c r="Z52" s="2" t="s">
        <v>45</v>
      </c>
      <c r="AA52" s="2" t="s">
        <v>552</v>
      </c>
      <c r="AB52" s="2" t="s">
        <v>45</v>
      </c>
      <c r="AC52" s="5" t="s">
        <v>553</v>
      </c>
    </row>
    <row r="53" spans="1:29" ht="114" hidden="1" customHeight="1">
      <c r="A53" s="7">
        <v>45965.607407407399</v>
      </c>
      <c r="B53" s="7">
        <v>45965.611087963</v>
      </c>
      <c r="C53" s="2" t="s">
        <v>76</v>
      </c>
      <c r="D53" s="2"/>
      <c r="E53" s="2" t="s">
        <v>554</v>
      </c>
      <c r="F53" s="8">
        <v>45965</v>
      </c>
      <c r="G53" s="2" t="s">
        <v>555</v>
      </c>
      <c r="H53" s="2" t="s">
        <v>556</v>
      </c>
      <c r="I53" s="2" t="s">
        <v>557</v>
      </c>
      <c r="J53" s="2" t="s">
        <v>34</v>
      </c>
      <c r="K53" s="10" t="s">
        <v>558</v>
      </c>
      <c r="L53" s="2" t="s">
        <v>559</v>
      </c>
      <c r="M53" s="10" t="s">
        <v>560</v>
      </c>
      <c r="N53" s="10" t="s">
        <v>561</v>
      </c>
      <c r="O53" s="2" t="s">
        <v>56</v>
      </c>
      <c r="P53" s="2" t="s">
        <v>40</v>
      </c>
      <c r="Q53" s="2" t="s">
        <v>41</v>
      </c>
      <c r="R53" s="2" t="s">
        <v>42</v>
      </c>
      <c r="S53" s="10" t="s">
        <v>42</v>
      </c>
      <c r="T53" s="10" t="s">
        <v>42</v>
      </c>
      <c r="U53" s="2" t="s">
        <v>562</v>
      </c>
      <c r="V53" s="2" t="s">
        <v>45</v>
      </c>
      <c r="W53" s="2" t="s">
        <v>45</v>
      </c>
      <c r="X53" s="2" t="s">
        <v>45</v>
      </c>
      <c r="Y53" s="2" t="s">
        <v>45</v>
      </c>
      <c r="Z53" s="2" t="s">
        <v>45</v>
      </c>
      <c r="AA53" s="2" t="s">
        <v>563</v>
      </c>
      <c r="AB53" s="2" t="s">
        <v>45</v>
      </c>
      <c r="AC53" s="5" t="s">
        <v>564</v>
      </c>
    </row>
    <row r="54" spans="1:29" ht="114" hidden="1" customHeight="1">
      <c r="A54" s="7">
        <v>45968.305601851898</v>
      </c>
      <c r="B54" s="7">
        <v>45968.3181944444</v>
      </c>
      <c r="C54" s="2" t="s">
        <v>76</v>
      </c>
      <c r="D54" s="2"/>
      <c r="E54" s="2" t="s">
        <v>453</v>
      </c>
      <c r="F54" s="8">
        <v>45967</v>
      </c>
      <c r="G54" s="2" t="s">
        <v>565</v>
      </c>
      <c r="H54" s="2" t="s">
        <v>566</v>
      </c>
      <c r="I54" s="2" t="s">
        <v>66</v>
      </c>
      <c r="J54" s="2" t="s">
        <v>34</v>
      </c>
      <c r="K54" s="10" t="s">
        <v>567</v>
      </c>
      <c r="L54" s="2" t="s">
        <v>568</v>
      </c>
      <c r="M54" s="10" t="s">
        <v>569</v>
      </c>
      <c r="N54" s="10" t="s">
        <v>570</v>
      </c>
      <c r="O54" s="2" t="s">
        <v>56</v>
      </c>
      <c r="P54" s="2" t="s">
        <v>71</v>
      </c>
      <c r="Q54" s="2" t="s">
        <v>58</v>
      </c>
      <c r="R54" s="2" t="s">
        <v>42</v>
      </c>
      <c r="S54" s="10" t="s">
        <v>42</v>
      </c>
      <c r="T54" s="10" t="s">
        <v>42</v>
      </c>
      <c r="U54" s="2" t="s">
        <v>571</v>
      </c>
      <c r="V54" s="2" t="s">
        <v>44</v>
      </c>
      <c r="W54" s="2" t="s">
        <v>45</v>
      </c>
      <c r="X54" s="2" t="s">
        <v>45</v>
      </c>
      <c r="Y54" s="2" t="s">
        <v>44</v>
      </c>
      <c r="Z54" s="2" t="s">
        <v>45</v>
      </c>
      <c r="AA54" s="2" t="s">
        <v>572</v>
      </c>
      <c r="AB54" s="2" t="s">
        <v>45</v>
      </c>
      <c r="AC54" s="5" t="s">
        <v>573</v>
      </c>
    </row>
    <row r="55" spans="1:29" ht="114" hidden="1" customHeight="1">
      <c r="A55" s="7">
        <v>45972.251793981501</v>
      </c>
      <c r="B55" s="7">
        <v>45972.272141203699</v>
      </c>
      <c r="C55" s="2" t="s">
        <v>76</v>
      </c>
      <c r="D55" s="2"/>
      <c r="E55" s="2" t="s">
        <v>206</v>
      </c>
      <c r="F55" s="8">
        <v>45972</v>
      </c>
      <c r="G55" s="2" t="s">
        <v>574</v>
      </c>
      <c r="H55" s="2" t="s">
        <v>575</v>
      </c>
      <c r="I55" s="2" t="s">
        <v>274</v>
      </c>
      <c r="J55" s="2" t="s">
        <v>34</v>
      </c>
      <c r="K55" s="10" t="s">
        <v>576</v>
      </c>
      <c r="L55" s="2" t="s">
        <v>577</v>
      </c>
      <c r="M55" s="10" t="s">
        <v>578</v>
      </c>
      <c r="N55" s="10" t="s">
        <v>579</v>
      </c>
      <c r="O55" s="2" t="s">
        <v>39</v>
      </c>
      <c r="P55" s="2" t="s">
        <v>71</v>
      </c>
      <c r="Q55" s="2" t="s">
        <v>72</v>
      </c>
      <c r="R55" s="2" t="s">
        <v>42</v>
      </c>
      <c r="S55" s="10" t="s">
        <v>580</v>
      </c>
      <c r="T55" s="10" t="s">
        <v>581</v>
      </c>
      <c r="U55" s="2" t="s">
        <v>582</v>
      </c>
      <c r="V55" s="2" t="s">
        <v>45</v>
      </c>
      <c r="W55" s="2" t="s">
        <v>45</v>
      </c>
      <c r="X55" s="2" t="s">
        <v>44</v>
      </c>
      <c r="Y55" s="2" t="s">
        <v>44</v>
      </c>
      <c r="Z55" s="2" t="s">
        <v>45</v>
      </c>
      <c r="AA55" s="2" t="s">
        <v>583</v>
      </c>
      <c r="AB55" s="2" t="s">
        <v>45</v>
      </c>
      <c r="AC55" s="6" t="s">
        <v>584</v>
      </c>
    </row>
    <row r="56" spans="1:29" ht="114" hidden="1" customHeight="1">
      <c r="A56" s="7">
        <v>45972.4120833333</v>
      </c>
      <c r="B56" s="7">
        <v>45972.4194444444</v>
      </c>
      <c r="C56" s="2" t="s">
        <v>76</v>
      </c>
      <c r="D56" s="2"/>
      <c r="E56" s="2" t="s">
        <v>228</v>
      </c>
      <c r="F56" s="8">
        <v>45954</v>
      </c>
      <c r="G56" s="2" t="s">
        <v>585</v>
      </c>
      <c r="H56" s="2" t="s">
        <v>586</v>
      </c>
      <c r="I56" s="2" t="s">
        <v>51</v>
      </c>
      <c r="J56" s="2" t="s">
        <v>34</v>
      </c>
      <c r="K56" s="10" t="s">
        <v>587</v>
      </c>
      <c r="L56" s="2" t="s">
        <v>588</v>
      </c>
      <c r="M56" s="10" t="s">
        <v>589</v>
      </c>
      <c r="N56" s="10" t="s">
        <v>590</v>
      </c>
      <c r="O56" s="2" t="s">
        <v>39</v>
      </c>
      <c r="P56" s="2" t="s">
        <v>57</v>
      </c>
      <c r="Q56" s="2" t="s">
        <v>58</v>
      </c>
      <c r="R56" s="2" t="s">
        <v>42</v>
      </c>
      <c r="S56" s="10" t="s">
        <v>42</v>
      </c>
      <c r="T56" s="10" t="s">
        <v>42</v>
      </c>
      <c r="U56" s="2" t="s">
        <v>591</v>
      </c>
      <c r="V56" s="2" t="s">
        <v>44</v>
      </c>
      <c r="W56" s="2" t="s">
        <v>44</v>
      </c>
      <c r="X56" s="2" t="s">
        <v>44</v>
      </c>
      <c r="Y56" s="2" t="s">
        <v>44</v>
      </c>
      <c r="Z56" s="2" t="s">
        <v>45</v>
      </c>
      <c r="AA56" s="2" t="s">
        <v>592</v>
      </c>
      <c r="AB56" s="2" t="s">
        <v>44</v>
      </c>
      <c r="AC56" s="5"/>
    </row>
    <row r="57" spans="1:29" ht="114" hidden="1" customHeight="1">
      <c r="A57" s="7">
        <v>45972.419525463003</v>
      </c>
      <c r="B57" s="7">
        <v>45972.437581018501</v>
      </c>
      <c r="C57" s="2" t="s">
        <v>76</v>
      </c>
      <c r="D57" s="2"/>
      <c r="E57" s="2" t="s">
        <v>228</v>
      </c>
      <c r="F57" s="8">
        <v>45955</v>
      </c>
      <c r="G57" s="2" t="s">
        <v>593</v>
      </c>
      <c r="H57" s="2" t="s">
        <v>594</v>
      </c>
      <c r="I57" s="2" t="s">
        <v>51</v>
      </c>
      <c r="J57" s="2" t="s">
        <v>34</v>
      </c>
      <c r="K57" s="10" t="s">
        <v>595</v>
      </c>
      <c r="L57" s="2" t="s">
        <v>596</v>
      </c>
      <c r="M57" s="10" t="s">
        <v>597</v>
      </c>
      <c r="N57" s="10" t="s">
        <v>598</v>
      </c>
      <c r="O57" s="2" t="s">
        <v>39</v>
      </c>
      <c r="P57" s="2" t="s">
        <v>57</v>
      </c>
      <c r="Q57" s="2" t="s">
        <v>72</v>
      </c>
      <c r="R57" s="2" t="s">
        <v>127</v>
      </c>
      <c r="S57" s="10" t="s">
        <v>42</v>
      </c>
      <c r="T57" s="10" t="s">
        <v>42</v>
      </c>
      <c r="U57" s="2" t="s">
        <v>599</v>
      </c>
      <c r="V57" s="2" t="s">
        <v>45</v>
      </c>
      <c r="W57" s="2" t="s">
        <v>44</v>
      </c>
      <c r="X57" s="2" t="s">
        <v>44</v>
      </c>
      <c r="Y57" s="2" t="s">
        <v>44</v>
      </c>
      <c r="Z57" s="2" t="s">
        <v>45</v>
      </c>
      <c r="AA57" s="2" t="s">
        <v>600</v>
      </c>
      <c r="AB57" s="2" t="s">
        <v>45</v>
      </c>
      <c r="AC57" s="5"/>
    </row>
    <row r="58" spans="1:29" ht="114" hidden="1" customHeight="1">
      <c r="A58" s="7">
        <v>45980.602500000001</v>
      </c>
      <c r="B58" s="7">
        <v>45980.608460648102</v>
      </c>
      <c r="C58" s="2" t="s">
        <v>76</v>
      </c>
      <c r="D58" s="2"/>
      <c r="E58" s="2" t="s">
        <v>601</v>
      </c>
      <c r="F58" s="8">
        <v>45980</v>
      </c>
      <c r="G58" s="2" t="s">
        <v>602</v>
      </c>
      <c r="H58" s="2" t="s">
        <v>603</v>
      </c>
      <c r="I58" s="2" t="s">
        <v>557</v>
      </c>
      <c r="J58" s="2" t="s">
        <v>34</v>
      </c>
      <c r="K58" s="10" t="s">
        <v>604</v>
      </c>
      <c r="L58" s="2" t="s">
        <v>605</v>
      </c>
      <c r="M58" s="10" t="s">
        <v>423</v>
      </c>
      <c r="N58" s="10" t="s">
        <v>606</v>
      </c>
      <c r="O58" s="2" t="s">
        <v>150</v>
      </c>
      <c r="P58" s="2" t="s">
        <v>57</v>
      </c>
      <c r="Q58" s="2" t="s">
        <v>58</v>
      </c>
      <c r="R58" s="2" t="s">
        <v>127</v>
      </c>
      <c r="S58" s="10" t="s">
        <v>42</v>
      </c>
      <c r="T58" s="10" t="s">
        <v>42</v>
      </c>
      <c r="U58" s="2" t="s">
        <v>607</v>
      </c>
      <c r="V58" s="2" t="s">
        <v>45</v>
      </c>
      <c r="W58" s="2" t="s">
        <v>45</v>
      </c>
      <c r="X58" s="2" t="s">
        <v>45</v>
      </c>
      <c r="Y58" s="2" t="s">
        <v>45</v>
      </c>
      <c r="Z58" s="2" t="s">
        <v>45</v>
      </c>
      <c r="AA58" s="2" t="s">
        <v>608</v>
      </c>
      <c r="AB58" s="2" t="s">
        <v>45</v>
      </c>
      <c r="AC58" s="5" t="s">
        <v>609</v>
      </c>
    </row>
    <row r="59" spans="1:29" ht="114" hidden="1" customHeight="1">
      <c r="A59" s="7">
        <v>45987.624988425901</v>
      </c>
      <c r="B59" s="7">
        <v>45987.633275462998</v>
      </c>
      <c r="C59" s="2" t="s">
        <v>76</v>
      </c>
      <c r="D59" s="2"/>
      <c r="E59" s="2" t="s">
        <v>610</v>
      </c>
      <c r="F59" s="8">
        <v>45962</v>
      </c>
      <c r="G59" s="2" t="s">
        <v>42</v>
      </c>
      <c r="H59" s="2" t="s">
        <v>611</v>
      </c>
      <c r="I59" s="2" t="s">
        <v>557</v>
      </c>
      <c r="J59" s="2" t="s">
        <v>34</v>
      </c>
      <c r="K59" s="10" t="s">
        <v>604</v>
      </c>
      <c r="L59" s="2" t="s">
        <v>612</v>
      </c>
      <c r="M59" s="10" t="s">
        <v>613</v>
      </c>
      <c r="N59" s="10" t="s">
        <v>614</v>
      </c>
      <c r="O59" s="2" t="s">
        <v>150</v>
      </c>
      <c r="P59" s="2" t="s">
        <v>71</v>
      </c>
      <c r="Q59" s="2" t="s">
        <v>58</v>
      </c>
      <c r="R59" s="2" t="s">
        <v>42</v>
      </c>
      <c r="S59" s="10" t="s">
        <v>42</v>
      </c>
      <c r="T59" s="10" t="s">
        <v>42</v>
      </c>
      <c r="U59" s="2" t="s">
        <v>42</v>
      </c>
      <c r="V59" s="2" t="s">
        <v>45</v>
      </c>
      <c r="W59" s="2" t="s">
        <v>45</v>
      </c>
      <c r="X59" s="2" t="s">
        <v>45</v>
      </c>
      <c r="Y59" s="2" t="s">
        <v>45</v>
      </c>
      <c r="Z59" s="2" t="s">
        <v>45</v>
      </c>
      <c r="AA59" s="2" t="s">
        <v>42</v>
      </c>
      <c r="AB59" s="2" t="s">
        <v>45</v>
      </c>
      <c r="AC59" s="5"/>
    </row>
    <row r="60" spans="1:29" ht="114" hidden="1" customHeight="1">
      <c r="A60" s="7">
        <v>45988.387893518498</v>
      </c>
      <c r="B60" s="7">
        <v>45988.418738425898</v>
      </c>
      <c r="C60" s="2" t="s">
        <v>76</v>
      </c>
      <c r="D60" s="2"/>
      <c r="E60" s="2" t="s">
        <v>615</v>
      </c>
      <c r="F60" s="8">
        <v>45988</v>
      </c>
      <c r="G60" s="2" t="s">
        <v>616</v>
      </c>
      <c r="H60" s="2" t="s">
        <v>617</v>
      </c>
      <c r="I60" s="2" t="s">
        <v>618</v>
      </c>
      <c r="J60" s="2" t="s">
        <v>34</v>
      </c>
      <c r="K60" s="10" t="s">
        <v>619</v>
      </c>
      <c r="L60" s="2" t="s">
        <v>620</v>
      </c>
      <c r="M60" s="10" t="s">
        <v>621</v>
      </c>
      <c r="N60" s="10" t="s">
        <v>622</v>
      </c>
      <c r="O60" s="2" t="s">
        <v>56</v>
      </c>
      <c r="P60" s="2" t="s">
        <v>40</v>
      </c>
      <c r="Q60" s="2" t="s">
        <v>41</v>
      </c>
      <c r="R60" s="2" t="s">
        <v>42</v>
      </c>
      <c r="S60" s="10" t="s">
        <v>623</v>
      </c>
      <c r="T60" s="10" t="s">
        <v>624</v>
      </c>
      <c r="U60" s="2" t="s">
        <v>625</v>
      </c>
      <c r="V60" s="2" t="s">
        <v>45</v>
      </c>
      <c r="W60" s="2" t="s">
        <v>45</v>
      </c>
      <c r="X60" s="2" t="s">
        <v>45</v>
      </c>
      <c r="Y60" s="2" t="s">
        <v>44</v>
      </c>
      <c r="Z60" s="2" t="s">
        <v>45</v>
      </c>
      <c r="AA60" s="2" t="s">
        <v>626</v>
      </c>
      <c r="AB60" s="2" t="s">
        <v>45</v>
      </c>
      <c r="AC60" s="5" t="s">
        <v>627</v>
      </c>
    </row>
    <row r="61" spans="1:29" ht="114" hidden="1" customHeight="1">
      <c r="A61" s="7">
        <v>46000.363946759302</v>
      </c>
      <c r="B61" s="7">
        <v>46000.3823148148</v>
      </c>
      <c r="C61" s="2" t="s">
        <v>76</v>
      </c>
      <c r="D61" s="2"/>
      <c r="E61" s="2" t="s">
        <v>486</v>
      </c>
      <c r="F61" s="8">
        <v>45997</v>
      </c>
      <c r="G61" s="2" t="s">
        <v>628</v>
      </c>
      <c r="H61" s="2" t="s">
        <v>629</v>
      </c>
      <c r="I61" s="2" t="s">
        <v>66</v>
      </c>
      <c r="J61" s="2" t="s">
        <v>34</v>
      </c>
      <c r="K61" s="10" t="s">
        <v>630</v>
      </c>
      <c r="L61" s="2" t="s">
        <v>631</v>
      </c>
      <c r="M61" s="10" t="s">
        <v>632</v>
      </c>
      <c r="N61" s="10" t="s">
        <v>633</v>
      </c>
      <c r="O61" s="2" t="s">
        <v>56</v>
      </c>
      <c r="P61" s="2" t="s">
        <v>71</v>
      </c>
      <c r="Q61" s="2" t="s">
        <v>41</v>
      </c>
      <c r="R61" s="2" t="s">
        <v>42</v>
      </c>
      <c r="S61" s="10" t="s">
        <v>42</v>
      </c>
      <c r="T61" s="10" t="s">
        <v>42</v>
      </c>
      <c r="U61" s="2" t="s">
        <v>634</v>
      </c>
      <c r="V61" s="2" t="s">
        <v>44</v>
      </c>
      <c r="W61" s="2" t="s">
        <v>45</v>
      </c>
      <c r="X61" s="2" t="s">
        <v>44</v>
      </c>
      <c r="Y61" s="2" t="s">
        <v>44</v>
      </c>
      <c r="Z61" s="2" t="s">
        <v>45</v>
      </c>
      <c r="AA61" s="2" t="s">
        <v>635</v>
      </c>
      <c r="AB61" s="2" t="s">
        <v>45</v>
      </c>
      <c r="AC61" s="5" t="s">
        <v>636</v>
      </c>
    </row>
    <row r="62" spans="1:29" ht="114" hidden="1" customHeight="1">
      <c r="A62" s="7">
        <v>46007.433217592603</v>
      </c>
      <c r="B62" s="7">
        <v>46007.442303240699</v>
      </c>
      <c r="C62" s="2" t="s">
        <v>76</v>
      </c>
      <c r="D62" s="2"/>
      <c r="E62" s="2" t="s">
        <v>496</v>
      </c>
      <c r="F62" s="8">
        <v>46004</v>
      </c>
      <c r="G62" s="2" t="s">
        <v>637</v>
      </c>
      <c r="H62" s="2" t="s">
        <v>638</v>
      </c>
      <c r="I62" s="2" t="s">
        <v>113</v>
      </c>
      <c r="J62" s="2" t="s">
        <v>134</v>
      </c>
      <c r="K62" s="10" t="s">
        <v>42</v>
      </c>
      <c r="L62" s="2" t="s">
        <v>639</v>
      </c>
      <c r="M62" s="10" t="s">
        <v>640</v>
      </c>
      <c r="N62" s="10" t="s">
        <v>641</v>
      </c>
      <c r="O62" s="2" t="s">
        <v>139</v>
      </c>
      <c r="P62" s="2" t="s">
        <v>71</v>
      </c>
      <c r="Q62" s="2" t="s">
        <v>58</v>
      </c>
      <c r="R62" s="2" t="s">
        <v>59</v>
      </c>
      <c r="S62" s="10" t="s">
        <v>642</v>
      </c>
      <c r="T62" s="10" t="s">
        <v>642</v>
      </c>
      <c r="U62" s="2" t="s">
        <v>643</v>
      </c>
      <c r="V62" s="2" t="s">
        <v>44</v>
      </c>
      <c r="W62" s="2" t="s">
        <v>44</v>
      </c>
      <c r="X62" s="2" t="s">
        <v>45</v>
      </c>
      <c r="Y62" s="2" t="s">
        <v>44</v>
      </c>
      <c r="Z62" s="2" t="s">
        <v>45</v>
      </c>
      <c r="AA62" s="2" t="s">
        <v>644</v>
      </c>
      <c r="AB62" s="2" t="s">
        <v>45</v>
      </c>
      <c r="AC62" s="5" t="s">
        <v>645</v>
      </c>
    </row>
    <row r="63" spans="1:29" ht="114" hidden="1" customHeight="1">
      <c r="A63" s="7">
        <v>46007.597118055601</v>
      </c>
      <c r="B63" s="7">
        <v>46007.610775462999</v>
      </c>
      <c r="C63" s="2" t="s">
        <v>76</v>
      </c>
      <c r="D63" s="2"/>
      <c r="E63" s="2" t="s">
        <v>228</v>
      </c>
      <c r="F63" s="8">
        <v>45989</v>
      </c>
      <c r="G63" s="2" t="s">
        <v>646</v>
      </c>
      <c r="H63" s="2" t="s">
        <v>647</v>
      </c>
      <c r="I63" s="2" t="s">
        <v>51</v>
      </c>
      <c r="J63" s="2" t="s">
        <v>34</v>
      </c>
      <c r="K63" s="10" t="s">
        <v>648</v>
      </c>
      <c r="L63" s="2" t="s">
        <v>649</v>
      </c>
      <c r="M63" s="10" t="s">
        <v>650</v>
      </c>
      <c r="N63" s="10" t="s">
        <v>651</v>
      </c>
      <c r="O63" s="2" t="s">
        <v>56</v>
      </c>
      <c r="P63" s="2" t="s">
        <v>85</v>
      </c>
      <c r="Q63" s="2" t="s">
        <v>41</v>
      </c>
      <c r="R63" s="2" t="s">
        <v>86</v>
      </c>
      <c r="S63" s="10" t="s">
        <v>652</v>
      </c>
      <c r="T63" s="10" t="s">
        <v>653</v>
      </c>
      <c r="U63" s="2" t="s">
        <v>654</v>
      </c>
      <c r="V63" s="2" t="s">
        <v>44</v>
      </c>
      <c r="W63" s="2" t="s">
        <v>45</v>
      </c>
      <c r="X63" s="2" t="s">
        <v>44</v>
      </c>
      <c r="Y63" s="2" t="s">
        <v>44</v>
      </c>
      <c r="Z63" s="2" t="s">
        <v>44</v>
      </c>
      <c r="AA63" s="2" t="s">
        <v>655</v>
      </c>
      <c r="AB63" s="2" t="s">
        <v>44</v>
      </c>
      <c r="AC63" s="5" t="s">
        <v>645</v>
      </c>
    </row>
    <row r="64" spans="1:29" ht="114" hidden="1" customHeight="1">
      <c r="A64" s="7">
        <v>46007.432962963001</v>
      </c>
      <c r="B64" s="7">
        <v>46007.665208333303</v>
      </c>
      <c r="C64" s="2" t="s">
        <v>76</v>
      </c>
      <c r="D64" s="2"/>
      <c r="E64" s="2" t="s">
        <v>656</v>
      </c>
      <c r="F64" s="8">
        <v>46007</v>
      </c>
      <c r="G64" s="2" t="s">
        <v>657</v>
      </c>
      <c r="H64" s="2" t="s">
        <v>67</v>
      </c>
      <c r="I64" s="2" t="s">
        <v>284</v>
      </c>
      <c r="J64" s="2" t="s">
        <v>34</v>
      </c>
      <c r="K64" s="10" t="s">
        <v>67</v>
      </c>
      <c r="L64" s="2" t="s">
        <v>658</v>
      </c>
      <c r="M64" s="10" t="s">
        <v>659</v>
      </c>
      <c r="N64" s="10" t="s">
        <v>660</v>
      </c>
      <c r="O64" s="2" t="s">
        <v>39</v>
      </c>
      <c r="P64" s="2" t="s">
        <v>71</v>
      </c>
      <c r="Q64" s="2" t="s">
        <v>72</v>
      </c>
      <c r="R64" s="2" t="s">
        <v>42</v>
      </c>
      <c r="S64" s="10" t="s">
        <v>661</v>
      </c>
      <c r="T64" s="10" t="s">
        <v>661</v>
      </c>
      <c r="U64" s="2" t="s">
        <v>662</v>
      </c>
      <c r="V64" s="2" t="s">
        <v>44</v>
      </c>
      <c r="W64" s="2" t="s">
        <v>44</v>
      </c>
      <c r="X64" s="2" t="s">
        <v>44</v>
      </c>
      <c r="Y64" s="2" t="s">
        <v>45</v>
      </c>
      <c r="Z64" s="2" t="s">
        <v>45</v>
      </c>
      <c r="AA64" s="2" t="s">
        <v>663</v>
      </c>
      <c r="AB64" s="2" t="s">
        <v>45</v>
      </c>
      <c r="AC64" s="5" t="s">
        <v>664</v>
      </c>
    </row>
    <row r="65" spans="1:29" ht="114" hidden="1" customHeight="1">
      <c r="A65" s="7">
        <v>46009.681273148097</v>
      </c>
      <c r="B65" s="7">
        <v>46009.688900462999</v>
      </c>
      <c r="C65" s="2" t="s">
        <v>76</v>
      </c>
      <c r="D65" s="2"/>
      <c r="E65" s="2" t="s">
        <v>271</v>
      </c>
      <c r="F65" s="8">
        <v>46008</v>
      </c>
      <c r="G65" s="2" t="s">
        <v>665</v>
      </c>
      <c r="H65" s="2" t="s">
        <v>666</v>
      </c>
      <c r="I65" s="2" t="s">
        <v>51</v>
      </c>
      <c r="J65" s="2" t="s">
        <v>34</v>
      </c>
      <c r="K65" s="10" t="s">
        <v>667</v>
      </c>
      <c r="L65" s="2" t="s">
        <v>668</v>
      </c>
      <c r="M65" s="10" t="s">
        <v>669</v>
      </c>
      <c r="N65" s="10" t="s">
        <v>670</v>
      </c>
      <c r="O65" s="2" t="s">
        <v>39</v>
      </c>
      <c r="P65" s="2" t="s">
        <v>57</v>
      </c>
      <c r="Q65" s="2" t="s">
        <v>58</v>
      </c>
      <c r="R65" s="2" t="s">
        <v>127</v>
      </c>
      <c r="S65" s="10" t="s">
        <v>88</v>
      </c>
      <c r="T65" s="10" t="s">
        <v>88</v>
      </c>
      <c r="U65" s="2" t="s">
        <v>671</v>
      </c>
      <c r="V65" s="2" t="s">
        <v>44</v>
      </c>
      <c r="W65" s="2" t="s">
        <v>44</v>
      </c>
      <c r="X65" s="2" t="s">
        <v>44</v>
      </c>
      <c r="Y65" s="2" t="s">
        <v>44</v>
      </c>
      <c r="Z65" s="2" t="s">
        <v>45</v>
      </c>
      <c r="AA65" s="2" t="s">
        <v>672</v>
      </c>
      <c r="AB65" s="2" t="s">
        <v>44</v>
      </c>
      <c r="AC65" s="5" t="s">
        <v>673</v>
      </c>
    </row>
    <row r="66" spans="1:29" ht="114" hidden="1" customHeight="1">
      <c r="A66" s="7">
        <v>46011.363819444399</v>
      </c>
      <c r="B66" s="7">
        <v>46011.378796296303</v>
      </c>
      <c r="C66" s="2" t="s">
        <v>76</v>
      </c>
      <c r="D66" s="2"/>
      <c r="E66" s="2" t="s">
        <v>228</v>
      </c>
      <c r="F66" s="8">
        <v>46009</v>
      </c>
      <c r="G66" s="2" t="s">
        <v>674</v>
      </c>
      <c r="H66" s="2" t="s">
        <v>675</v>
      </c>
      <c r="I66" s="2" t="s">
        <v>51</v>
      </c>
      <c r="J66" s="2" t="s">
        <v>34</v>
      </c>
      <c r="K66" s="10" t="s">
        <v>676</v>
      </c>
      <c r="L66" s="2" t="s">
        <v>677</v>
      </c>
      <c r="M66" s="10" t="s">
        <v>678</v>
      </c>
      <c r="N66" s="10" t="s">
        <v>679</v>
      </c>
      <c r="O66" s="2" t="s">
        <v>56</v>
      </c>
      <c r="P66" s="2" t="s">
        <v>71</v>
      </c>
      <c r="Q66" s="2" t="s">
        <v>58</v>
      </c>
      <c r="R66" s="2" t="s">
        <v>42</v>
      </c>
      <c r="S66" s="10" t="s">
        <v>42</v>
      </c>
      <c r="T66" s="10" t="s">
        <v>42</v>
      </c>
      <c r="U66" s="2" t="s">
        <v>680</v>
      </c>
      <c r="V66" s="2" t="s">
        <v>44</v>
      </c>
      <c r="W66" s="2" t="s">
        <v>44</v>
      </c>
      <c r="X66" s="2" t="s">
        <v>44</v>
      </c>
      <c r="Y66" s="2" t="s">
        <v>44</v>
      </c>
      <c r="Z66" s="2" t="s">
        <v>44</v>
      </c>
      <c r="AA66" s="2" t="s">
        <v>681</v>
      </c>
      <c r="AB66" s="2" t="s">
        <v>45</v>
      </c>
      <c r="AC66" s="5" t="s">
        <v>682</v>
      </c>
    </row>
    <row r="67" spans="1:29" ht="114" hidden="1" customHeight="1">
      <c r="A67" s="7">
        <v>46018.363009259301</v>
      </c>
      <c r="B67" s="7">
        <v>46018.387592592597</v>
      </c>
      <c r="C67" s="2" t="s">
        <v>76</v>
      </c>
      <c r="D67" s="2"/>
      <c r="E67" s="2" t="s">
        <v>228</v>
      </c>
      <c r="F67" s="8">
        <v>46018</v>
      </c>
      <c r="G67" s="2" t="s">
        <v>683</v>
      </c>
      <c r="H67" s="2" t="s">
        <v>684</v>
      </c>
      <c r="I67" s="2" t="s">
        <v>42</v>
      </c>
      <c r="J67" s="2" t="s">
        <v>134</v>
      </c>
      <c r="K67" s="10" t="s">
        <v>42</v>
      </c>
      <c r="L67" s="2" t="s">
        <v>685</v>
      </c>
      <c r="M67" s="10" t="s">
        <v>686</v>
      </c>
      <c r="N67" s="10" t="s">
        <v>687</v>
      </c>
      <c r="O67" s="2" t="s">
        <v>139</v>
      </c>
      <c r="P67" s="2" t="s">
        <v>71</v>
      </c>
      <c r="Q67" s="2" t="s">
        <v>41</v>
      </c>
      <c r="R67" s="2" t="s">
        <v>42</v>
      </c>
      <c r="S67" s="10" t="s">
        <v>42</v>
      </c>
      <c r="T67" s="10" t="s">
        <v>42</v>
      </c>
      <c r="U67" s="2" t="s">
        <v>688</v>
      </c>
      <c r="V67" s="2" t="s">
        <v>44</v>
      </c>
      <c r="W67" s="2" t="s">
        <v>44</v>
      </c>
      <c r="X67" s="2" t="s">
        <v>44</v>
      </c>
      <c r="Y67" s="2" t="s">
        <v>44</v>
      </c>
      <c r="Z67" s="2" t="s">
        <v>45</v>
      </c>
      <c r="AA67" s="2" t="s">
        <v>689</v>
      </c>
      <c r="AB67" s="2" t="s">
        <v>45</v>
      </c>
      <c r="AC67" s="5" t="s">
        <v>690</v>
      </c>
    </row>
    <row r="68" spans="1:29" ht="114" customHeight="1">
      <c r="A68" s="7">
        <v>46024.263564814799</v>
      </c>
      <c r="B68" s="7">
        <v>46024.267650463</v>
      </c>
      <c r="C68" s="2" t="s">
        <v>76</v>
      </c>
      <c r="D68" s="2"/>
      <c r="E68" s="2" t="s">
        <v>503</v>
      </c>
      <c r="F68" s="8">
        <v>46023</v>
      </c>
      <c r="G68" s="2" t="s">
        <v>691</v>
      </c>
      <c r="H68" s="2" t="s">
        <v>692</v>
      </c>
      <c r="I68" s="2" t="s">
        <v>274</v>
      </c>
      <c r="J68" s="2" t="s">
        <v>34</v>
      </c>
      <c r="K68" s="10" t="s">
        <v>52</v>
      </c>
      <c r="L68" s="2" t="s">
        <v>693</v>
      </c>
      <c r="M68" s="10" t="s">
        <v>694</v>
      </c>
      <c r="N68" s="10" t="s">
        <v>695</v>
      </c>
      <c r="O68" s="2" t="s">
        <v>150</v>
      </c>
      <c r="P68" s="2" t="s">
        <v>57</v>
      </c>
      <c r="Q68" s="2" t="s">
        <v>41</v>
      </c>
      <c r="R68" s="2" t="s">
        <v>59</v>
      </c>
      <c r="S68" s="10" t="s">
        <v>52</v>
      </c>
      <c r="T68" s="10" t="s">
        <v>52</v>
      </c>
      <c r="U68" s="2" t="s">
        <v>696</v>
      </c>
      <c r="V68" s="2" t="s">
        <v>44</v>
      </c>
      <c r="W68" s="2" t="s">
        <v>45</v>
      </c>
      <c r="X68" s="2" t="s">
        <v>45</v>
      </c>
      <c r="Y68" s="2" t="s">
        <v>44</v>
      </c>
      <c r="Z68" s="2" t="s">
        <v>45</v>
      </c>
      <c r="AA68" s="2" t="s">
        <v>697</v>
      </c>
      <c r="AB68" s="2" t="s">
        <v>45</v>
      </c>
      <c r="AC68" s="5" t="s">
        <v>698</v>
      </c>
    </row>
    <row r="69" spans="1:29" ht="114" customHeight="1">
      <c r="A69" s="7">
        <v>46024.270833333299</v>
      </c>
      <c r="B69" s="7">
        <v>46024.281585648103</v>
      </c>
      <c r="C69" s="2" t="s">
        <v>76</v>
      </c>
      <c r="D69" s="2"/>
      <c r="E69" s="2" t="s">
        <v>503</v>
      </c>
      <c r="F69" s="8">
        <v>46023</v>
      </c>
      <c r="G69" s="2" t="s">
        <v>699</v>
      </c>
      <c r="H69" s="2" t="s">
        <v>700</v>
      </c>
      <c r="I69" s="2" t="s">
        <v>274</v>
      </c>
      <c r="J69" s="2" t="s">
        <v>34</v>
      </c>
      <c r="K69" s="10" t="s">
        <v>52</v>
      </c>
      <c r="L69" s="2" t="s">
        <v>701</v>
      </c>
      <c r="M69" s="10" t="s">
        <v>702</v>
      </c>
      <c r="N69" s="10" t="s">
        <v>703</v>
      </c>
      <c r="O69" s="2" t="s">
        <v>247</v>
      </c>
      <c r="P69" s="2" t="s">
        <v>40</v>
      </c>
      <c r="Q69" s="2" t="s">
        <v>41</v>
      </c>
      <c r="R69" s="2" t="s">
        <v>42</v>
      </c>
      <c r="S69" s="10" t="s">
        <v>52</v>
      </c>
      <c r="T69" s="10" t="s">
        <v>52</v>
      </c>
      <c r="U69" s="2" t="s">
        <v>704</v>
      </c>
      <c r="V69" s="2" t="s">
        <v>44</v>
      </c>
      <c r="W69" s="2" t="s">
        <v>45</v>
      </c>
      <c r="X69" s="2" t="s">
        <v>44</v>
      </c>
      <c r="Y69" s="2" t="s">
        <v>44</v>
      </c>
      <c r="Z69" s="2" t="s">
        <v>45</v>
      </c>
      <c r="AA69" s="2" t="s">
        <v>705</v>
      </c>
      <c r="AB69" s="2" t="s">
        <v>44</v>
      </c>
      <c r="AC69" s="5"/>
    </row>
    <row r="70" spans="1:29" ht="114" customHeight="1">
      <c r="A70" s="7">
        <v>46028.457349536999</v>
      </c>
      <c r="B70" s="7">
        <v>46028.463657407403</v>
      </c>
      <c r="C70" s="2" t="s">
        <v>76</v>
      </c>
      <c r="D70" s="2"/>
      <c r="E70" s="2" t="s">
        <v>610</v>
      </c>
      <c r="F70" s="8">
        <v>46022</v>
      </c>
      <c r="G70" s="2" t="s">
        <v>706</v>
      </c>
      <c r="H70" s="2" t="s">
        <v>707</v>
      </c>
      <c r="I70" s="2" t="s">
        <v>557</v>
      </c>
      <c r="J70" s="2" t="s">
        <v>34</v>
      </c>
      <c r="K70" s="10" t="s">
        <v>604</v>
      </c>
      <c r="L70" s="2" t="s">
        <v>708</v>
      </c>
      <c r="M70" s="10" t="s">
        <v>709</v>
      </c>
      <c r="N70" s="10" t="s">
        <v>710</v>
      </c>
      <c r="O70" s="2" t="s">
        <v>150</v>
      </c>
      <c r="P70" s="2" t="s">
        <v>57</v>
      </c>
      <c r="Q70" s="2" t="s">
        <v>41</v>
      </c>
      <c r="R70" s="2" t="s">
        <v>127</v>
      </c>
      <c r="S70" s="10" t="s">
        <v>42</v>
      </c>
      <c r="T70" s="10" t="s">
        <v>42</v>
      </c>
      <c r="U70" s="2" t="s">
        <v>711</v>
      </c>
      <c r="V70" s="2" t="s">
        <v>45</v>
      </c>
      <c r="W70" s="2" t="s">
        <v>45</v>
      </c>
      <c r="X70" s="2" t="s">
        <v>45</v>
      </c>
      <c r="Y70" s="2" t="s">
        <v>44</v>
      </c>
      <c r="Z70" s="2" t="s">
        <v>45</v>
      </c>
      <c r="AA70" s="2" t="s">
        <v>712</v>
      </c>
      <c r="AB70" s="2" t="s">
        <v>45</v>
      </c>
      <c r="AC70" s="5"/>
    </row>
    <row r="71" spans="1:29" ht="114" customHeight="1">
      <c r="A71" s="7">
        <v>46028.524502314802</v>
      </c>
      <c r="B71" s="7">
        <v>46028.536932870396</v>
      </c>
      <c r="C71" s="2" t="s">
        <v>76</v>
      </c>
      <c r="D71" s="2"/>
      <c r="E71" s="2" t="s">
        <v>206</v>
      </c>
      <c r="F71" s="8">
        <v>46021</v>
      </c>
      <c r="G71" s="2" t="s">
        <v>713</v>
      </c>
      <c r="H71" s="2" t="s">
        <v>714</v>
      </c>
      <c r="I71" s="2" t="s">
        <v>274</v>
      </c>
      <c r="J71" s="2" t="s">
        <v>34</v>
      </c>
      <c r="K71" s="10" t="s">
        <v>52</v>
      </c>
      <c r="L71" s="2" t="s">
        <v>715</v>
      </c>
      <c r="M71" s="10" t="s">
        <v>52</v>
      </c>
      <c r="N71" s="10" t="s">
        <v>52</v>
      </c>
      <c r="O71" s="2" t="s">
        <v>56</v>
      </c>
      <c r="P71" s="2" t="s">
        <v>71</v>
      </c>
      <c r="Q71" s="2" t="s">
        <v>41</v>
      </c>
      <c r="R71" s="2" t="s">
        <v>42</v>
      </c>
      <c r="S71" s="10" t="s">
        <v>52</v>
      </c>
      <c r="T71" s="10" t="s">
        <v>52</v>
      </c>
      <c r="U71" s="2" t="s">
        <v>716</v>
      </c>
      <c r="V71" s="2" t="s">
        <v>44</v>
      </c>
      <c r="W71" s="2" t="s">
        <v>45</v>
      </c>
      <c r="X71" s="2" t="s">
        <v>44</v>
      </c>
      <c r="Y71" s="2" t="s">
        <v>44</v>
      </c>
      <c r="Z71" s="2" t="s">
        <v>44</v>
      </c>
      <c r="AA71" s="2" t="s">
        <v>717</v>
      </c>
      <c r="AB71" s="2" t="s">
        <v>44</v>
      </c>
      <c r="AC71" s="5"/>
    </row>
    <row r="72" spans="1:29" ht="114" customHeight="1">
      <c r="A72" s="7">
        <v>46037.278761574104</v>
      </c>
      <c r="B72" s="7">
        <v>46037.285393518498</v>
      </c>
      <c r="C72" s="2" t="s">
        <v>76</v>
      </c>
      <c r="D72" s="2"/>
      <c r="E72" s="2" t="s">
        <v>120</v>
      </c>
      <c r="F72" s="8">
        <v>46035</v>
      </c>
      <c r="G72" s="2" t="s">
        <v>718</v>
      </c>
      <c r="H72" s="2" t="s">
        <v>719</v>
      </c>
      <c r="I72" s="2" t="s">
        <v>274</v>
      </c>
      <c r="J72" s="2" t="s">
        <v>134</v>
      </c>
      <c r="K72" s="10" t="s">
        <v>274</v>
      </c>
      <c r="L72" s="2" t="s">
        <v>720</v>
      </c>
      <c r="M72" s="10" t="s">
        <v>721</v>
      </c>
      <c r="N72" s="10" t="s">
        <v>722</v>
      </c>
      <c r="O72" s="2" t="s">
        <v>56</v>
      </c>
      <c r="P72" s="2" t="s">
        <v>71</v>
      </c>
      <c r="Q72" s="2" t="s">
        <v>41</v>
      </c>
      <c r="R72" s="2" t="s">
        <v>42</v>
      </c>
      <c r="S72" s="10" t="s">
        <v>42</v>
      </c>
      <c r="T72" s="10" t="s">
        <v>42</v>
      </c>
      <c r="U72" s="2" t="s">
        <v>723</v>
      </c>
      <c r="V72" s="2" t="s">
        <v>44</v>
      </c>
      <c r="W72" s="2" t="s">
        <v>44</v>
      </c>
      <c r="X72" s="2" t="s">
        <v>44</v>
      </c>
      <c r="Y72" s="2" t="s">
        <v>44</v>
      </c>
      <c r="Z72" s="2" t="s">
        <v>44</v>
      </c>
      <c r="AA72" s="2" t="s">
        <v>724</v>
      </c>
      <c r="AB72" s="2" t="s">
        <v>45</v>
      </c>
      <c r="AC72" s="5" t="s">
        <v>725</v>
      </c>
    </row>
    <row r="73" spans="1:29" ht="114" customHeight="1">
      <c r="A73" s="7">
        <v>46037.300127314797</v>
      </c>
      <c r="B73" s="7">
        <v>46037.309965277796</v>
      </c>
      <c r="C73" s="2" t="s">
        <v>76</v>
      </c>
      <c r="D73" s="2"/>
      <c r="E73" s="2" t="s">
        <v>120</v>
      </c>
      <c r="F73" s="8">
        <v>46036</v>
      </c>
      <c r="G73" s="2" t="s">
        <v>726</v>
      </c>
      <c r="H73" s="2" t="s">
        <v>727</v>
      </c>
      <c r="I73" s="2" t="s">
        <v>274</v>
      </c>
      <c r="J73" s="2" t="s">
        <v>134</v>
      </c>
      <c r="K73" s="10" t="s">
        <v>274</v>
      </c>
      <c r="L73" s="2" t="s">
        <v>728</v>
      </c>
      <c r="M73" s="10" t="s">
        <v>729</v>
      </c>
      <c r="N73" s="10" t="s">
        <v>730</v>
      </c>
      <c r="O73" s="2" t="s">
        <v>56</v>
      </c>
      <c r="P73" s="2" t="s">
        <v>71</v>
      </c>
      <c r="Q73" s="2" t="s">
        <v>41</v>
      </c>
      <c r="R73" s="2" t="s">
        <v>42</v>
      </c>
      <c r="S73" s="10" t="s">
        <v>42</v>
      </c>
      <c r="T73" s="10" t="s">
        <v>42</v>
      </c>
      <c r="U73" s="2" t="s">
        <v>731</v>
      </c>
      <c r="V73" s="2" t="s">
        <v>44</v>
      </c>
      <c r="W73" s="2" t="s">
        <v>44</v>
      </c>
      <c r="X73" s="2" t="s">
        <v>44</v>
      </c>
      <c r="Y73" s="2" t="s">
        <v>44</v>
      </c>
      <c r="Z73" s="2" t="s">
        <v>44</v>
      </c>
      <c r="AA73" s="2" t="s">
        <v>732</v>
      </c>
      <c r="AB73" s="2" t="s">
        <v>45</v>
      </c>
      <c r="AC73" s="5" t="s">
        <v>733</v>
      </c>
    </row>
    <row r="74" spans="1:29" ht="87" customHeight="1">
      <c r="A74" s="7">
        <v>46042.554270833301</v>
      </c>
      <c r="B74" s="7">
        <v>46042.565127314803</v>
      </c>
      <c r="C74" s="2" t="s">
        <v>76</v>
      </c>
      <c r="D74" s="2"/>
      <c r="E74" s="2" t="s">
        <v>399</v>
      </c>
      <c r="F74" s="8">
        <v>46037</v>
      </c>
      <c r="G74" s="2" t="s">
        <v>734</v>
      </c>
      <c r="H74" s="2" t="s">
        <v>735</v>
      </c>
      <c r="I74" s="2" t="s">
        <v>168</v>
      </c>
      <c r="J74" s="2" t="s">
        <v>34</v>
      </c>
      <c r="K74" s="10" t="s">
        <v>736</v>
      </c>
      <c r="L74" s="2" t="s">
        <v>737</v>
      </c>
      <c r="M74" s="10" t="s">
        <v>738</v>
      </c>
      <c r="N74" s="10" t="s">
        <v>739</v>
      </c>
      <c r="O74" s="2" t="s">
        <v>150</v>
      </c>
      <c r="P74" s="2" t="s">
        <v>57</v>
      </c>
      <c r="Q74" s="2" t="s">
        <v>58</v>
      </c>
      <c r="R74" s="2" t="s">
        <v>127</v>
      </c>
      <c r="S74" s="10" t="s">
        <v>740</v>
      </c>
      <c r="T74" s="10" t="s">
        <v>42</v>
      </c>
      <c r="U74" s="2" t="s">
        <v>741</v>
      </c>
      <c r="V74" s="2" t="s">
        <v>44</v>
      </c>
      <c r="W74" s="2" t="s">
        <v>44</v>
      </c>
      <c r="X74" s="2" t="s">
        <v>45</v>
      </c>
      <c r="Y74" s="2" t="s">
        <v>44</v>
      </c>
      <c r="Z74" s="2" t="s">
        <v>45</v>
      </c>
      <c r="AA74" s="2" t="s">
        <v>742</v>
      </c>
      <c r="AB74" s="2" t="s">
        <v>44</v>
      </c>
      <c r="AC74" s="5"/>
    </row>
    <row r="75" spans="1:29" ht="60" customHeight="1">
      <c r="A75" s="7">
        <v>46056.359166666698</v>
      </c>
      <c r="B75" s="7">
        <v>46056.427546296298</v>
      </c>
      <c r="C75" s="2" t="s">
        <v>76</v>
      </c>
      <c r="D75" s="2"/>
      <c r="E75" s="2" t="s">
        <v>293</v>
      </c>
      <c r="F75" s="8">
        <v>46055</v>
      </c>
      <c r="G75" s="2" t="s">
        <v>743</v>
      </c>
      <c r="H75" s="2" t="s">
        <v>744</v>
      </c>
      <c r="I75" s="2" t="s">
        <v>274</v>
      </c>
      <c r="J75" s="2" t="s">
        <v>134</v>
      </c>
      <c r="K75" s="10" t="s">
        <v>42</v>
      </c>
      <c r="L75" s="2" t="s">
        <v>745</v>
      </c>
      <c r="M75" s="10" t="s">
        <v>746</v>
      </c>
      <c r="N75" s="10" t="s">
        <v>747</v>
      </c>
      <c r="O75" s="2" t="s">
        <v>139</v>
      </c>
      <c r="P75" s="2" t="s">
        <v>71</v>
      </c>
      <c r="Q75" s="2" t="s">
        <v>41</v>
      </c>
      <c r="R75" s="2" t="s">
        <v>42</v>
      </c>
      <c r="S75" s="10" t="s">
        <v>42</v>
      </c>
      <c r="T75" s="10" t="s">
        <v>42</v>
      </c>
      <c r="U75" s="2" t="s">
        <v>748</v>
      </c>
      <c r="V75" s="2" t="s">
        <v>44</v>
      </c>
      <c r="W75" s="2" t="s">
        <v>44</v>
      </c>
      <c r="X75" s="2" t="s">
        <v>44</v>
      </c>
      <c r="Y75" s="2" t="s">
        <v>44</v>
      </c>
      <c r="Z75" s="2" t="s">
        <v>45</v>
      </c>
      <c r="AA75" s="2" t="s">
        <v>749</v>
      </c>
      <c r="AB75" s="2" t="s">
        <v>45</v>
      </c>
      <c r="AC75" s="6" t="s">
        <v>750</v>
      </c>
    </row>
    <row r="76" spans="1:29" ht="90.75" customHeight="1">
      <c r="A76" s="7">
        <v>46059.419780092598</v>
      </c>
      <c r="B76" s="7">
        <v>46059.5836921296</v>
      </c>
      <c r="C76" s="2" t="s">
        <v>76</v>
      </c>
      <c r="D76" s="2"/>
      <c r="E76" s="2" t="s">
        <v>496</v>
      </c>
      <c r="F76" s="8">
        <v>46048</v>
      </c>
      <c r="G76" s="2" t="s">
        <v>751</v>
      </c>
      <c r="H76" s="2" t="s">
        <v>752</v>
      </c>
      <c r="I76" s="2" t="s">
        <v>753</v>
      </c>
      <c r="J76" s="2" t="s">
        <v>34</v>
      </c>
      <c r="K76" s="10" t="s">
        <v>753</v>
      </c>
      <c r="L76" s="2" t="s">
        <v>754</v>
      </c>
      <c r="M76" s="10" t="s">
        <v>755</v>
      </c>
      <c r="N76" s="10" t="s">
        <v>756</v>
      </c>
      <c r="O76" s="2" t="s">
        <v>39</v>
      </c>
      <c r="P76" s="2" t="s">
        <v>71</v>
      </c>
      <c r="Q76" s="2" t="s">
        <v>58</v>
      </c>
      <c r="R76" s="2" t="s">
        <v>42</v>
      </c>
      <c r="S76" s="10" t="s">
        <v>42</v>
      </c>
      <c r="T76" s="10" t="s">
        <v>42</v>
      </c>
      <c r="U76" s="2" t="s">
        <v>757</v>
      </c>
      <c r="V76" s="2" t="s">
        <v>44</v>
      </c>
      <c r="W76" s="2" t="s">
        <v>44</v>
      </c>
      <c r="X76" s="2" t="s">
        <v>44</v>
      </c>
      <c r="Y76" s="2" t="s">
        <v>44</v>
      </c>
      <c r="Z76" s="2" t="s">
        <v>45</v>
      </c>
      <c r="AA76" s="2" t="s">
        <v>758</v>
      </c>
      <c r="AB76" s="2" t="s">
        <v>45</v>
      </c>
      <c r="AC76" s="5" t="s">
        <v>759</v>
      </c>
    </row>
    <row r="77" spans="1:29" ht="100.5" customHeight="1">
      <c r="A77" s="7">
        <v>46064.4113657407</v>
      </c>
      <c r="B77" s="7">
        <v>46064.624918981499</v>
      </c>
      <c r="C77" s="2" t="s">
        <v>76</v>
      </c>
      <c r="D77" s="2"/>
      <c r="E77" s="2" t="s">
        <v>271</v>
      </c>
      <c r="F77" s="8">
        <v>46064</v>
      </c>
      <c r="G77" s="2" t="s">
        <v>760</v>
      </c>
      <c r="H77" s="2" t="s">
        <v>761</v>
      </c>
      <c r="I77" s="2" t="s">
        <v>157</v>
      </c>
      <c r="J77" s="2" t="s">
        <v>34</v>
      </c>
      <c r="K77" s="10" t="s">
        <v>42</v>
      </c>
      <c r="L77" s="2" t="s">
        <v>762</v>
      </c>
      <c r="M77" s="10" t="s">
        <v>763</v>
      </c>
      <c r="N77" s="10" t="s">
        <v>764</v>
      </c>
      <c r="O77" s="2" t="s">
        <v>56</v>
      </c>
      <c r="P77" s="2" t="s">
        <v>71</v>
      </c>
      <c r="Q77" s="2" t="s">
        <v>41</v>
      </c>
      <c r="R77" s="2" t="s">
        <v>42</v>
      </c>
      <c r="S77" s="10" t="s">
        <v>42</v>
      </c>
      <c r="T77" s="10" t="s">
        <v>42</v>
      </c>
      <c r="U77" s="2" t="s">
        <v>765</v>
      </c>
      <c r="V77" s="2" t="s">
        <v>44</v>
      </c>
      <c r="W77" s="2" t="s">
        <v>44</v>
      </c>
      <c r="X77" s="2" t="s">
        <v>45</v>
      </c>
      <c r="Y77" s="2" t="s">
        <v>44</v>
      </c>
      <c r="Z77" s="2" t="s">
        <v>45</v>
      </c>
      <c r="AA77" s="2" t="s">
        <v>766</v>
      </c>
      <c r="AB77" s="2" t="s">
        <v>45</v>
      </c>
      <c r="AC77" s="5" t="s">
        <v>767</v>
      </c>
    </row>
    <row r="78" spans="1:29" ht="75" customHeight="1">
      <c r="A78" s="7">
        <v>46066.385138888902</v>
      </c>
      <c r="B78" s="7">
        <v>46066.399675925903</v>
      </c>
      <c r="C78" s="2" t="s">
        <v>76</v>
      </c>
      <c r="D78" s="2"/>
      <c r="E78" s="2" t="s">
        <v>271</v>
      </c>
      <c r="F78" s="8">
        <v>46066</v>
      </c>
      <c r="G78" s="2" t="s">
        <v>768</v>
      </c>
      <c r="H78" s="2" t="s">
        <v>67</v>
      </c>
      <c r="I78" s="2" t="s">
        <v>67</v>
      </c>
      <c r="J78" s="2" t="s">
        <v>134</v>
      </c>
      <c r="K78" s="10" t="s">
        <v>42</v>
      </c>
      <c r="L78" s="2" t="s">
        <v>769</v>
      </c>
      <c r="M78" s="10" t="s">
        <v>770</v>
      </c>
      <c r="N78" s="10" t="s">
        <v>771</v>
      </c>
      <c r="O78" s="2" t="s">
        <v>39</v>
      </c>
      <c r="P78" s="2" t="s">
        <v>57</v>
      </c>
      <c r="Q78" s="2" t="s">
        <v>58</v>
      </c>
      <c r="R78" s="2" t="s">
        <v>42</v>
      </c>
      <c r="S78" s="10" t="s">
        <v>42</v>
      </c>
      <c r="T78" s="10" t="s">
        <v>42</v>
      </c>
      <c r="U78" s="2" t="s">
        <v>772</v>
      </c>
      <c r="V78" s="2" t="s">
        <v>44</v>
      </c>
      <c r="W78" s="2" t="s">
        <v>44</v>
      </c>
      <c r="X78" s="2" t="s">
        <v>44</v>
      </c>
      <c r="Y78" s="2" t="s">
        <v>45</v>
      </c>
      <c r="Z78" s="2" t="s">
        <v>45</v>
      </c>
      <c r="AA78" s="2" t="s">
        <v>773</v>
      </c>
      <c r="AB78" s="2" t="s">
        <v>45</v>
      </c>
      <c r="AC78" s="5" t="s">
        <v>774</v>
      </c>
    </row>
    <row r="79" spans="1:29" ht="80.25" customHeight="1">
      <c r="A79" s="7">
        <v>46066.385324074101</v>
      </c>
      <c r="B79" s="7">
        <v>46066.412349537</v>
      </c>
      <c r="C79" s="2" t="s">
        <v>76</v>
      </c>
      <c r="D79" s="2"/>
      <c r="E79" s="2" t="s">
        <v>496</v>
      </c>
      <c r="F79" s="8">
        <v>45989</v>
      </c>
      <c r="G79" s="2" t="s">
        <v>775</v>
      </c>
      <c r="H79" s="2" t="s">
        <v>647</v>
      </c>
      <c r="I79" s="2" t="s">
        <v>51</v>
      </c>
      <c r="J79" s="2" t="s">
        <v>34</v>
      </c>
      <c r="K79" s="10" t="s">
        <v>42</v>
      </c>
      <c r="L79" s="2" t="s">
        <v>776</v>
      </c>
      <c r="M79" s="10" t="s">
        <v>650</v>
      </c>
      <c r="N79" s="10" t="s">
        <v>651</v>
      </c>
      <c r="O79" s="40" t="s">
        <v>56</v>
      </c>
      <c r="P79" s="2" t="s">
        <v>71</v>
      </c>
      <c r="Q79" s="2" t="s">
        <v>41</v>
      </c>
      <c r="R79" s="2" t="s">
        <v>42</v>
      </c>
      <c r="S79" s="10" t="s">
        <v>42</v>
      </c>
      <c r="T79" s="10" t="s">
        <v>42</v>
      </c>
      <c r="U79" s="2" t="s">
        <v>777</v>
      </c>
      <c r="V79" s="2" t="s">
        <v>45</v>
      </c>
      <c r="W79" s="2" t="s">
        <v>45</v>
      </c>
      <c r="X79" s="2" t="s">
        <v>45</v>
      </c>
      <c r="Y79" s="2" t="s">
        <v>44</v>
      </c>
      <c r="Z79" s="2" t="s">
        <v>44</v>
      </c>
      <c r="AA79" s="2" t="s">
        <v>778</v>
      </c>
      <c r="AB79" s="2" t="s">
        <v>45</v>
      </c>
      <c r="AC79" s="5" t="s">
        <v>779</v>
      </c>
    </row>
    <row r="80" spans="1:29" ht="96" customHeight="1">
      <c r="A80" s="7">
        <v>46066.3745486111</v>
      </c>
      <c r="B80" s="7">
        <v>46066.443171296298</v>
      </c>
      <c r="C80" s="2" t="s">
        <v>76</v>
      </c>
      <c r="D80" s="2"/>
      <c r="E80" s="2" t="s">
        <v>780</v>
      </c>
      <c r="F80" s="8">
        <v>46065</v>
      </c>
      <c r="G80" s="2" t="s">
        <v>781</v>
      </c>
      <c r="H80" s="2" t="s">
        <v>782</v>
      </c>
      <c r="I80" s="2" t="s">
        <v>783</v>
      </c>
      <c r="J80" s="2" t="s">
        <v>34</v>
      </c>
      <c r="K80" s="10" t="s">
        <v>784</v>
      </c>
      <c r="L80" s="2" t="s">
        <v>785</v>
      </c>
      <c r="M80" s="10" t="s">
        <v>786</v>
      </c>
      <c r="N80" s="10" t="s">
        <v>787</v>
      </c>
      <c r="O80" s="2" t="s">
        <v>56</v>
      </c>
      <c r="P80" s="2" t="s">
        <v>71</v>
      </c>
      <c r="Q80" s="2" t="s">
        <v>41</v>
      </c>
      <c r="R80" s="2" t="s">
        <v>42</v>
      </c>
      <c r="S80" s="10" t="s">
        <v>788</v>
      </c>
      <c r="T80" s="10" t="s">
        <v>789</v>
      </c>
      <c r="U80" s="2" t="s">
        <v>790</v>
      </c>
      <c r="V80" s="2" t="s">
        <v>44</v>
      </c>
      <c r="W80" s="2" t="s">
        <v>45</v>
      </c>
      <c r="X80" s="2" t="s">
        <v>45</v>
      </c>
      <c r="Y80" s="2" t="s">
        <v>44</v>
      </c>
      <c r="Z80" s="2" t="s">
        <v>45</v>
      </c>
      <c r="AA80" s="2" t="s">
        <v>791</v>
      </c>
      <c r="AB80" s="2" t="s">
        <v>45</v>
      </c>
      <c r="AC80" s="5"/>
    </row>
    <row r="81" spans="1:29" ht="106.5">
      <c r="A81" s="7">
        <v>46069.527881944399</v>
      </c>
      <c r="B81" s="7">
        <v>46069.539386574099</v>
      </c>
      <c r="C81" s="2" t="s">
        <v>76</v>
      </c>
      <c r="D81" s="2"/>
      <c r="E81" s="2" t="s">
        <v>228</v>
      </c>
      <c r="F81" s="8">
        <v>46069</v>
      </c>
      <c r="G81" s="2" t="s">
        <v>792</v>
      </c>
      <c r="H81" s="2" t="s">
        <v>793</v>
      </c>
      <c r="I81" s="2" t="s">
        <v>51</v>
      </c>
      <c r="J81" s="2" t="s">
        <v>134</v>
      </c>
      <c r="K81" s="10" t="s">
        <v>42</v>
      </c>
      <c r="L81" s="2" t="s">
        <v>794</v>
      </c>
      <c r="M81" s="10" t="s">
        <v>795</v>
      </c>
      <c r="N81" s="10" t="s">
        <v>796</v>
      </c>
      <c r="O81" s="2" t="s">
        <v>139</v>
      </c>
      <c r="P81" s="2" t="s">
        <v>71</v>
      </c>
      <c r="Q81" s="2" t="s">
        <v>72</v>
      </c>
      <c r="R81" s="2" t="s">
        <v>42</v>
      </c>
      <c r="S81" s="10" t="s">
        <v>42</v>
      </c>
      <c r="T81" s="10" t="s">
        <v>42</v>
      </c>
      <c r="U81" s="2" t="s">
        <v>797</v>
      </c>
      <c r="V81" s="2" t="s">
        <v>45</v>
      </c>
      <c r="W81" s="2" t="s">
        <v>45</v>
      </c>
      <c r="X81" s="2" t="s">
        <v>45</v>
      </c>
      <c r="Y81" s="2" t="s">
        <v>44</v>
      </c>
      <c r="Z81" s="2" t="s">
        <v>45</v>
      </c>
      <c r="AA81" s="2" t="s">
        <v>798</v>
      </c>
      <c r="AB81" s="2" t="s">
        <v>45</v>
      </c>
      <c r="AC81" s="6" t="s">
        <v>799</v>
      </c>
    </row>
    <row r="82" spans="1:29" ht="60.75">
      <c r="A82" s="7">
        <v>46073.6385532407</v>
      </c>
      <c r="B82" s="7">
        <v>46073.643738425897</v>
      </c>
      <c r="C82" s="2" t="s">
        <v>76</v>
      </c>
      <c r="D82" s="2"/>
      <c r="E82" s="2" t="s">
        <v>800</v>
      </c>
      <c r="F82" s="8">
        <v>46073</v>
      </c>
      <c r="G82" s="2" t="s">
        <v>801</v>
      </c>
      <c r="H82" s="2" t="s">
        <v>67</v>
      </c>
      <c r="I82" s="2" t="s">
        <v>67</v>
      </c>
      <c r="J82" s="2" t="s">
        <v>34</v>
      </c>
      <c r="K82" s="10" t="s">
        <v>42</v>
      </c>
      <c r="L82" s="2" t="s">
        <v>802</v>
      </c>
      <c r="M82" s="10" t="s">
        <v>803</v>
      </c>
      <c r="N82" s="10" t="s">
        <v>804</v>
      </c>
      <c r="O82" s="2" t="s">
        <v>39</v>
      </c>
      <c r="P82" s="2" t="s">
        <v>71</v>
      </c>
      <c r="Q82" s="2" t="s">
        <v>72</v>
      </c>
      <c r="R82" s="2" t="s">
        <v>42</v>
      </c>
      <c r="S82" s="10" t="s">
        <v>42</v>
      </c>
      <c r="T82" s="10" t="s">
        <v>42</v>
      </c>
      <c r="U82" s="2" t="s">
        <v>805</v>
      </c>
      <c r="V82" s="2" t="s">
        <v>44</v>
      </c>
      <c r="W82" s="2" t="s">
        <v>44</v>
      </c>
      <c r="X82" s="2" t="s">
        <v>44</v>
      </c>
      <c r="Y82" s="2" t="s">
        <v>44</v>
      </c>
      <c r="Z82" s="2" t="s">
        <v>44</v>
      </c>
      <c r="AA82" s="2" t="s">
        <v>806</v>
      </c>
      <c r="AB82" s="2" t="s">
        <v>44</v>
      </c>
      <c r="AC82" s="5"/>
    </row>
    <row r="83" spans="1:29" ht="88.5" customHeight="1">
      <c r="A83" s="7">
        <v>46074.435474537</v>
      </c>
      <c r="B83" s="7">
        <v>46074.487094907403</v>
      </c>
      <c r="C83" s="2" t="s">
        <v>76</v>
      </c>
      <c r="D83" s="2"/>
      <c r="E83" s="2" t="s">
        <v>228</v>
      </c>
      <c r="F83" s="8">
        <v>46073</v>
      </c>
      <c r="G83" s="2" t="s">
        <v>807</v>
      </c>
      <c r="H83" s="2" t="s">
        <v>808</v>
      </c>
      <c r="I83" s="2" t="s">
        <v>51</v>
      </c>
      <c r="J83" s="2" t="s">
        <v>34</v>
      </c>
      <c r="K83" s="10" t="s">
        <v>809</v>
      </c>
      <c r="L83" s="2" t="s">
        <v>810</v>
      </c>
      <c r="M83" s="10" t="s">
        <v>811</v>
      </c>
      <c r="N83" s="10" t="s">
        <v>812</v>
      </c>
      <c r="O83" s="2" t="s">
        <v>56</v>
      </c>
      <c r="P83" s="2" t="s">
        <v>40</v>
      </c>
      <c r="Q83" s="2" t="s">
        <v>58</v>
      </c>
      <c r="R83" s="2" t="s">
        <v>42</v>
      </c>
      <c r="S83" s="10" t="s">
        <v>42</v>
      </c>
      <c r="T83" s="10" t="s">
        <v>42</v>
      </c>
      <c r="U83" s="2" t="s">
        <v>813</v>
      </c>
      <c r="V83" s="2" t="s">
        <v>44</v>
      </c>
      <c r="W83" s="2" t="s">
        <v>44</v>
      </c>
      <c r="X83" s="2" t="s">
        <v>44</v>
      </c>
      <c r="Y83" s="2" t="s">
        <v>44</v>
      </c>
      <c r="Z83" s="2" t="s">
        <v>45</v>
      </c>
      <c r="AA83" s="2" t="s">
        <v>814</v>
      </c>
      <c r="AB83" s="2" t="s">
        <v>45</v>
      </c>
      <c r="AC83" s="5" t="s">
        <v>815</v>
      </c>
    </row>
    <row r="84" spans="1:29" ht="119.25" customHeight="1">
      <c r="A84" s="7">
        <v>46078.6340740741</v>
      </c>
      <c r="B84" s="7">
        <v>46078.658761574101</v>
      </c>
      <c r="C84" s="2" t="s">
        <v>76</v>
      </c>
      <c r="D84" s="2"/>
      <c r="E84" s="2" t="s">
        <v>63</v>
      </c>
      <c r="F84" s="8">
        <v>46078</v>
      </c>
      <c r="G84" s="2" t="s">
        <v>816</v>
      </c>
      <c r="H84" s="2" t="s">
        <v>817</v>
      </c>
      <c r="I84" s="2" t="s">
        <v>66</v>
      </c>
      <c r="J84" s="2" t="s">
        <v>34</v>
      </c>
      <c r="K84" s="10" t="s">
        <v>818</v>
      </c>
      <c r="L84" s="2" t="s">
        <v>819</v>
      </c>
      <c r="M84" s="10" t="s">
        <v>820</v>
      </c>
      <c r="N84" s="10" t="s">
        <v>821</v>
      </c>
      <c r="O84" s="2" t="s">
        <v>56</v>
      </c>
      <c r="P84" s="2" t="s">
        <v>71</v>
      </c>
      <c r="Q84" s="2" t="s">
        <v>72</v>
      </c>
      <c r="R84" s="2" t="s">
        <v>42</v>
      </c>
      <c r="S84" s="10" t="s">
        <v>67</v>
      </c>
      <c r="T84" s="10" t="s">
        <v>67</v>
      </c>
      <c r="U84" s="2" t="s">
        <v>822</v>
      </c>
      <c r="V84" s="2" t="s">
        <v>44</v>
      </c>
      <c r="W84" s="2" t="s">
        <v>45</v>
      </c>
      <c r="X84" s="2" t="s">
        <v>45</v>
      </c>
      <c r="Y84" s="2" t="s">
        <v>44</v>
      </c>
      <c r="Z84" s="2" t="s">
        <v>45</v>
      </c>
      <c r="AA84" s="2" t="s">
        <v>823</v>
      </c>
      <c r="AB84" s="2" t="s">
        <v>45</v>
      </c>
      <c r="AC84" s="5" t="s">
        <v>824</v>
      </c>
    </row>
    <row r="85" spans="1:29" s="51" customFormat="1" ht="137.25">
      <c r="A85" s="7">
        <v>46079.487835648099</v>
      </c>
      <c r="B85" s="7">
        <v>46079.649930555599</v>
      </c>
      <c r="C85" s="2" t="s">
        <v>76</v>
      </c>
      <c r="D85" s="2"/>
      <c r="E85" s="2" t="s">
        <v>271</v>
      </c>
      <c r="F85" s="8">
        <v>46079</v>
      </c>
      <c r="G85" s="2" t="s">
        <v>825</v>
      </c>
      <c r="H85" s="2" t="s">
        <v>826</v>
      </c>
      <c r="I85" s="2" t="s">
        <v>51</v>
      </c>
      <c r="J85" s="2" t="s">
        <v>34</v>
      </c>
      <c r="K85" s="10" t="s">
        <v>42</v>
      </c>
      <c r="L85" s="2" t="s">
        <v>827</v>
      </c>
      <c r="M85" s="10" t="s">
        <v>828</v>
      </c>
      <c r="N85" s="10" t="s">
        <v>829</v>
      </c>
      <c r="O85" s="2" t="s">
        <v>39</v>
      </c>
      <c r="P85" s="2" t="s">
        <v>71</v>
      </c>
      <c r="Q85" s="2" t="s">
        <v>41</v>
      </c>
      <c r="R85" s="2" t="s">
        <v>42</v>
      </c>
      <c r="S85" s="10" t="s">
        <v>42</v>
      </c>
      <c r="T85" s="10" t="s">
        <v>42</v>
      </c>
      <c r="U85" s="2" t="s">
        <v>830</v>
      </c>
      <c r="V85" s="2" t="s">
        <v>44</v>
      </c>
      <c r="W85" s="2" t="s">
        <v>44</v>
      </c>
      <c r="X85" s="2" t="s">
        <v>44</v>
      </c>
      <c r="Y85" s="2" t="s">
        <v>44</v>
      </c>
      <c r="Z85" s="2" t="s">
        <v>45</v>
      </c>
      <c r="AA85" s="2" t="s">
        <v>831</v>
      </c>
      <c r="AB85" s="2" t="s">
        <v>45</v>
      </c>
      <c r="AC85" s="5" t="s">
        <v>832</v>
      </c>
    </row>
    <row r="86" spans="1:29" ht="80.25" customHeight="1">
      <c r="A86" s="7">
        <v>46080.5722453704</v>
      </c>
      <c r="B86" s="7">
        <v>46080.716851851903</v>
      </c>
      <c r="C86" s="2" t="s">
        <v>76</v>
      </c>
      <c r="D86" s="2"/>
      <c r="E86" s="2" t="s">
        <v>271</v>
      </c>
      <c r="F86" s="8">
        <v>45937</v>
      </c>
      <c r="G86" s="2" t="s">
        <v>833</v>
      </c>
      <c r="H86" s="2" t="s">
        <v>122</v>
      </c>
      <c r="I86" s="2" t="s">
        <v>284</v>
      </c>
      <c r="J86" s="2" t="s">
        <v>34</v>
      </c>
      <c r="K86" s="10" t="s">
        <v>42</v>
      </c>
      <c r="L86" s="2" t="s">
        <v>834</v>
      </c>
      <c r="M86" s="10" t="s">
        <v>835</v>
      </c>
      <c r="N86" s="10" t="s">
        <v>836</v>
      </c>
      <c r="O86" s="2" t="s">
        <v>56</v>
      </c>
      <c r="P86" s="2" t="s">
        <v>71</v>
      </c>
      <c r="Q86" s="2" t="s">
        <v>41</v>
      </c>
      <c r="R86" s="2" t="s">
        <v>42</v>
      </c>
      <c r="S86" s="10" t="s">
        <v>42</v>
      </c>
      <c r="T86" s="10" t="s">
        <v>42</v>
      </c>
      <c r="U86" s="2" t="s">
        <v>837</v>
      </c>
      <c r="V86" s="2" t="s">
        <v>44</v>
      </c>
      <c r="W86" s="2" t="s">
        <v>44</v>
      </c>
      <c r="X86" s="2" t="s">
        <v>44</v>
      </c>
      <c r="Y86" s="2" t="s">
        <v>44</v>
      </c>
      <c r="Z86" s="2" t="s">
        <v>44</v>
      </c>
      <c r="AA86" s="2" t="s">
        <v>838</v>
      </c>
      <c r="AB86" s="2" t="s">
        <v>45</v>
      </c>
      <c r="AC86" s="5" t="s">
        <v>839</v>
      </c>
    </row>
    <row r="87" spans="1:29" s="51" customFormat="1" ht="89.25" customHeight="1">
      <c r="A87" s="7">
        <v>46083.460972222201</v>
      </c>
      <c r="B87" s="7">
        <v>46083.469710648104</v>
      </c>
      <c r="C87" s="2" t="s">
        <v>76</v>
      </c>
      <c r="D87" s="2"/>
      <c r="E87" s="2" t="s">
        <v>271</v>
      </c>
      <c r="F87" s="8">
        <v>46083</v>
      </c>
      <c r="G87" s="2" t="s">
        <v>840</v>
      </c>
      <c r="H87" s="2" t="s">
        <v>284</v>
      </c>
      <c r="I87" s="2" t="s">
        <v>51</v>
      </c>
      <c r="J87" s="2" t="s">
        <v>34</v>
      </c>
      <c r="K87" s="10" t="s">
        <v>42</v>
      </c>
      <c r="L87" s="2" t="s">
        <v>841</v>
      </c>
      <c r="M87" s="10" t="s">
        <v>828</v>
      </c>
      <c r="N87" s="10" t="s">
        <v>829</v>
      </c>
      <c r="O87" s="2" t="s">
        <v>39</v>
      </c>
      <c r="P87" s="2" t="s">
        <v>57</v>
      </c>
      <c r="Q87" s="2" t="s">
        <v>72</v>
      </c>
      <c r="R87" s="2" t="s">
        <v>127</v>
      </c>
      <c r="S87" s="10" t="s">
        <v>42</v>
      </c>
      <c r="T87" s="10" t="s">
        <v>42</v>
      </c>
      <c r="U87" s="2" t="s">
        <v>842</v>
      </c>
      <c r="V87" s="2" t="s">
        <v>45</v>
      </c>
      <c r="W87" s="2" t="s">
        <v>44</v>
      </c>
      <c r="X87" s="2" t="s">
        <v>45</v>
      </c>
      <c r="Y87" s="2" t="s">
        <v>44</v>
      </c>
      <c r="Z87" s="2" t="s">
        <v>45</v>
      </c>
      <c r="AA87" s="2" t="s">
        <v>843</v>
      </c>
      <c r="AB87" s="2" t="s">
        <v>44</v>
      </c>
      <c r="AC87" s="5"/>
    </row>
    <row r="88" spans="1:29" s="51" customFormat="1" ht="88.5" customHeight="1">
      <c r="A88" s="7">
        <v>46086.303460648203</v>
      </c>
      <c r="B88" s="7">
        <v>46086.369340277801</v>
      </c>
      <c r="C88" s="2" t="s">
        <v>76</v>
      </c>
      <c r="D88" s="2"/>
      <c r="E88" s="2" t="s">
        <v>293</v>
      </c>
      <c r="F88" s="8">
        <v>46085</v>
      </c>
      <c r="G88" s="2" t="s">
        <v>844</v>
      </c>
      <c r="H88" s="2" t="s">
        <v>284</v>
      </c>
      <c r="I88" s="2" t="s">
        <v>51</v>
      </c>
      <c r="J88" s="2" t="s">
        <v>34</v>
      </c>
      <c r="K88" s="10" t="s">
        <v>42</v>
      </c>
      <c r="L88" s="2" t="s">
        <v>845</v>
      </c>
      <c r="M88" s="10" t="s">
        <v>846</v>
      </c>
      <c r="N88" s="10" t="s">
        <v>722</v>
      </c>
      <c r="O88" s="2" t="s">
        <v>39</v>
      </c>
      <c r="P88" s="2" t="s">
        <v>71</v>
      </c>
      <c r="Q88" s="2" t="s">
        <v>41</v>
      </c>
      <c r="R88" s="2" t="s">
        <v>42</v>
      </c>
      <c r="S88" s="10" t="s">
        <v>42</v>
      </c>
      <c r="T88" s="10" t="s">
        <v>42</v>
      </c>
      <c r="U88" s="2" t="s">
        <v>847</v>
      </c>
      <c r="V88" s="2" t="s">
        <v>44</v>
      </c>
      <c r="W88" s="2" t="s">
        <v>44</v>
      </c>
      <c r="X88" s="2" t="s">
        <v>44</v>
      </c>
      <c r="Y88" s="2" t="s">
        <v>44</v>
      </c>
      <c r="Z88" s="2" t="s">
        <v>44</v>
      </c>
      <c r="AA88" s="2" t="s">
        <v>848</v>
      </c>
      <c r="AB88" s="2" t="s">
        <v>45</v>
      </c>
      <c r="AC88" s="5" t="s">
        <v>849</v>
      </c>
    </row>
    <row r="89" spans="1:29" s="51" customFormat="1" ht="118.5" customHeight="1">
      <c r="A89" s="7">
        <v>46086.58</v>
      </c>
      <c r="B89" s="7">
        <v>46086.602384259299</v>
      </c>
      <c r="C89" s="2" t="s">
        <v>76</v>
      </c>
      <c r="D89" s="2"/>
      <c r="E89" s="2" t="s">
        <v>850</v>
      </c>
      <c r="F89" s="8">
        <v>46086</v>
      </c>
      <c r="G89" s="2" t="s">
        <v>851</v>
      </c>
      <c r="H89" s="2" t="s">
        <v>852</v>
      </c>
      <c r="I89" s="2" t="s">
        <v>168</v>
      </c>
      <c r="J89" s="2" t="s">
        <v>34</v>
      </c>
      <c r="K89" s="10" t="s">
        <v>853</v>
      </c>
      <c r="L89" s="2" t="s">
        <v>854</v>
      </c>
      <c r="M89" s="10" t="s">
        <v>855</v>
      </c>
      <c r="N89" s="10" t="s">
        <v>856</v>
      </c>
      <c r="O89" s="2" t="s">
        <v>56</v>
      </c>
      <c r="P89" s="2" t="s">
        <v>71</v>
      </c>
      <c r="Q89" s="2" t="s">
        <v>41</v>
      </c>
      <c r="R89" s="2" t="s">
        <v>42</v>
      </c>
      <c r="S89" s="10" t="s">
        <v>857</v>
      </c>
      <c r="T89" s="10" t="s">
        <v>858</v>
      </c>
      <c r="U89" s="2" t="s">
        <v>859</v>
      </c>
      <c r="V89" s="2" t="s">
        <v>44</v>
      </c>
      <c r="W89" s="2" t="s">
        <v>44</v>
      </c>
      <c r="X89" s="2" t="s">
        <v>45</v>
      </c>
      <c r="Y89" s="2" t="s">
        <v>44</v>
      </c>
      <c r="Z89" s="2" t="s">
        <v>45</v>
      </c>
      <c r="AA89" s="2" t="s">
        <v>860</v>
      </c>
      <c r="AB89" s="2" t="s">
        <v>45</v>
      </c>
      <c r="AC89" s="5" t="s">
        <v>861</v>
      </c>
    </row>
    <row r="90" spans="1:29" ht="113.25" customHeight="1">
      <c r="A90" s="7">
        <v>46091.539664351803</v>
      </c>
      <c r="B90" s="7">
        <v>46091.549548611103</v>
      </c>
      <c r="C90" s="2" t="s">
        <v>76</v>
      </c>
      <c r="D90" s="2"/>
      <c r="E90" s="2" t="s">
        <v>228</v>
      </c>
      <c r="F90" s="8">
        <v>46085</v>
      </c>
      <c r="G90" s="2" t="s">
        <v>862</v>
      </c>
      <c r="H90" s="2" t="s">
        <v>863</v>
      </c>
      <c r="I90" s="2" t="s">
        <v>51</v>
      </c>
      <c r="J90" s="2" t="s">
        <v>34</v>
      </c>
      <c r="K90" s="10" t="s">
        <v>864</v>
      </c>
      <c r="L90" s="2" t="s">
        <v>865</v>
      </c>
      <c r="M90" s="10" t="s">
        <v>866</v>
      </c>
      <c r="N90" s="10" t="s">
        <v>867</v>
      </c>
      <c r="O90" s="2" t="s">
        <v>56</v>
      </c>
      <c r="P90" s="2" t="s">
        <v>71</v>
      </c>
      <c r="Q90" s="2" t="s">
        <v>41</v>
      </c>
      <c r="R90" s="2" t="s">
        <v>42</v>
      </c>
      <c r="S90" s="10" t="s">
        <v>42</v>
      </c>
      <c r="T90" s="10" t="s">
        <v>42</v>
      </c>
      <c r="U90" s="2" t="s">
        <v>868</v>
      </c>
      <c r="V90" s="2" t="s">
        <v>44</v>
      </c>
      <c r="W90" s="2" t="s">
        <v>44</v>
      </c>
      <c r="X90" s="2" t="s">
        <v>44</v>
      </c>
      <c r="Y90" s="2" t="s">
        <v>44</v>
      </c>
      <c r="Z90" s="2" t="s">
        <v>44</v>
      </c>
      <c r="AA90" s="2" t="s">
        <v>869</v>
      </c>
      <c r="AB90" s="2" t="s">
        <v>45</v>
      </c>
      <c r="AC90" s="5" t="s">
        <v>870</v>
      </c>
    </row>
    <row r="91" spans="1:29" ht="78.75" customHeight="1">
      <c r="A91" s="7">
        <v>46092.589594907397</v>
      </c>
      <c r="B91" s="7">
        <v>46092.6269328704</v>
      </c>
      <c r="C91" s="2" t="s">
        <v>76</v>
      </c>
      <c r="D91" s="2"/>
      <c r="E91" s="2" t="s">
        <v>271</v>
      </c>
      <c r="F91" s="8">
        <v>46092</v>
      </c>
      <c r="G91" s="2" t="s">
        <v>871</v>
      </c>
      <c r="H91" s="2" t="s">
        <v>872</v>
      </c>
      <c r="I91" s="2" t="s">
        <v>157</v>
      </c>
      <c r="J91" s="2" t="s">
        <v>34</v>
      </c>
      <c r="K91" s="10" t="s">
        <v>42</v>
      </c>
      <c r="L91" s="2" t="s">
        <v>873</v>
      </c>
      <c r="M91" s="10" t="s">
        <v>365</v>
      </c>
      <c r="N91" s="10" t="s">
        <v>366</v>
      </c>
      <c r="O91" s="2" t="s">
        <v>39</v>
      </c>
      <c r="P91" s="2" t="s">
        <v>57</v>
      </c>
      <c r="Q91" s="2" t="s">
        <v>41</v>
      </c>
      <c r="R91" s="2" t="s">
        <v>42</v>
      </c>
      <c r="S91" s="10" t="s">
        <v>42</v>
      </c>
      <c r="T91" s="10" t="s">
        <v>42</v>
      </c>
      <c r="U91" s="2" t="s">
        <v>874</v>
      </c>
      <c r="V91" s="2" t="s">
        <v>44</v>
      </c>
      <c r="W91" s="2" t="s">
        <v>44</v>
      </c>
      <c r="X91" s="2" t="s">
        <v>44</v>
      </c>
      <c r="Y91" s="2" t="s">
        <v>44</v>
      </c>
      <c r="Z91" s="2" t="s">
        <v>45</v>
      </c>
      <c r="AA91" s="2" t="s">
        <v>875</v>
      </c>
      <c r="AB91" s="2" t="s">
        <v>44</v>
      </c>
      <c r="AC91" s="5"/>
    </row>
    <row r="92" spans="1:29" ht="79.5" customHeight="1">
      <c r="A92" s="7">
        <v>46092.6350578704</v>
      </c>
      <c r="B92" s="7">
        <v>46092.651412036997</v>
      </c>
      <c r="C92" s="2" t="s">
        <v>76</v>
      </c>
      <c r="D92" s="2"/>
      <c r="E92" s="2" t="s">
        <v>271</v>
      </c>
      <c r="F92" s="8">
        <v>46091</v>
      </c>
      <c r="G92" s="2" t="s">
        <v>876</v>
      </c>
      <c r="H92" s="2" t="s">
        <v>872</v>
      </c>
      <c r="I92" s="2" t="s">
        <v>157</v>
      </c>
      <c r="J92" s="2" t="s">
        <v>34</v>
      </c>
      <c r="K92" s="10" t="s">
        <v>88</v>
      </c>
      <c r="L92" s="2" t="s">
        <v>877</v>
      </c>
      <c r="M92" s="10" t="s">
        <v>878</v>
      </c>
      <c r="N92" s="10" t="s">
        <v>879</v>
      </c>
      <c r="O92" s="2" t="s">
        <v>39</v>
      </c>
      <c r="P92" s="2" t="s">
        <v>57</v>
      </c>
      <c r="Q92" s="2" t="s">
        <v>41</v>
      </c>
      <c r="R92" s="2" t="s">
        <v>42</v>
      </c>
      <c r="S92" s="10" t="s">
        <v>88</v>
      </c>
      <c r="T92" s="10" t="s">
        <v>88</v>
      </c>
      <c r="U92" s="2" t="s">
        <v>880</v>
      </c>
      <c r="V92" s="2" t="s">
        <v>44</v>
      </c>
      <c r="W92" s="2" t="s">
        <v>44</v>
      </c>
      <c r="X92" s="2" t="s">
        <v>44</v>
      </c>
      <c r="Y92" s="2" t="s">
        <v>44</v>
      </c>
      <c r="Z92" s="2" t="s">
        <v>45</v>
      </c>
      <c r="AA92" s="2" t="s">
        <v>881</v>
      </c>
      <c r="AB92" s="2" t="s">
        <v>44</v>
      </c>
      <c r="AC92" s="5"/>
    </row>
    <row r="93" spans="1:29" ht="141" customHeight="1">
      <c r="A93" s="7">
        <v>46098.351307870398</v>
      </c>
      <c r="B93" s="7">
        <v>46098.3514699074</v>
      </c>
      <c r="C93" s="2" t="s">
        <v>76</v>
      </c>
      <c r="D93" s="2"/>
      <c r="E93" s="2" t="s">
        <v>293</v>
      </c>
      <c r="F93" s="8">
        <v>46095</v>
      </c>
      <c r="G93" s="2" t="s">
        <v>882</v>
      </c>
      <c r="H93" s="2" t="s">
        <v>883</v>
      </c>
      <c r="I93" s="2" t="s">
        <v>42</v>
      </c>
      <c r="J93" s="2" t="s">
        <v>134</v>
      </c>
      <c r="K93" s="10" t="s">
        <v>42</v>
      </c>
      <c r="L93" s="2" t="s">
        <v>884</v>
      </c>
      <c r="M93" s="10" t="s">
        <v>885</v>
      </c>
      <c r="N93" s="10" t="s">
        <v>886</v>
      </c>
      <c r="O93" s="2" t="s">
        <v>39</v>
      </c>
      <c r="P93" s="2" t="s">
        <v>71</v>
      </c>
      <c r="Q93" s="2" t="s">
        <v>58</v>
      </c>
      <c r="R93" s="2" t="s">
        <v>42</v>
      </c>
      <c r="S93" s="10" t="s">
        <v>42</v>
      </c>
      <c r="T93" s="10" t="s">
        <v>42</v>
      </c>
      <c r="U93" s="2" t="s">
        <v>887</v>
      </c>
      <c r="V93" s="2" t="s">
        <v>44</v>
      </c>
      <c r="W93" s="2" t="s">
        <v>44</v>
      </c>
      <c r="X93" s="2" t="s">
        <v>44</v>
      </c>
      <c r="Y93" s="2" t="s">
        <v>44</v>
      </c>
      <c r="Z93" s="2" t="s">
        <v>44</v>
      </c>
      <c r="AA93" s="2" t="s">
        <v>888</v>
      </c>
      <c r="AB93" s="2" t="s">
        <v>45</v>
      </c>
      <c r="AC93" s="5" t="s">
        <v>889</v>
      </c>
    </row>
    <row r="94" spans="1:29" ht="106.5">
      <c r="A94" s="7">
        <v>46100.495405092603</v>
      </c>
      <c r="B94" s="7">
        <v>46100.4994560185</v>
      </c>
      <c r="C94" s="2" t="s">
        <v>76</v>
      </c>
      <c r="D94" s="2"/>
      <c r="E94" s="2" t="s">
        <v>271</v>
      </c>
      <c r="F94" s="8">
        <v>46097</v>
      </c>
      <c r="G94" s="2" t="s">
        <v>890</v>
      </c>
      <c r="H94" s="2" t="s">
        <v>284</v>
      </c>
      <c r="I94" s="2" t="s">
        <v>42</v>
      </c>
      <c r="J94" s="2" t="s">
        <v>134</v>
      </c>
      <c r="K94" s="10" t="s">
        <v>42</v>
      </c>
      <c r="L94" s="2" t="s">
        <v>891</v>
      </c>
      <c r="M94" s="10" t="s">
        <v>892</v>
      </c>
      <c r="N94" s="10" t="s">
        <v>893</v>
      </c>
      <c r="O94" s="2" t="s">
        <v>39</v>
      </c>
      <c r="P94" s="2" t="s">
        <v>71</v>
      </c>
      <c r="Q94" s="2" t="s">
        <v>58</v>
      </c>
      <c r="R94" s="2" t="s">
        <v>42</v>
      </c>
      <c r="S94" s="10" t="s">
        <v>42</v>
      </c>
      <c r="T94" s="10" t="s">
        <v>42</v>
      </c>
      <c r="U94" s="2" t="s">
        <v>894</v>
      </c>
      <c r="V94" s="2" t="s">
        <v>44</v>
      </c>
      <c r="W94" s="2" t="s">
        <v>44</v>
      </c>
      <c r="X94" s="2" t="s">
        <v>44</v>
      </c>
      <c r="Y94" s="2" t="s">
        <v>44</v>
      </c>
      <c r="Z94" s="2" t="s">
        <v>44</v>
      </c>
      <c r="AA94" s="2" t="s">
        <v>895</v>
      </c>
      <c r="AB94" s="2" t="s">
        <v>45</v>
      </c>
      <c r="AC94" s="5"/>
    </row>
    <row r="95" spans="1:29" ht="91.5">
      <c r="A95" s="7">
        <v>46100.559594907398</v>
      </c>
      <c r="B95" s="7">
        <v>46100.566261574102</v>
      </c>
      <c r="C95" s="2" t="s">
        <v>76</v>
      </c>
      <c r="D95" s="2"/>
      <c r="E95" s="2" t="s">
        <v>228</v>
      </c>
      <c r="F95" s="8">
        <v>46097</v>
      </c>
      <c r="G95" s="2" t="s">
        <v>896</v>
      </c>
      <c r="H95" s="2" t="s">
        <v>897</v>
      </c>
      <c r="I95" s="2" t="s">
        <v>51</v>
      </c>
      <c r="J95" s="2" t="s">
        <v>134</v>
      </c>
      <c r="K95" s="10" t="s">
        <v>42</v>
      </c>
      <c r="L95" s="2" t="s">
        <v>898</v>
      </c>
      <c r="M95" s="10" t="s">
        <v>899</v>
      </c>
      <c r="N95" s="10" t="s">
        <v>900</v>
      </c>
      <c r="O95" s="2" t="s">
        <v>139</v>
      </c>
      <c r="P95" s="2" t="s">
        <v>40</v>
      </c>
      <c r="Q95" s="2" t="s">
        <v>58</v>
      </c>
      <c r="R95" s="2" t="s">
        <v>42</v>
      </c>
      <c r="S95" s="10" t="s">
        <v>42</v>
      </c>
      <c r="T95" s="10" t="s">
        <v>42</v>
      </c>
      <c r="U95" s="2" t="s">
        <v>901</v>
      </c>
      <c r="V95" s="2" t="s">
        <v>44</v>
      </c>
      <c r="W95" s="2" t="s">
        <v>45</v>
      </c>
      <c r="X95" s="2" t="s">
        <v>44</v>
      </c>
      <c r="Y95" s="2" t="s">
        <v>44</v>
      </c>
      <c r="Z95" s="2" t="s">
        <v>44</v>
      </c>
      <c r="AA95" s="2" t="s">
        <v>42</v>
      </c>
      <c r="AB95" s="2" t="s">
        <v>45</v>
      </c>
      <c r="AC95" s="6" t="s">
        <v>902</v>
      </c>
    </row>
    <row r="96" spans="1:29" ht="170.25" customHeight="1">
      <c r="A96" s="7">
        <v>46101.4227314815</v>
      </c>
      <c r="B96" s="7">
        <v>46101.438634259299</v>
      </c>
      <c r="C96" s="2" t="s">
        <v>76</v>
      </c>
      <c r="D96" s="2"/>
      <c r="E96" s="2" t="s">
        <v>293</v>
      </c>
      <c r="F96" s="8">
        <v>46101</v>
      </c>
      <c r="G96" s="2" t="s">
        <v>665</v>
      </c>
      <c r="H96" s="2" t="s">
        <v>284</v>
      </c>
      <c r="I96" s="2" t="s">
        <v>66</v>
      </c>
      <c r="J96" s="2" t="s">
        <v>34</v>
      </c>
      <c r="K96" s="10" t="s">
        <v>42</v>
      </c>
      <c r="L96" s="2" t="s">
        <v>903</v>
      </c>
      <c r="M96" s="10" t="s">
        <v>904</v>
      </c>
      <c r="N96" s="10" t="s">
        <v>905</v>
      </c>
      <c r="O96" s="2" t="s">
        <v>39</v>
      </c>
      <c r="P96" s="2" t="s">
        <v>71</v>
      </c>
      <c r="Q96" s="2" t="s">
        <v>58</v>
      </c>
      <c r="R96" s="2" t="s">
        <v>42</v>
      </c>
      <c r="S96" s="10" t="s">
        <v>42</v>
      </c>
      <c r="T96" s="10" t="s">
        <v>42</v>
      </c>
      <c r="U96" s="2" t="s">
        <v>906</v>
      </c>
      <c r="V96" s="2" t="s">
        <v>44</v>
      </c>
      <c r="W96" s="2" t="s">
        <v>44</v>
      </c>
      <c r="X96" s="2" t="s">
        <v>44</v>
      </c>
      <c r="Y96" s="2" t="s">
        <v>44</v>
      </c>
      <c r="Z96" s="2" t="s">
        <v>45</v>
      </c>
      <c r="AA96" s="2" t="s">
        <v>907</v>
      </c>
      <c r="AB96" s="2" t="s">
        <v>45</v>
      </c>
      <c r="AC96" s="5" t="s">
        <v>908</v>
      </c>
    </row>
    <row r="97" spans="1:29" ht="169.5" customHeight="1">
      <c r="A97" s="7">
        <v>46105.635532407403</v>
      </c>
      <c r="B97" s="7">
        <v>46105.641516203701</v>
      </c>
      <c r="C97" s="2" t="s">
        <v>76</v>
      </c>
      <c r="D97" s="2"/>
      <c r="E97" s="2" t="s">
        <v>228</v>
      </c>
      <c r="F97" s="8">
        <v>46103</v>
      </c>
      <c r="G97" s="2" t="s">
        <v>909</v>
      </c>
      <c r="H97" s="2" t="s">
        <v>910</v>
      </c>
      <c r="I97" s="2" t="s">
        <v>51</v>
      </c>
      <c r="J97" s="2" t="s">
        <v>134</v>
      </c>
      <c r="K97" s="10" t="s">
        <v>42</v>
      </c>
      <c r="L97" s="2" t="s">
        <v>911</v>
      </c>
      <c r="M97" s="10" t="s">
        <v>912</v>
      </c>
      <c r="N97" s="10" t="s">
        <v>913</v>
      </c>
      <c r="O97" s="2" t="s">
        <v>139</v>
      </c>
      <c r="P97" s="2" t="s">
        <v>71</v>
      </c>
      <c r="Q97" s="2" t="s">
        <v>41</v>
      </c>
      <c r="R97" s="2" t="s">
        <v>59</v>
      </c>
      <c r="S97" s="10" t="s">
        <v>909</v>
      </c>
      <c r="T97" s="10" t="s">
        <v>42</v>
      </c>
      <c r="U97" s="2" t="s">
        <v>914</v>
      </c>
      <c r="V97" s="2" t="s">
        <v>44</v>
      </c>
      <c r="W97" s="2" t="s">
        <v>44</v>
      </c>
      <c r="X97" s="2" t="s">
        <v>44</v>
      </c>
      <c r="Y97" s="2" t="s">
        <v>44</v>
      </c>
      <c r="Z97" s="2" t="s">
        <v>44</v>
      </c>
      <c r="AA97" s="2" t="s">
        <v>915</v>
      </c>
      <c r="AB97" s="2" t="s">
        <v>45</v>
      </c>
      <c r="AC97" s="6" t="s">
        <v>916</v>
      </c>
    </row>
    <row r="98" spans="1:29" ht="121.5">
      <c r="A98" s="7">
        <v>46112.521226851903</v>
      </c>
      <c r="B98" s="7">
        <v>46112.648553240702</v>
      </c>
      <c r="C98" s="2" t="s">
        <v>76</v>
      </c>
      <c r="D98" s="2"/>
      <c r="E98" s="2" t="s">
        <v>271</v>
      </c>
      <c r="F98" s="8">
        <v>46112</v>
      </c>
      <c r="G98" s="2" t="s">
        <v>917</v>
      </c>
      <c r="H98" s="2" t="s">
        <v>918</v>
      </c>
      <c r="I98" s="2" t="s">
        <v>157</v>
      </c>
      <c r="J98" s="2" t="s">
        <v>34</v>
      </c>
      <c r="K98" s="10" t="s">
        <v>42</v>
      </c>
      <c r="L98" s="2" t="s">
        <v>919</v>
      </c>
      <c r="M98" s="10" t="s">
        <v>920</v>
      </c>
      <c r="N98" s="10" t="s">
        <v>921</v>
      </c>
      <c r="O98" s="2" t="s">
        <v>56</v>
      </c>
      <c r="P98" s="2" t="s">
        <v>71</v>
      </c>
      <c r="Q98" s="2" t="s">
        <v>41</v>
      </c>
      <c r="R98" s="2" t="s">
        <v>42</v>
      </c>
      <c r="S98" s="10" t="s">
        <v>88</v>
      </c>
      <c r="T98" s="10" t="s">
        <v>42</v>
      </c>
      <c r="U98" s="2" t="s">
        <v>922</v>
      </c>
      <c r="V98" s="2" t="s">
        <v>44</v>
      </c>
      <c r="W98" s="2" t="s">
        <v>44</v>
      </c>
      <c r="X98" s="2" t="s">
        <v>45</v>
      </c>
      <c r="Y98" s="2" t="s">
        <v>44</v>
      </c>
      <c r="Z98" s="2" t="s">
        <v>45</v>
      </c>
      <c r="AA98" s="2" t="s">
        <v>923</v>
      </c>
      <c r="AB98" s="2" t="s">
        <v>45</v>
      </c>
      <c r="AC98" s="5" t="s">
        <v>924</v>
      </c>
    </row>
    <row r="99" spans="1:29" ht="124.5" customHeight="1">
      <c r="A99" s="7">
        <v>46114.424814814804</v>
      </c>
      <c r="B99" s="7">
        <v>46114.430879629603</v>
      </c>
      <c r="C99" s="2" t="s">
        <v>76</v>
      </c>
      <c r="D99" s="2"/>
      <c r="E99" s="2" t="s">
        <v>120</v>
      </c>
      <c r="F99" s="8">
        <v>46113</v>
      </c>
      <c r="G99" s="2" t="s">
        <v>925</v>
      </c>
      <c r="H99" s="2" t="s">
        <v>926</v>
      </c>
      <c r="I99" s="2" t="s">
        <v>66</v>
      </c>
      <c r="J99" s="2" t="s">
        <v>34</v>
      </c>
      <c r="K99" s="10" t="s">
        <v>927</v>
      </c>
      <c r="L99" s="2" t="s">
        <v>928</v>
      </c>
      <c r="M99" s="10" t="s">
        <v>373</v>
      </c>
      <c r="N99" s="10" t="s">
        <v>374</v>
      </c>
      <c r="O99" s="2" t="s">
        <v>56</v>
      </c>
      <c r="P99" s="2" t="s">
        <v>40</v>
      </c>
      <c r="Q99" s="2" t="s">
        <v>58</v>
      </c>
      <c r="R99" s="2" t="s">
        <v>42</v>
      </c>
      <c r="S99" s="10" t="s">
        <v>42</v>
      </c>
      <c r="T99" s="10" t="s">
        <v>42</v>
      </c>
      <c r="U99" s="2" t="s">
        <v>929</v>
      </c>
      <c r="V99" s="2" t="s">
        <v>44</v>
      </c>
      <c r="W99" s="2" t="s">
        <v>44</v>
      </c>
      <c r="X99" s="2" t="s">
        <v>44</v>
      </c>
      <c r="Y99" s="2" t="s">
        <v>44</v>
      </c>
      <c r="Z99" s="2" t="s">
        <v>45</v>
      </c>
      <c r="AA99" s="2" t="s">
        <v>930</v>
      </c>
      <c r="AB99" s="2" t="s">
        <v>44</v>
      </c>
      <c r="AC99" s="5"/>
    </row>
    <row r="100" spans="1:29" ht="103.5" customHeight="1">
      <c r="A100" s="7">
        <v>46119.4602199074</v>
      </c>
      <c r="B100" s="7">
        <v>46119.577916666698</v>
      </c>
      <c r="C100" s="2" t="s">
        <v>76</v>
      </c>
      <c r="D100" s="2"/>
      <c r="E100" s="2" t="s">
        <v>271</v>
      </c>
      <c r="F100" s="8">
        <v>46113</v>
      </c>
      <c r="G100" s="2" t="s">
        <v>931</v>
      </c>
      <c r="H100" s="2" t="s">
        <v>932</v>
      </c>
      <c r="I100" s="2" t="s">
        <v>66</v>
      </c>
      <c r="J100" s="2" t="s">
        <v>134</v>
      </c>
      <c r="K100" s="10" t="s">
        <v>42</v>
      </c>
      <c r="L100" s="2" t="s">
        <v>933</v>
      </c>
      <c r="M100" s="10" t="s">
        <v>820</v>
      </c>
      <c r="N100" s="10" t="s">
        <v>821</v>
      </c>
      <c r="O100" s="2" t="s">
        <v>39</v>
      </c>
      <c r="P100" s="2" t="s">
        <v>71</v>
      </c>
      <c r="Q100" s="2" t="s">
        <v>58</v>
      </c>
      <c r="R100" s="2" t="s">
        <v>42</v>
      </c>
      <c r="S100" s="10" t="s">
        <v>42</v>
      </c>
      <c r="T100" s="10" t="s">
        <v>42</v>
      </c>
      <c r="U100" s="2" t="s">
        <v>934</v>
      </c>
      <c r="V100" s="2" t="s">
        <v>44</v>
      </c>
      <c r="W100" s="2" t="s">
        <v>44</v>
      </c>
      <c r="X100" s="2" t="s">
        <v>45</v>
      </c>
      <c r="Y100" s="2" t="s">
        <v>44</v>
      </c>
      <c r="Z100" s="2" t="s">
        <v>44</v>
      </c>
      <c r="AA100" s="2" t="s">
        <v>935</v>
      </c>
      <c r="AB100" s="2" t="s">
        <v>45</v>
      </c>
      <c r="AC100" s="5" t="s">
        <v>936</v>
      </c>
    </row>
    <row r="101" spans="1:29" ht="105" customHeight="1">
      <c r="A101" s="7">
        <v>46122.331446759301</v>
      </c>
      <c r="B101" s="7">
        <v>46122.335590277798</v>
      </c>
      <c r="C101" s="2" t="s">
        <v>76</v>
      </c>
      <c r="D101" s="2"/>
      <c r="E101" s="2" t="s">
        <v>120</v>
      </c>
      <c r="F101" s="8">
        <v>46120</v>
      </c>
      <c r="G101" s="2" t="s">
        <v>937</v>
      </c>
      <c r="H101" s="2" t="s">
        <v>727</v>
      </c>
      <c r="I101" s="2" t="s">
        <v>363</v>
      </c>
      <c r="J101" s="2" t="s">
        <v>34</v>
      </c>
      <c r="K101" s="10" t="s">
        <v>938</v>
      </c>
      <c r="L101" s="2" t="s">
        <v>728</v>
      </c>
      <c r="M101" s="10" t="s">
        <v>729</v>
      </c>
      <c r="N101" s="10" t="s">
        <v>730</v>
      </c>
      <c r="O101" s="2" t="s">
        <v>56</v>
      </c>
      <c r="P101" s="2" t="s">
        <v>71</v>
      </c>
      <c r="Q101" s="2" t="s">
        <v>41</v>
      </c>
      <c r="R101" s="2" t="s">
        <v>42</v>
      </c>
      <c r="S101" s="10" t="s">
        <v>42</v>
      </c>
      <c r="T101" s="10" t="s">
        <v>42</v>
      </c>
      <c r="U101" s="2" t="s">
        <v>939</v>
      </c>
      <c r="V101" s="2" t="s">
        <v>44</v>
      </c>
      <c r="W101" s="2" t="s">
        <v>44</v>
      </c>
      <c r="X101" s="2" t="s">
        <v>44</v>
      </c>
      <c r="Y101" s="2" t="s">
        <v>44</v>
      </c>
      <c r="Z101" s="2" t="s">
        <v>44</v>
      </c>
      <c r="AA101" s="2" t="s">
        <v>940</v>
      </c>
      <c r="AB101" s="2" t="s">
        <v>45</v>
      </c>
      <c r="AC101" s="5" t="s">
        <v>941</v>
      </c>
    </row>
    <row r="102" spans="1:29" ht="98.25" customHeight="1">
      <c r="A102" s="7">
        <v>46125.502766203703</v>
      </c>
      <c r="B102" s="7">
        <v>46125.5305324074</v>
      </c>
      <c r="C102" s="2" t="s">
        <v>76</v>
      </c>
      <c r="D102" s="2"/>
      <c r="E102" s="2" t="s">
        <v>942</v>
      </c>
      <c r="F102" s="8">
        <v>46124</v>
      </c>
      <c r="G102" s="2" t="s">
        <v>943</v>
      </c>
      <c r="H102" s="2" t="s">
        <v>944</v>
      </c>
      <c r="I102" s="2" t="s">
        <v>274</v>
      </c>
      <c r="J102" s="2" t="s">
        <v>34</v>
      </c>
      <c r="K102" s="10" t="s">
        <v>945</v>
      </c>
      <c r="L102" s="2" t="s">
        <v>946</v>
      </c>
      <c r="M102" s="10" t="s">
        <v>947</v>
      </c>
      <c r="N102" s="10" t="s">
        <v>948</v>
      </c>
      <c r="O102" s="2" t="s">
        <v>56</v>
      </c>
      <c r="P102" s="2" t="s">
        <v>71</v>
      </c>
      <c r="Q102" s="2" t="s">
        <v>58</v>
      </c>
      <c r="R102" s="2" t="s">
        <v>42</v>
      </c>
      <c r="S102" s="10" t="s">
        <v>949</v>
      </c>
      <c r="T102" s="10" t="s">
        <v>950</v>
      </c>
      <c r="U102" s="2" t="s">
        <v>951</v>
      </c>
      <c r="V102" s="2" t="s">
        <v>45</v>
      </c>
      <c r="W102" s="2" t="s">
        <v>45</v>
      </c>
      <c r="X102" s="2" t="s">
        <v>45</v>
      </c>
      <c r="Y102" s="2" t="s">
        <v>44</v>
      </c>
      <c r="Z102" s="2" t="s">
        <v>44</v>
      </c>
      <c r="AA102" s="2" t="s">
        <v>952</v>
      </c>
      <c r="AB102" s="2" t="s">
        <v>45</v>
      </c>
      <c r="AC102" s="5" t="s">
        <v>953</v>
      </c>
    </row>
    <row r="103" spans="1:29" ht="89.25" customHeight="1">
      <c r="A103" s="7">
        <v>46127.602881944404</v>
      </c>
      <c r="B103" s="7">
        <v>46127.607881944401</v>
      </c>
      <c r="C103" s="2" t="s">
        <v>76</v>
      </c>
      <c r="D103" s="2"/>
      <c r="E103" s="2" t="s">
        <v>610</v>
      </c>
      <c r="F103" s="8">
        <v>46127</v>
      </c>
      <c r="G103" s="2" t="s">
        <v>954</v>
      </c>
      <c r="H103" s="2" t="s">
        <v>955</v>
      </c>
      <c r="I103" s="2" t="s">
        <v>557</v>
      </c>
      <c r="J103" s="2" t="s">
        <v>34</v>
      </c>
      <c r="K103" s="10" t="s">
        <v>956</v>
      </c>
      <c r="L103" s="2" t="s">
        <v>957</v>
      </c>
      <c r="M103" s="10" t="s">
        <v>958</v>
      </c>
      <c r="N103" s="10" t="s">
        <v>958</v>
      </c>
      <c r="O103" s="2" t="s">
        <v>56</v>
      </c>
      <c r="P103" s="2" t="s">
        <v>71</v>
      </c>
      <c r="Q103" s="2" t="s">
        <v>41</v>
      </c>
      <c r="R103" s="2" t="s">
        <v>42</v>
      </c>
      <c r="S103" s="10" t="s">
        <v>42</v>
      </c>
      <c r="T103" s="10" t="s">
        <v>42</v>
      </c>
      <c r="U103" s="2" t="s">
        <v>959</v>
      </c>
      <c r="V103" s="2" t="s">
        <v>45</v>
      </c>
      <c r="W103" s="2" t="s">
        <v>45</v>
      </c>
      <c r="X103" s="2" t="s">
        <v>45</v>
      </c>
      <c r="Y103" s="2" t="s">
        <v>45</v>
      </c>
      <c r="Z103" s="2" t="s">
        <v>45</v>
      </c>
      <c r="AA103" s="2" t="s">
        <v>960</v>
      </c>
      <c r="AB103" s="2" t="s">
        <v>45</v>
      </c>
      <c r="AC103" s="5"/>
    </row>
    <row r="104" spans="1:29" ht="81" customHeight="1">
      <c r="A104" s="7">
        <v>46132.579988425903</v>
      </c>
      <c r="B104" s="7">
        <v>46132.666122685201</v>
      </c>
      <c r="C104" s="2" t="s">
        <v>76</v>
      </c>
      <c r="D104" s="2"/>
      <c r="E104" s="2" t="s">
        <v>228</v>
      </c>
      <c r="F104" s="8">
        <v>46131</v>
      </c>
      <c r="G104" s="2" t="s">
        <v>961</v>
      </c>
      <c r="H104" s="2" t="s">
        <v>962</v>
      </c>
      <c r="I104" s="2" t="s">
        <v>51</v>
      </c>
      <c r="J104" s="2" t="s">
        <v>134</v>
      </c>
      <c r="K104" s="10" t="s">
        <v>42</v>
      </c>
      <c r="L104" s="2" t="s">
        <v>963</v>
      </c>
      <c r="M104" s="10" t="s">
        <v>964</v>
      </c>
      <c r="N104" s="10" t="s">
        <v>965</v>
      </c>
      <c r="O104" s="2" t="s">
        <v>139</v>
      </c>
      <c r="P104" s="2" t="s">
        <v>57</v>
      </c>
      <c r="Q104" s="2" t="s">
        <v>41</v>
      </c>
      <c r="R104" s="2" t="s">
        <v>59</v>
      </c>
      <c r="S104" s="10" t="s">
        <v>966</v>
      </c>
      <c r="T104" s="10" t="s">
        <v>42</v>
      </c>
      <c r="U104" s="2" t="s">
        <v>967</v>
      </c>
      <c r="V104" s="2" t="s">
        <v>44</v>
      </c>
      <c r="W104" s="2" t="s">
        <v>44</v>
      </c>
      <c r="X104" s="2" t="s">
        <v>44</v>
      </c>
      <c r="Y104" s="2" t="s">
        <v>44</v>
      </c>
      <c r="Z104" s="2" t="s">
        <v>44</v>
      </c>
      <c r="AA104" s="2" t="s">
        <v>968</v>
      </c>
      <c r="AB104" s="2" t="s">
        <v>45</v>
      </c>
      <c r="AC104" s="6" t="s">
        <v>969</v>
      </c>
    </row>
    <row r="105" spans="1:29" ht="95.25" customHeight="1">
      <c r="A105" s="7">
        <v>46133.653518518498</v>
      </c>
      <c r="B105" s="7">
        <v>46133.657453703701</v>
      </c>
      <c r="C105" s="2" t="s">
        <v>76</v>
      </c>
      <c r="D105" s="2"/>
      <c r="E105" s="2" t="s">
        <v>610</v>
      </c>
      <c r="F105" s="8">
        <v>46133</v>
      </c>
      <c r="G105" s="2" t="s">
        <v>970</v>
      </c>
      <c r="H105" s="2" t="s">
        <v>156</v>
      </c>
      <c r="I105" s="2" t="s">
        <v>557</v>
      </c>
      <c r="J105" s="2" t="s">
        <v>34</v>
      </c>
      <c r="K105" s="10" t="s">
        <v>956</v>
      </c>
      <c r="L105" s="2" t="s">
        <v>971</v>
      </c>
      <c r="M105" s="10" t="s">
        <v>392</v>
      </c>
      <c r="N105" s="10" t="s">
        <v>972</v>
      </c>
      <c r="O105" s="2" t="s">
        <v>56</v>
      </c>
      <c r="P105" s="2" t="s">
        <v>71</v>
      </c>
      <c r="Q105" s="2" t="s">
        <v>41</v>
      </c>
      <c r="R105" s="2" t="s">
        <v>42</v>
      </c>
      <c r="S105" s="10" t="s">
        <v>42</v>
      </c>
      <c r="T105" s="10" t="s">
        <v>42</v>
      </c>
      <c r="U105" s="2" t="s">
        <v>973</v>
      </c>
      <c r="V105" s="2" t="s">
        <v>45</v>
      </c>
      <c r="W105" s="2" t="s">
        <v>45</v>
      </c>
      <c r="X105" s="2" t="s">
        <v>45</v>
      </c>
      <c r="Y105" s="2" t="s">
        <v>45</v>
      </c>
      <c r="Z105" s="2" t="s">
        <v>45</v>
      </c>
      <c r="AA105" s="2" t="s">
        <v>42</v>
      </c>
      <c r="AB105" s="2" t="s">
        <v>45</v>
      </c>
      <c r="AC105" s="5"/>
    </row>
    <row r="106" spans="1:29" ht="152.25">
      <c r="A106" s="7">
        <v>46147.682152777801</v>
      </c>
      <c r="B106" s="7">
        <v>46147.711412037002</v>
      </c>
      <c r="C106" s="2" t="s">
        <v>76</v>
      </c>
      <c r="D106" s="2"/>
      <c r="E106" s="2" t="s">
        <v>293</v>
      </c>
      <c r="F106" s="8">
        <v>46147</v>
      </c>
      <c r="G106" s="2" t="s">
        <v>974</v>
      </c>
      <c r="H106" s="2" t="s">
        <v>975</v>
      </c>
      <c r="I106" s="2" t="s">
        <v>51</v>
      </c>
      <c r="J106" s="2" t="s">
        <v>134</v>
      </c>
      <c r="K106" s="10" t="s">
        <v>42</v>
      </c>
      <c r="L106" s="2" t="s">
        <v>976</v>
      </c>
      <c r="M106" s="10" t="s">
        <v>357</v>
      </c>
      <c r="N106" s="10" t="s">
        <v>358</v>
      </c>
      <c r="O106" s="2" t="s">
        <v>139</v>
      </c>
      <c r="P106" s="2" t="s">
        <v>40</v>
      </c>
      <c r="Q106" s="2" t="s">
        <v>41</v>
      </c>
      <c r="R106" s="2" t="s">
        <v>42</v>
      </c>
      <c r="S106" s="10" t="s">
        <v>42</v>
      </c>
      <c r="T106" s="10" t="s">
        <v>42</v>
      </c>
      <c r="U106" s="2" t="s">
        <v>977</v>
      </c>
      <c r="V106" s="2" t="s">
        <v>44</v>
      </c>
      <c r="W106" s="2" t="s">
        <v>44</v>
      </c>
      <c r="X106" s="2" t="s">
        <v>44</v>
      </c>
      <c r="Y106" s="2" t="s">
        <v>44</v>
      </c>
      <c r="Z106" s="2" t="s">
        <v>44</v>
      </c>
      <c r="AA106" s="2" t="s">
        <v>978</v>
      </c>
      <c r="AB106" s="2" t="s">
        <v>45</v>
      </c>
      <c r="AC106" s="5"/>
    </row>
    <row r="107" spans="1:29" ht="120.75" customHeight="1">
      <c r="A107" s="7">
        <v>46154.305648148104</v>
      </c>
      <c r="B107" s="7">
        <v>46154.307673611103</v>
      </c>
      <c r="C107" s="2" t="s">
        <v>76</v>
      </c>
      <c r="D107" s="2"/>
      <c r="E107" s="2" t="s">
        <v>196</v>
      </c>
      <c r="F107" s="8">
        <v>46153</v>
      </c>
      <c r="G107" s="2" t="s">
        <v>979</v>
      </c>
      <c r="H107" s="2" t="s">
        <v>980</v>
      </c>
      <c r="I107" s="2" t="s">
        <v>363</v>
      </c>
      <c r="J107" s="2" t="s">
        <v>134</v>
      </c>
      <c r="K107" s="10" t="s">
        <v>981</v>
      </c>
      <c r="L107" s="2" t="s">
        <v>982</v>
      </c>
      <c r="M107" s="10" t="s">
        <v>983</v>
      </c>
      <c r="N107" s="10" t="s">
        <v>984</v>
      </c>
      <c r="O107" s="2" t="s">
        <v>56</v>
      </c>
      <c r="P107" s="2" t="s">
        <v>71</v>
      </c>
      <c r="Q107" s="2" t="s">
        <v>41</v>
      </c>
      <c r="R107" s="2" t="s">
        <v>42</v>
      </c>
      <c r="S107" s="10" t="s">
        <v>42</v>
      </c>
      <c r="T107" s="10" t="s">
        <v>42</v>
      </c>
      <c r="U107" s="2" t="s">
        <v>985</v>
      </c>
      <c r="V107" s="2" t="s">
        <v>44</v>
      </c>
      <c r="W107" s="2" t="s">
        <v>44</v>
      </c>
      <c r="X107" s="2" t="s">
        <v>45</v>
      </c>
      <c r="Y107" s="2" t="s">
        <v>44</v>
      </c>
      <c r="Z107" s="2" t="s">
        <v>44</v>
      </c>
      <c r="AA107" s="2" t="s">
        <v>986</v>
      </c>
      <c r="AB107" s="2" t="s">
        <v>45</v>
      </c>
      <c r="AC107" s="6" t="s">
        <v>987</v>
      </c>
    </row>
    <row r="108" spans="1:29" ht="89.25" customHeight="1">
      <c r="A108" s="7">
        <v>46156.323842592603</v>
      </c>
      <c r="B108" s="7">
        <v>46156.340405092596</v>
      </c>
      <c r="C108" s="2" t="s">
        <v>76</v>
      </c>
      <c r="D108" s="2"/>
      <c r="E108" s="2" t="s">
        <v>988</v>
      </c>
      <c r="F108" s="8">
        <v>46156</v>
      </c>
      <c r="G108" s="2" t="s">
        <v>989</v>
      </c>
      <c r="H108" s="2" t="s">
        <v>990</v>
      </c>
      <c r="I108" s="2" t="s">
        <v>168</v>
      </c>
      <c r="J108" s="2" t="s">
        <v>134</v>
      </c>
      <c r="K108" s="10" t="s">
        <v>88</v>
      </c>
      <c r="L108" s="2" t="s">
        <v>991</v>
      </c>
      <c r="M108" s="10" t="s">
        <v>992</v>
      </c>
      <c r="N108" s="10" t="s">
        <v>993</v>
      </c>
      <c r="O108" s="2" t="s">
        <v>139</v>
      </c>
      <c r="P108" s="2" t="s">
        <v>71</v>
      </c>
      <c r="Q108" s="2" t="s">
        <v>58</v>
      </c>
      <c r="R108" s="2" t="s">
        <v>42</v>
      </c>
      <c r="S108" s="10" t="s">
        <v>42</v>
      </c>
      <c r="T108" s="10" t="s">
        <v>42</v>
      </c>
      <c r="U108" s="2" t="s">
        <v>994</v>
      </c>
      <c r="V108" s="2" t="s">
        <v>45</v>
      </c>
      <c r="W108" s="2" t="s">
        <v>45</v>
      </c>
      <c r="X108" s="2" t="s">
        <v>44</v>
      </c>
      <c r="Y108" s="2" t="s">
        <v>44</v>
      </c>
      <c r="Z108" s="2" t="s">
        <v>45</v>
      </c>
      <c r="AA108" s="2" t="s">
        <v>995</v>
      </c>
      <c r="AB108" s="2" t="s">
        <v>45</v>
      </c>
      <c r="AC108" s="5" t="s">
        <v>996</v>
      </c>
    </row>
    <row r="109" spans="1:29" ht="83.25" customHeight="1">
      <c r="A109" s="7">
        <v>46161.6323611111</v>
      </c>
      <c r="B109" s="7">
        <v>46162.547939814802</v>
      </c>
      <c r="C109" s="2" t="s">
        <v>76</v>
      </c>
      <c r="D109" s="2"/>
      <c r="E109" s="2" t="s">
        <v>271</v>
      </c>
      <c r="F109" s="8">
        <v>46158</v>
      </c>
      <c r="G109" s="2" t="s">
        <v>997</v>
      </c>
      <c r="H109" s="2" t="s">
        <v>998</v>
      </c>
      <c r="I109" s="2" t="s">
        <v>465</v>
      </c>
      <c r="J109" s="2" t="s">
        <v>134</v>
      </c>
      <c r="K109" s="10" t="s">
        <v>42</v>
      </c>
      <c r="L109" s="2" t="s">
        <v>999</v>
      </c>
      <c r="M109" s="10" t="s">
        <v>1000</v>
      </c>
      <c r="N109" s="10" t="s">
        <v>1001</v>
      </c>
      <c r="O109" s="2" t="s">
        <v>139</v>
      </c>
      <c r="P109" s="2" t="s">
        <v>71</v>
      </c>
      <c r="Q109" s="2" t="s">
        <v>41</v>
      </c>
      <c r="R109" s="2" t="s">
        <v>42</v>
      </c>
      <c r="S109" s="10" t="s">
        <v>42</v>
      </c>
      <c r="T109" s="10" t="s">
        <v>42</v>
      </c>
      <c r="U109" s="2" t="s">
        <v>1002</v>
      </c>
      <c r="V109" s="2" t="s">
        <v>44</v>
      </c>
      <c r="W109" s="2" t="s">
        <v>44</v>
      </c>
      <c r="X109" s="2" t="s">
        <v>45</v>
      </c>
      <c r="Y109" s="2" t="s">
        <v>44</v>
      </c>
      <c r="Z109" s="2" t="s">
        <v>44</v>
      </c>
      <c r="AA109" s="2" t="s">
        <v>1003</v>
      </c>
      <c r="AB109" s="2" t="s">
        <v>45</v>
      </c>
      <c r="AC109" s="5" t="s">
        <v>1004</v>
      </c>
    </row>
    <row r="110" spans="1:29" ht="74.25" customHeight="1">
      <c r="A110" s="7">
        <v>46162.644872685203</v>
      </c>
      <c r="B110" s="7">
        <v>46163.319155092599</v>
      </c>
      <c r="C110" s="2" t="s">
        <v>76</v>
      </c>
      <c r="D110" s="2"/>
      <c r="E110" s="2" t="s">
        <v>271</v>
      </c>
      <c r="F110" s="8">
        <v>46161</v>
      </c>
      <c r="G110" s="2" t="s">
        <v>1005</v>
      </c>
      <c r="H110" s="2" t="s">
        <v>284</v>
      </c>
      <c r="I110" s="2" t="s">
        <v>1006</v>
      </c>
      <c r="J110" s="2" t="s">
        <v>34</v>
      </c>
      <c r="K110" s="10" t="s">
        <v>42</v>
      </c>
      <c r="L110" s="2" t="s">
        <v>1007</v>
      </c>
      <c r="M110" s="10" t="s">
        <v>1008</v>
      </c>
      <c r="N110" s="10" t="s">
        <v>1009</v>
      </c>
      <c r="O110" s="2" t="s">
        <v>39</v>
      </c>
      <c r="P110" s="2" t="s">
        <v>71</v>
      </c>
      <c r="Q110" s="2" t="s">
        <v>41</v>
      </c>
      <c r="R110" s="2" t="s">
        <v>42</v>
      </c>
      <c r="S110" s="10" t="s">
        <v>42</v>
      </c>
      <c r="T110" s="10" t="s">
        <v>42</v>
      </c>
      <c r="U110" s="2" t="s">
        <v>1010</v>
      </c>
      <c r="V110" s="2" t="s">
        <v>44</v>
      </c>
      <c r="W110" s="2" t="s">
        <v>45</v>
      </c>
      <c r="X110" s="2" t="s">
        <v>45</v>
      </c>
      <c r="Y110" s="2" t="s">
        <v>44</v>
      </c>
      <c r="Z110" s="2" t="s">
        <v>45</v>
      </c>
      <c r="AA110" s="2" t="s">
        <v>1011</v>
      </c>
      <c r="AB110" s="2" t="s">
        <v>45</v>
      </c>
      <c r="AC110" s="5" t="s">
        <v>1012</v>
      </c>
    </row>
    <row r="111" spans="1:29" ht="196.5" customHeight="1">
      <c r="A111" s="7">
        <v>46163.350578703699</v>
      </c>
      <c r="B111" s="7">
        <v>46163.377372685201</v>
      </c>
      <c r="C111" s="2" t="s">
        <v>76</v>
      </c>
      <c r="D111" s="2"/>
      <c r="E111" s="2" t="s">
        <v>1013</v>
      </c>
      <c r="F111" s="8">
        <v>46161</v>
      </c>
      <c r="G111" s="2" t="s">
        <v>1014</v>
      </c>
      <c r="H111" s="2" t="s">
        <v>926</v>
      </c>
      <c r="I111" s="2" t="s">
        <v>66</v>
      </c>
      <c r="J111" s="2" t="s">
        <v>34</v>
      </c>
      <c r="K111" s="10" t="s">
        <v>67</v>
      </c>
      <c r="L111" s="2" t="s">
        <v>372</v>
      </c>
      <c r="M111" s="10" t="s">
        <v>373</v>
      </c>
      <c r="N111" s="10" t="s">
        <v>374</v>
      </c>
      <c r="O111" s="2" t="s">
        <v>56</v>
      </c>
      <c r="P111" s="2" t="s">
        <v>71</v>
      </c>
      <c r="Q111" s="2" t="s">
        <v>41</v>
      </c>
      <c r="R111" s="2" t="s">
        <v>42</v>
      </c>
      <c r="S111" s="10" t="s">
        <v>67</v>
      </c>
      <c r="T111" s="10" t="s">
        <v>1015</v>
      </c>
      <c r="U111" s="2" t="s">
        <v>1016</v>
      </c>
      <c r="V111" s="2" t="s">
        <v>44</v>
      </c>
      <c r="W111" s="2" t="s">
        <v>45</v>
      </c>
      <c r="X111" s="2" t="s">
        <v>45</v>
      </c>
      <c r="Y111" s="2" t="s">
        <v>44</v>
      </c>
      <c r="Z111" s="2" t="s">
        <v>45</v>
      </c>
      <c r="AA111" s="2" t="s">
        <v>1017</v>
      </c>
      <c r="AB111" s="2" t="s">
        <v>45</v>
      </c>
      <c r="AC111" s="5" t="s">
        <v>1018</v>
      </c>
    </row>
    <row r="112" spans="1:29" ht="89.25" customHeight="1">
      <c r="A112" s="7">
        <v>46163.382187499999</v>
      </c>
      <c r="B112" s="7">
        <v>46163.386435185203</v>
      </c>
      <c r="C112" s="2" t="s">
        <v>76</v>
      </c>
      <c r="D112" s="2"/>
      <c r="E112" s="2" t="s">
        <v>1019</v>
      </c>
      <c r="F112" s="8">
        <v>46162</v>
      </c>
      <c r="G112" s="2" t="s">
        <v>1020</v>
      </c>
      <c r="H112" s="2" t="s">
        <v>1021</v>
      </c>
      <c r="I112" s="2" t="s">
        <v>66</v>
      </c>
      <c r="J112" s="2" t="s">
        <v>34</v>
      </c>
      <c r="K112" s="10" t="s">
        <v>1022</v>
      </c>
      <c r="L112" s="2" t="s">
        <v>1023</v>
      </c>
      <c r="M112" s="10" t="s">
        <v>1024</v>
      </c>
      <c r="N112" s="10" t="s">
        <v>1025</v>
      </c>
      <c r="O112" s="2" t="s">
        <v>1026</v>
      </c>
      <c r="P112" s="2" t="s">
        <v>71</v>
      </c>
      <c r="Q112" s="2" t="s">
        <v>72</v>
      </c>
      <c r="R112" s="2" t="s">
        <v>42</v>
      </c>
      <c r="S112" s="10" t="s">
        <v>243</v>
      </c>
      <c r="T112" s="10" t="s">
        <v>243</v>
      </c>
      <c r="U112" s="2" t="s">
        <v>1027</v>
      </c>
      <c r="V112" s="2" t="s">
        <v>44</v>
      </c>
      <c r="W112" s="2" t="s">
        <v>44</v>
      </c>
      <c r="X112" s="2" t="s">
        <v>44</v>
      </c>
      <c r="Y112" s="2" t="s">
        <v>44</v>
      </c>
      <c r="Z112" s="2" t="s">
        <v>45</v>
      </c>
      <c r="AA112" s="2" t="s">
        <v>243</v>
      </c>
      <c r="AB112" s="2" t="s">
        <v>45</v>
      </c>
      <c r="AC112" s="6" t="s">
        <v>1028</v>
      </c>
    </row>
    <row r="113" spans="1:29" ht="159.75" customHeight="1">
      <c r="A113" s="7">
        <v>46163.412835648203</v>
      </c>
      <c r="B113" s="7">
        <v>46163.468310185199</v>
      </c>
      <c r="C113" s="2" t="s">
        <v>76</v>
      </c>
      <c r="D113" s="2"/>
      <c r="E113" s="2" t="s">
        <v>63</v>
      </c>
      <c r="F113" s="8">
        <v>46161</v>
      </c>
      <c r="G113" s="2" t="s">
        <v>1029</v>
      </c>
      <c r="H113" s="2" t="s">
        <v>1030</v>
      </c>
      <c r="I113" s="2" t="s">
        <v>66</v>
      </c>
      <c r="J113" s="2" t="s">
        <v>34</v>
      </c>
      <c r="K113" s="10" t="s">
        <v>67</v>
      </c>
      <c r="L113" s="2" t="s">
        <v>68</v>
      </c>
      <c r="M113" s="10" t="s">
        <v>69</v>
      </c>
      <c r="N113" s="10" t="s">
        <v>70</v>
      </c>
      <c r="O113" s="2" t="s">
        <v>39</v>
      </c>
      <c r="P113" s="2" t="s">
        <v>71</v>
      </c>
      <c r="Q113" s="2" t="s">
        <v>58</v>
      </c>
      <c r="R113" s="2" t="s">
        <v>42</v>
      </c>
      <c r="S113" s="10" t="s">
        <v>67</v>
      </c>
      <c r="T113" s="10" t="s">
        <v>67</v>
      </c>
      <c r="U113" s="2" t="s">
        <v>1031</v>
      </c>
      <c r="V113" s="2" t="s">
        <v>44</v>
      </c>
      <c r="W113" s="2" t="s">
        <v>45</v>
      </c>
      <c r="X113" s="2" t="s">
        <v>44</v>
      </c>
      <c r="Y113" s="2" t="s">
        <v>44</v>
      </c>
      <c r="Z113" s="2" t="s">
        <v>45</v>
      </c>
      <c r="AA113" s="2" t="s">
        <v>1032</v>
      </c>
      <c r="AB113" s="2" t="s">
        <v>45</v>
      </c>
      <c r="AC113" s="6" t="s">
        <v>1033</v>
      </c>
    </row>
    <row r="114" spans="1:29" ht="60.75">
      <c r="A114" s="7">
        <v>46163.320740740703</v>
      </c>
      <c r="B114" s="7">
        <v>46163.550578703696</v>
      </c>
      <c r="C114" s="2" t="s">
        <v>76</v>
      </c>
      <c r="D114" s="2"/>
      <c r="E114" s="2" t="s">
        <v>271</v>
      </c>
      <c r="F114" s="8">
        <v>46161</v>
      </c>
      <c r="G114" s="2" t="s">
        <v>1034</v>
      </c>
      <c r="H114" s="2" t="s">
        <v>883</v>
      </c>
      <c r="I114" s="2" t="s">
        <v>1035</v>
      </c>
      <c r="J114" s="2" t="s">
        <v>34</v>
      </c>
      <c r="K114" s="10" t="s">
        <v>42</v>
      </c>
      <c r="L114" s="2" t="s">
        <v>754</v>
      </c>
      <c r="M114" s="10" t="s">
        <v>755</v>
      </c>
      <c r="N114" s="10" t="s">
        <v>756</v>
      </c>
      <c r="O114" s="2" t="s">
        <v>39</v>
      </c>
      <c r="P114" s="2" t="s">
        <v>57</v>
      </c>
      <c r="Q114" s="2" t="s">
        <v>72</v>
      </c>
      <c r="R114" s="2" t="s">
        <v>127</v>
      </c>
      <c r="S114" s="10" t="s">
        <v>42</v>
      </c>
      <c r="T114" s="10" t="s">
        <v>42</v>
      </c>
      <c r="U114" s="2" t="s">
        <v>1036</v>
      </c>
      <c r="V114" s="2" t="s">
        <v>44</v>
      </c>
      <c r="W114" s="2" t="s">
        <v>44</v>
      </c>
      <c r="X114" s="2" t="s">
        <v>44</v>
      </c>
      <c r="Y114" s="2" t="s">
        <v>44</v>
      </c>
      <c r="Z114" s="2" t="s">
        <v>44</v>
      </c>
      <c r="AA114" s="2" t="s">
        <v>978</v>
      </c>
      <c r="AB114" s="2" t="s">
        <v>45</v>
      </c>
      <c r="AC114" s="5"/>
    </row>
    <row r="115" spans="1:29" ht="137.25">
      <c r="A115" s="7">
        <v>46168.590289351901</v>
      </c>
      <c r="B115" s="7">
        <v>46168.699583333299</v>
      </c>
      <c r="C115" s="2" t="s">
        <v>76</v>
      </c>
      <c r="D115" s="2"/>
      <c r="E115" s="2" t="s">
        <v>942</v>
      </c>
      <c r="F115" s="8">
        <v>46156</v>
      </c>
      <c r="G115" s="2" t="s">
        <v>1037</v>
      </c>
      <c r="H115" s="2" t="s">
        <v>1038</v>
      </c>
      <c r="I115" s="2" t="s">
        <v>1039</v>
      </c>
      <c r="J115" s="2" t="s">
        <v>34</v>
      </c>
      <c r="K115" s="10" t="s">
        <v>945</v>
      </c>
      <c r="L115" s="2" t="s">
        <v>1040</v>
      </c>
      <c r="M115" s="10" t="s">
        <v>1041</v>
      </c>
      <c r="N115" s="10" t="s">
        <v>1042</v>
      </c>
      <c r="O115" s="2" t="s">
        <v>39</v>
      </c>
      <c r="P115" s="2" t="s">
        <v>40</v>
      </c>
      <c r="Q115" s="2" t="s">
        <v>41</v>
      </c>
      <c r="R115" s="2" t="s">
        <v>42</v>
      </c>
      <c r="S115" s="10" t="s">
        <v>42</v>
      </c>
      <c r="T115" s="10" t="s">
        <v>42</v>
      </c>
      <c r="U115" s="2" t="s">
        <v>1043</v>
      </c>
      <c r="V115" s="2" t="s">
        <v>44</v>
      </c>
      <c r="W115" s="2" t="s">
        <v>44</v>
      </c>
      <c r="X115" s="2" t="s">
        <v>44</v>
      </c>
      <c r="Y115" s="2" t="s">
        <v>44</v>
      </c>
      <c r="Z115" s="2" t="s">
        <v>44</v>
      </c>
      <c r="AA115" s="2" t="s">
        <v>1044</v>
      </c>
      <c r="AB115" s="2" t="s">
        <v>44</v>
      </c>
      <c r="AC115" s="5" t="s">
        <v>1045</v>
      </c>
    </row>
    <row r="116" spans="1:29" ht="64.5" customHeight="1">
      <c r="A116" s="7">
        <v>46169.401504629597</v>
      </c>
      <c r="B116" s="7">
        <v>46169.4845138889</v>
      </c>
      <c r="C116" s="2" t="s">
        <v>76</v>
      </c>
      <c r="D116" s="2"/>
      <c r="E116" s="2" t="s">
        <v>271</v>
      </c>
      <c r="F116" s="8">
        <v>46161</v>
      </c>
      <c r="G116" s="2" t="s">
        <v>1046</v>
      </c>
      <c r="H116" s="2" t="s">
        <v>872</v>
      </c>
      <c r="I116" s="2" t="s">
        <v>66</v>
      </c>
      <c r="J116" s="2" t="s">
        <v>34</v>
      </c>
      <c r="K116" s="10" t="s">
        <v>42</v>
      </c>
      <c r="L116" s="2" t="s">
        <v>42</v>
      </c>
      <c r="M116" s="10" t="s">
        <v>69</v>
      </c>
      <c r="N116" s="10" t="s">
        <v>1047</v>
      </c>
      <c r="O116" s="2" t="s">
        <v>39</v>
      </c>
      <c r="P116" s="2" t="s">
        <v>71</v>
      </c>
      <c r="Q116" s="2" t="s">
        <v>58</v>
      </c>
      <c r="R116" s="2" t="s">
        <v>42</v>
      </c>
      <c r="S116" s="10" t="s">
        <v>42</v>
      </c>
      <c r="T116" s="10" t="s">
        <v>42</v>
      </c>
      <c r="U116" s="2" t="s">
        <v>1048</v>
      </c>
      <c r="V116" s="2" t="s">
        <v>44</v>
      </c>
      <c r="W116" s="2" t="s">
        <v>45</v>
      </c>
      <c r="X116" s="2" t="s">
        <v>44</v>
      </c>
      <c r="Y116" s="2" t="s">
        <v>44</v>
      </c>
      <c r="Z116" s="2" t="s">
        <v>44</v>
      </c>
      <c r="AA116" s="2" t="s">
        <v>1049</v>
      </c>
      <c r="AB116" s="2" t="s">
        <v>45</v>
      </c>
      <c r="AC116" s="5" t="s">
        <v>1050</v>
      </c>
    </row>
    <row r="117" spans="1:29" ht="125.25" customHeight="1">
      <c r="A117" s="7">
        <v>46176.380150463003</v>
      </c>
      <c r="B117" s="7">
        <v>46176.388715277797</v>
      </c>
      <c r="C117" s="2" t="s">
        <v>76</v>
      </c>
      <c r="D117" s="2"/>
      <c r="E117" s="2" t="s">
        <v>399</v>
      </c>
      <c r="F117" s="8">
        <v>46176</v>
      </c>
      <c r="G117" s="2" t="s">
        <v>1051</v>
      </c>
      <c r="H117" s="2" t="s">
        <v>1052</v>
      </c>
      <c r="I117" s="2" t="s">
        <v>168</v>
      </c>
      <c r="J117" s="2" t="s">
        <v>34</v>
      </c>
      <c r="K117" s="10" t="s">
        <v>1053</v>
      </c>
      <c r="L117" s="2" t="s">
        <v>1054</v>
      </c>
      <c r="M117" s="10" t="s">
        <v>1055</v>
      </c>
      <c r="N117" s="10" t="s">
        <v>1056</v>
      </c>
      <c r="O117" s="2" t="s">
        <v>39</v>
      </c>
      <c r="P117" s="2" t="s">
        <v>57</v>
      </c>
      <c r="Q117" s="2" t="s">
        <v>58</v>
      </c>
      <c r="R117" s="2" t="s">
        <v>42</v>
      </c>
      <c r="S117" s="10" t="s">
        <v>88</v>
      </c>
      <c r="T117" s="10" t="s">
        <v>88</v>
      </c>
      <c r="U117" s="2" t="s">
        <v>1057</v>
      </c>
      <c r="V117" s="2" t="s">
        <v>45</v>
      </c>
      <c r="W117" s="2" t="s">
        <v>44</v>
      </c>
      <c r="X117" s="2" t="s">
        <v>44</v>
      </c>
      <c r="Y117" s="2" t="s">
        <v>44</v>
      </c>
      <c r="Z117" s="2" t="s">
        <v>45</v>
      </c>
      <c r="AA117" s="2" t="s">
        <v>1058</v>
      </c>
      <c r="AB117" s="2" t="s">
        <v>44</v>
      </c>
      <c r="AC117" s="5"/>
    </row>
    <row r="118" spans="1:29" ht="147" customHeight="1">
      <c r="A118" s="7">
        <v>46176.471504629597</v>
      </c>
      <c r="B118" s="7">
        <v>46176.478692129604</v>
      </c>
      <c r="C118" s="2" t="s">
        <v>76</v>
      </c>
      <c r="D118" s="2"/>
      <c r="E118" s="2" t="s">
        <v>988</v>
      </c>
      <c r="F118" s="8">
        <v>46176</v>
      </c>
      <c r="G118" s="2" t="s">
        <v>1059</v>
      </c>
      <c r="H118" s="2" t="s">
        <v>1060</v>
      </c>
      <c r="I118" s="2" t="s">
        <v>168</v>
      </c>
      <c r="J118" s="2" t="s">
        <v>34</v>
      </c>
      <c r="K118" s="10" t="s">
        <v>1061</v>
      </c>
      <c r="L118" s="2" t="s">
        <v>1062</v>
      </c>
      <c r="M118" s="10" t="s">
        <v>1063</v>
      </c>
      <c r="N118" s="10" t="s">
        <v>1064</v>
      </c>
      <c r="O118" s="2" t="s">
        <v>39</v>
      </c>
      <c r="P118" s="2" t="s">
        <v>1065</v>
      </c>
      <c r="Q118" s="2" t="s">
        <v>41</v>
      </c>
      <c r="R118" s="2" t="s">
        <v>59</v>
      </c>
      <c r="S118" s="10" t="s">
        <v>88</v>
      </c>
      <c r="T118" s="10" t="s">
        <v>88</v>
      </c>
      <c r="U118" s="2" t="s">
        <v>1066</v>
      </c>
      <c r="V118" s="2" t="s">
        <v>44</v>
      </c>
      <c r="W118" s="2" t="s">
        <v>45</v>
      </c>
      <c r="X118" s="2" t="s">
        <v>44</v>
      </c>
      <c r="Y118" s="2" t="s">
        <v>44</v>
      </c>
      <c r="Z118" s="2" t="s">
        <v>44</v>
      </c>
      <c r="AA118" s="2" t="s">
        <v>1067</v>
      </c>
      <c r="AB118" s="2" t="s">
        <v>45</v>
      </c>
      <c r="AC118" s="6" t="s">
        <v>1068</v>
      </c>
    </row>
    <row r="119" spans="1:29" ht="138.75" customHeight="1">
      <c r="A119" s="7">
        <v>46182.599756944401</v>
      </c>
      <c r="B119" s="7">
        <v>46182.6073958333</v>
      </c>
      <c r="C119" s="2" t="s">
        <v>76</v>
      </c>
      <c r="D119" s="2"/>
      <c r="E119" s="2" t="s">
        <v>1069</v>
      </c>
      <c r="F119" s="8">
        <v>46181</v>
      </c>
      <c r="G119" s="2" t="s">
        <v>1070</v>
      </c>
      <c r="H119" s="2" t="s">
        <v>1071</v>
      </c>
      <c r="I119" s="2" t="s">
        <v>753</v>
      </c>
      <c r="J119" s="2" t="s">
        <v>34</v>
      </c>
      <c r="K119" s="10" t="s">
        <v>1072</v>
      </c>
      <c r="L119" s="2" t="s">
        <v>1073</v>
      </c>
      <c r="M119" s="10" t="s">
        <v>1074</v>
      </c>
      <c r="N119" s="10" t="s">
        <v>1075</v>
      </c>
      <c r="O119" s="2" t="s">
        <v>56</v>
      </c>
      <c r="P119" s="2" t="s">
        <v>71</v>
      </c>
      <c r="Q119" s="2" t="s">
        <v>72</v>
      </c>
      <c r="R119" s="2" t="s">
        <v>42</v>
      </c>
      <c r="S119" s="10" t="s">
        <v>42</v>
      </c>
      <c r="T119" s="10" t="s">
        <v>42</v>
      </c>
      <c r="U119" s="2" t="s">
        <v>1076</v>
      </c>
      <c r="V119" s="2" t="s">
        <v>45</v>
      </c>
      <c r="W119" s="2" t="s">
        <v>45</v>
      </c>
      <c r="X119" s="2" t="s">
        <v>45</v>
      </c>
      <c r="Y119" s="2" t="s">
        <v>44</v>
      </c>
      <c r="Z119" s="2" t="s">
        <v>45</v>
      </c>
      <c r="AA119" s="2" t="s">
        <v>42</v>
      </c>
      <c r="AB119" s="2" t="s">
        <v>45</v>
      </c>
      <c r="AC119" s="5" t="s">
        <v>1077</v>
      </c>
    </row>
    <row r="120" spans="1:29" ht="167.25">
      <c r="A120" s="7">
        <v>46183.519085648099</v>
      </c>
      <c r="B120" s="7">
        <v>46183.647928240702</v>
      </c>
      <c r="C120" s="2" t="s">
        <v>76</v>
      </c>
      <c r="D120" s="2"/>
      <c r="E120" s="2" t="s">
        <v>271</v>
      </c>
      <c r="F120" s="8">
        <v>46167</v>
      </c>
      <c r="G120" s="2" t="s">
        <v>1078</v>
      </c>
      <c r="H120" s="2" t="s">
        <v>65</v>
      </c>
      <c r="I120" s="2" t="s">
        <v>1079</v>
      </c>
      <c r="J120" s="2" t="s">
        <v>134</v>
      </c>
      <c r="K120" s="10" t="s">
        <v>42</v>
      </c>
      <c r="L120" s="2" t="s">
        <v>1080</v>
      </c>
      <c r="M120" s="10" t="s">
        <v>1081</v>
      </c>
      <c r="N120" s="10" t="s">
        <v>1082</v>
      </c>
      <c r="O120" s="2" t="s">
        <v>1083</v>
      </c>
      <c r="P120" s="2" t="s">
        <v>40</v>
      </c>
      <c r="Q120" s="2" t="s">
        <v>58</v>
      </c>
      <c r="R120" s="2" t="s">
        <v>42</v>
      </c>
      <c r="S120" s="10" t="s">
        <v>42</v>
      </c>
      <c r="T120" s="10" t="s">
        <v>42</v>
      </c>
      <c r="U120" s="2" t="s">
        <v>1084</v>
      </c>
      <c r="V120" s="2" t="s">
        <v>44</v>
      </c>
      <c r="W120" s="2" t="s">
        <v>44</v>
      </c>
      <c r="X120" s="2" t="s">
        <v>45</v>
      </c>
      <c r="Y120" s="2" t="s">
        <v>45</v>
      </c>
      <c r="Z120" s="2" t="s">
        <v>44</v>
      </c>
      <c r="AA120" s="2" t="s">
        <v>1085</v>
      </c>
      <c r="AB120" s="2" t="s">
        <v>44</v>
      </c>
      <c r="AC120" s="5" t="s">
        <v>1086</v>
      </c>
    </row>
    <row r="121" spans="1:29" ht="91.5">
      <c r="A121" s="7">
        <v>46184.348229166702</v>
      </c>
      <c r="B121" s="7">
        <v>46184.408587963</v>
      </c>
      <c r="C121" s="2" t="s">
        <v>76</v>
      </c>
      <c r="D121" s="2"/>
      <c r="E121" s="2" t="s">
        <v>271</v>
      </c>
      <c r="F121" s="8">
        <v>46168</v>
      </c>
      <c r="G121" s="2" t="s">
        <v>1087</v>
      </c>
      <c r="H121" s="2" t="s">
        <v>872</v>
      </c>
      <c r="I121" s="2" t="s">
        <v>51</v>
      </c>
      <c r="J121" s="2" t="s">
        <v>34</v>
      </c>
      <c r="K121" s="10" t="s">
        <v>42</v>
      </c>
      <c r="L121" s="2" t="s">
        <v>1088</v>
      </c>
      <c r="M121" s="10" t="s">
        <v>1089</v>
      </c>
      <c r="N121" s="10" t="s">
        <v>1090</v>
      </c>
      <c r="O121" s="2" t="s">
        <v>39</v>
      </c>
      <c r="P121" s="2" t="s">
        <v>71</v>
      </c>
      <c r="Q121" s="2" t="s">
        <v>41</v>
      </c>
      <c r="R121" s="2" t="s">
        <v>42</v>
      </c>
      <c r="S121" s="10" t="s">
        <v>42</v>
      </c>
      <c r="T121" s="10" t="s">
        <v>42</v>
      </c>
      <c r="U121" s="2" t="s">
        <v>1091</v>
      </c>
      <c r="V121" s="2" t="s">
        <v>44</v>
      </c>
      <c r="W121" s="2" t="s">
        <v>44</v>
      </c>
      <c r="X121" s="2" t="s">
        <v>44</v>
      </c>
      <c r="Y121" s="2" t="s">
        <v>44</v>
      </c>
      <c r="Z121" s="2" t="s">
        <v>44</v>
      </c>
      <c r="AA121" s="2" t="s">
        <v>1092</v>
      </c>
      <c r="AB121" s="2" t="s">
        <v>45</v>
      </c>
      <c r="AC121" s="6" t="s">
        <v>1093</v>
      </c>
    </row>
    <row r="122" spans="1:29" ht="213">
      <c r="A122" s="7">
        <v>46184.419768518499</v>
      </c>
      <c r="B122" s="7">
        <v>46184.422083333302</v>
      </c>
      <c r="C122" s="2" t="s">
        <v>76</v>
      </c>
      <c r="D122" s="2"/>
      <c r="E122" s="2" t="s">
        <v>293</v>
      </c>
      <c r="F122" s="8">
        <v>46177</v>
      </c>
      <c r="G122" s="2" t="s">
        <v>665</v>
      </c>
      <c r="H122" s="2" t="s">
        <v>872</v>
      </c>
      <c r="I122" s="2" t="s">
        <v>157</v>
      </c>
      <c r="J122" s="2" t="s">
        <v>34</v>
      </c>
      <c r="K122" s="10" t="s">
        <v>88</v>
      </c>
      <c r="L122" s="2" t="s">
        <v>1094</v>
      </c>
      <c r="M122" s="10" t="s">
        <v>1095</v>
      </c>
      <c r="N122" s="10" t="s">
        <v>984</v>
      </c>
      <c r="O122" s="2" t="s">
        <v>39</v>
      </c>
      <c r="P122" s="2" t="s">
        <v>71</v>
      </c>
      <c r="Q122" s="2" t="s">
        <v>58</v>
      </c>
      <c r="R122" s="2" t="s">
        <v>42</v>
      </c>
      <c r="S122" s="10" t="s">
        <v>42</v>
      </c>
      <c r="T122" s="10" t="s">
        <v>42</v>
      </c>
      <c r="U122" s="2" t="s">
        <v>1096</v>
      </c>
      <c r="V122" s="2" t="s">
        <v>44</v>
      </c>
      <c r="W122" s="2" t="s">
        <v>44</v>
      </c>
      <c r="X122" s="2" t="s">
        <v>44</v>
      </c>
      <c r="Y122" s="2" t="s">
        <v>44</v>
      </c>
      <c r="Z122" s="2" t="s">
        <v>44</v>
      </c>
      <c r="AA122" s="2" t="s">
        <v>1097</v>
      </c>
      <c r="AB122" s="2" t="s">
        <v>45</v>
      </c>
      <c r="AC122" s="5" t="s">
        <v>1098</v>
      </c>
    </row>
    <row r="123" spans="1:29" ht="244.5">
      <c r="A123" s="7">
        <v>46184.422407407401</v>
      </c>
      <c r="B123" s="7">
        <v>46184.526087963</v>
      </c>
      <c r="C123" s="2" t="s">
        <v>76</v>
      </c>
      <c r="D123" s="2"/>
      <c r="E123" s="2" t="s">
        <v>271</v>
      </c>
      <c r="F123" s="8">
        <v>46175</v>
      </c>
      <c r="G123" s="2" t="s">
        <v>1099</v>
      </c>
      <c r="H123" s="2" t="s">
        <v>872</v>
      </c>
      <c r="I123" s="2" t="s">
        <v>157</v>
      </c>
      <c r="J123" s="2" t="s">
        <v>34</v>
      </c>
      <c r="K123" s="10" t="s">
        <v>88</v>
      </c>
      <c r="L123" s="2" t="s">
        <v>728</v>
      </c>
      <c r="M123" s="10" t="s">
        <v>1100</v>
      </c>
      <c r="N123" s="10" t="s">
        <v>730</v>
      </c>
      <c r="O123" s="2" t="s">
        <v>56</v>
      </c>
      <c r="P123" s="2" t="s">
        <v>40</v>
      </c>
      <c r="Q123" s="2" t="s">
        <v>41</v>
      </c>
      <c r="R123" s="2" t="s">
        <v>42</v>
      </c>
      <c r="S123" s="10" t="s">
        <v>88</v>
      </c>
      <c r="T123" s="10" t="s">
        <v>88</v>
      </c>
      <c r="U123" s="2" t="s">
        <v>1101</v>
      </c>
      <c r="V123" s="2" t="s">
        <v>44</v>
      </c>
      <c r="W123" s="2" t="s">
        <v>44</v>
      </c>
      <c r="X123" s="2" t="s">
        <v>45</v>
      </c>
      <c r="Y123" s="2" t="s">
        <v>44</v>
      </c>
      <c r="Z123" s="2" t="s">
        <v>44</v>
      </c>
      <c r="AA123" s="2" t="s">
        <v>1102</v>
      </c>
      <c r="AB123" s="2" t="s">
        <v>45</v>
      </c>
      <c r="AC123" s="5" t="s">
        <v>1103</v>
      </c>
    </row>
    <row r="124" spans="1:29" ht="229.5">
      <c r="A124" s="7">
        <v>46184.526168981502</v>
      </c>
      <c r="B124" s="7">
        <v>46184.6386921296</v>
      </c>
      <c r="C124" s="2" t="s">
        <v>76</v>
      </c>
      <c r="D124" s="2"/>
      <c r="E124" s="2" t="s">
        <v>293</v>
      </c>
      <c r="F124" s="8">
        <v>46174</v>
      </c>
      <c r="G124" s="2" t="s">
        <v>1104</v>
      </c>
      <c r="H124" s="2" t="s">
        <v>1105</v>
      </c>
      <c r="I124" s="2" t="s">
        <v>51</v>
      </c>
      <c r="J124" s="2" t="s">
        <v>134</v>
      </c>
      <c r="K124" s="10" t="s">
        <v>42</v>
      </c>
      <c r="L124" s="2" t="s">
        <v>1106</v>
      </c>
      <c r="M124" s="10" t="s">
        <v>1107</v>
      </c>
      <c r="N124" s="10" t="s">
        <v>1108</v>
      </c>
      <c r="O124" s="2" t="s">
        <v>139</v>
      </c>
      <c r="P124" s="2" t="s">
        <v>71</v>
      </c>
      <c r="Q124" s="2" t="s">
        <v>41</v>
      </c>
      <c r="R124" s="2" t="s">
        <v>42</v>
      </c>
      <c r="S124" s="10" t="s">
        <v>42</v>
      </c>
      <c r="T124" s="10" t="s">
        <v>42</v>
      </c>
      <c r="U124" s="2" t="s">
        <v>1109</v>
      </c>
      <c r="V124" s="2" t="s">
        <v>44</v>
      </c>
      <c r="W124" s="2" t="s">
        <v>44</v>
      </c>
      <c r="X124" s="2" t="s">
        <v>44</v>
      </c>
      <c r="Y124" s="2" t="s">
        <v>44</v>
      </c>
      <c r="Z124" s="2" t="s">
        <v>44</v>
      </c>
      <c r="AA124" s="2" t="s">
        <v>1110</v>
      </c>
      <c r="AB124" s="2" t="s">
        <v>45</v>
      </c>
      <c r="AC124" s="5" t="s">
        <v>1111</v>
      </c>
    </row>
    <row r="125" spans="1:29" ht="137.25">
      <c r="A125" s="7">
        <v>46185.682939814797</v>
      </c>
      <c r="B125" s="7">
        <v>46185.704305555599</v>
      </c>
      <c r="C125" s="2" t="s">
        <v>76</v>
      </c>
      <c r="D125" s="2"/>
      <c r="E125" s="2" t="s">
        <v>271</v>
      </c>
      <c r="F125" s="8">
        <v>46169</v>
      </c>
      <c r="G125" s="2" t="s">
        <v>1112</v>
      </c>
      <c r="H125" s="2" t="s">
        <v>872</v>
      </c>
      <c r="I125" s="2" t="s">
        <v>157</v>
      </c>
      <c r="J125" s="2" t="s">
        <v>34</v>
      </c>
      <c r="K125" s="10" t="s">
        <v>42</v>
      </c>
      <c r="L125" s="2" t="s">
        <v>1113</v>
      </c>
      <c r="M125" s="10" t="s">
        <v>1114</v>
      </c>
      <c r="N125" s="10" t="s">
        <v>1115</v>
      </c>
      <c r="O125" s="2" t="s">
        <v>56</v>
      </c>
      <c r="P125" s="2" t="s">
        <v>71</v>
      </c>
      <c r="Q125" s="2" t="s">
        <v>41</v>
      </c>
      <c r="R125" s="2" t="s">
        <v>42</v>
      </c>
      <c r="S125" s="10" t="s">
        <v>42</v>
      </c>
      <c r="T125" s="10" t="s">
        <v>42</v>
      </c>
      <c r="U125" s="2" t="s">
        <v>1116</v>
      </c>
      <c r="V125" s="2" t="s">
        <v>44</v>
      </c>
      <c r="W125" s="2" t="s">
        <v>44</v>
      </c>
      <c r="X125" s="2" t="s">
        <v>44</v>
      </c>
      <c r="Y125" s="2" t="s">
        <v>44</v>
      </c>
      <c r="Z125" s="2" t="s">
        <v>44</v>
      </c>
      <c r="AA125" s="2" t="s">
        <v>1117</v>
      </c>
      <c r="AB125" s="2" t="s">
        <v>45</v>
      </c>
      <c r="AC125" s="5" t="s">
        <v>1118</v>
      </c>
    </row>
    <row r="126" spans="1:29" ht="290.25">
      <c r="A126" s="7">
        <v>46191.426030092603</v>
      </c>
      <c r="B126" s="7">
        <v>46191.471412036997</v>
      </c>
      <c r="C126" s="2" t="s">
        <v>76</v>
      </c>
      <c r="D126" s="2"/>
      <c r="E126" s="2" t="s">
        <v>101</v>
      </c>
      <c r="F126" s="8">
        <v>46191</v>
      </c>
      <c r="G126" s="2" t="s">
        <v>1119</v>
      </c>
      <c r="H126" s="2" t="s">
        <v>1120</v>
      </c>
      <c r="I126" s="2" t="s">
        <v>66</v>
      </c>
      <c r="J126" s="2" t="s">
        <v>34</v>
      </c>
      <c r="K126" s="10" t="s">
        <v>42</v>
      </c>
      <c r="L126" s="2" t="s">
        <v>1121</v>
      </c>
      <c r="M126" s="10" t="s">
        <v>1122</v>
      </c>
      <c r="N126" s="10" t="s">
        <v>1123</v>
      </c>
      <c r="O126" s="2" t="s">
        <v>1124</v>
      </c>
      <c r="P126" s="2" t="s">
        <v>71</v>
      </c>
      <c r="Q126" s="2" t="s">
        <v>41</v>
      </c>
      <c r="R126" s="2" t="s">
        <v>42</v>
      </c>
      <c r="S126" s="10" t="s">
        <v>88</v>
      </c>
      <c r="T126" s="10" t="s">
        <v>88</v>
      </c>
      <c r="U126" s="2" t="s">
        <v>1125</v>
      </c>
      <c r="V126" s="2" t="s">
        <v>44</v>
      </c>
      <c r="W126" s="2" t="s">
        <v>45</v>
      </c>
      <c r="X126" s="2" t="s">
        <v>45</v>
      </c>
      <c r="Y126" s="2" t="s">
        <v>44</v>
      </c>
      <c r="Z126" s="2" t="s">
        <v>45</v>
      </c>
      <c r="AA126" s="2" t="s">
        <v>1126</v>
      </c>
      <c r="AB126" s="2" t="s">
        <v>45</v>
      </c>
      <c r="AC126" s="5"/>
    </row>
  </sheetData>
  <hyperlinks>
    <hyperlink ref="AC23" r:id="rId1" xr:uid="{F0448CA4-54AB-4BBA-A8E7-B6B0DCD1A9C5}"/>
    <hyperlink ref="AC37" r:id="rId2" display="https://emprestur-my.sharepoint.com/personal/alejandra_betancur_emprestur_com/Documents/Aplicaciones/Microsoft%20Forms/INFORMACI%C3%93N%20NOVEDAD%20_%20ACCIDENTES%2026042022%20(2)/SOPORTES%20PARA%20ANEXAR/IMG-20250918-WA0011_anonymous.jpg; https://emprestur-my.sharepoint.com/personal/alejandra_betancur_emprestur_com/Documents/Aplicaciones/Microsoft%20Forms/INFORMACI%C3%93N%20NOVEDAD%20_%20ACCIDENTES%2026042022%20(2)/SOPORTES%20PARA%20ANEXAR/IMG-20250918-WA0012_anonymous.jpg; https://emprestur-my.sharepoint.com/personal/alejandra_betancur_emprestur_com/Documents/Aplicaciones/Microsoft%20Forms/INFORMACI%C3%93N%20NOVEDAD%20_%20ACCIDENTES%2026042022%20(2)/SOPORTES%20PARA%20ANEXAR/IMG-20250918-WA0013_anonymous.jpg; https://emprestur-my.sharepoint.com/personal/alejandra_betancur_emprestur_com/Documents/Aplicaciones/Microsoft%20Forms/INFORMACI%C3%93N%20NOVEDAD%20_%20ACCIDENTES%2026042022%20(2)/SOPORTES%20PARA%20ANEXAR/IMG-20250918-WA0014_anonymous.jpg; https://emprestur-my.sharepoint.com/personal/alejandra_betancur_emprestur_com/Documents/Aplicaciones/Microsoft%20Forms/INFORMACI%C3%93N%20NOVEDAD%20_%20ACCIDENTES%2026042022%20(2)/SOPORTES%20PARA%20ANEXAR/IMG-20250918-WA0009_anonymous.jpg; https://emprestur-my.sharepoint.com/personal/alejandra_betancur_emprestur_com/Documents/Aplicaciones/Microsoft%20Forms/INFORMACI%C3%93N%20NOVEDAD%20_%20ACCIDENTES%2026042022%20(2)/SOPORTES%20PARA%20ANEXAR/IMG-20250918-WA0010_anonymous.jpg" xr:uid="{2C4F1F55-A6E4-4E08-8A8F-CBFE91459974}"/>
    <hyperlink ref="AC42" r:id="rId3" display="https://emprestur-my.sharepoint.com/personal/alejandra_betancur_emprestur_com/Documents/Aplicaciones/Microsoft%20Forms/INFORMACI%C3%93N%20NOVEDAD%20_%20ACCIDENTES%2026042022%20(2)/SOPORTES%20PARA%20ANEXAR/WhatsApp%20Video%202025-10-01%20at%2008.45.16_anonymous.mp4" xr:uid="{15106E86-8522-40A8-9B5E-F2386CDFA034}"/>
    <hyperlink ref="AC46" r:id="rId4" display="https://emprestur-my.sharepoint.com/personal/alejandra_betancur_emprestur_com/Documents/Aplicaciones/Microsoft%20Forms/INFORMACI%C3%93N%20NOVEDAD%20_%20ACCIDENTES%2026042022%20(2)/SOPORTES%20PARA%20ANEXAR/WhatsApp%20Image%202025-10-14%20at%207.33.21%20AM_anonymous.jpeg" xr:uid="{04A56DE3-7400-44B1-A8D8-49F034F78B9A}"/>
    <hyperlink ref="AC55" r:id="rId5" display="https://emprestur-my.sharepoint.com/personal/alejandra_betancur_emprestur_com/Documents/Aplicaciones/Microsoft%20Forms/INFORMACI%C3%93N%20NOVEDAD%20_%20ACCIDENTES%2026042022%20(2)/SOPORTES%20PARA%20ANEXAR/WhatsApp%20Image%202025-11-11%20at%204.37.36%20AM_anonymous.jpeg; https://emprestur-my.sharepoint.com/personal/alejandra_betancur_emprestur_com/Documents/Aplicaciones/Microsoft%20Forms/INFORMACI%C3%93N%20NOVEDAD%20_%20ACCIDENTES%2026042022%20(2)/SOPORTES%20PARA%20ANEXAR/WhatsApp%20Video%202025-11-11%20at%204.37.56%20AM_anonymous.mp4; https://emprestur-my.sharepoint.com/personal/alejandra_betancur_emprestur_com/Documents/Aplicaciones/Microsoft%20Forms/INFORMACI%C3%93N%20NOVEDAD%20_%20ACCIDENTES%2026042022%20(2)/SOPORTES%20PARA%20ANEXAR/WhatsApp%20Image%202025-11-11%20at%205.20.35%20AM_anonymous.jpeg; https://emprestur-my.sharepoint.com/personal/alejandra_betancur_emprestur_com/Documents/Aplicaciones/Microsoft%20Forms/INFORMACI%C3%93N%20NOVEDAD%20_%20ACCIDENTES%2026042022%20(2)/SOPORTES%20PARA%20ANEXAR/WhatsApp%20Image%202025-11-11%20at%205.17.57%20AM_anonymous.jpeg; https://emprestur-my.sharepoint.com/personal/alejandra_betancur_emprestur_com/Documents/Aplicaciones/Microsoft%20Forms/INFORMACI%C3%93N%20NOVEDAD%20_%20ACCIDENTES%2026042022%20(2)/SOPORTES%20PARA%20ANEXAR/WhatsApp%20Image%202025-11-11%20at%205.17.48%20AM_anonymous.jpeg; https://emprestur-my.sharepoint.com/personal/alejandra_betancur_emprestur_com/Documents/Aplicaciones/Microsoft%20Forms/INFORMACI%C3%93N%20NOVEDAD%20_%20ACCIDENTES%2026042022%20(2)/SOPORTES%20PARA%20ANEXAR/WhatsApp%20Image%202025-11-10%20at%205.07.50%20PM_anonymous.jpeg" xr:uid="{965CA0E3-6AA0-4D79-9B5C-0E8A57BD908D}"/>
    <hyperlink ref="AC75" r:id="rId6" display="https://emprestur-my.sharepoint.com/personal/alejandra_betancur_emprestur_com/Documents/Aplicaciones/Microsoft%20Forms/INFORMACI%C3%93N%20NOVEDAD%20_%20ACCIDENTES%2026042022%20(2)/SOPORTES%20PARA%20ANEXAR/REGISTRO%20FOTOGR%C3%81FICO%20PXK221_anonymous.pdf; https://emprestur-my.sharepoint.com/personal/alejandra_betancur_emprestur_com/Documents/Aplicaciones/Microsoft%20Forms/INFORMACI%C3%93N%20NOVEDAD%20_%20ACCIDENTES%2026042022%20(2)/SOPORTES%20PARA%20ANEXAR/RECORRIDO%20PXK221%20desde%20las%2013_anonymous.pdf" xr:uid="{9C68EF49-72FA-4A2D-8E00-8D169643328E}"/>
    <hyperlink ref="AC95" r:id="rId7" display="https://emprestur-my.sharepoint.com/personal/alejandra_betancur_emprestur_com/Documents/Aplicaciones/Microsoft%20Forms/INFORMACI%C3%93N%20NOVEDAD%20_%20ACCIDENTES%2026042022%20(2)/SOPORTES%20PARA%20ANEXAR/WhatsApp%20Image%202026-03-16%20at%2011.19.31_anonymous.jpeg" xr:uid="{243704EF-9EBC-4075-9E66-1E032D260FEE}"/>
    <hyperlink ref="AC81" r:id="rId8" display="https://emprestur-my.sharepoint.com/personal/alejandra_betancur_emprestur_com/Documents/Aplicaciones/Microsoft%20Forms/INFORMACI%C3%93N%20NOVEDAD%20_%20ACCIDENTES%2026042022%20(2)/SOPORTES%20PARA%20ANEXAR/WhatsApp%20Video%202026-02-16%20at%2007.31.16_anonymous.mp4" xr:uid="{957FEA87-4E97-4011-8048-4BF1C7733538}"/>
    <hyperlink ref="AC97" r:id="rId9" display="https://emprestur-my.sharepoint.com/personal/alejandra_betancur_emprestur_com/Documents/Aplicaciones/Microsoft%20Forms/INFORMACI%C3%93N%20NOVEDAD%20_%20ACCIDENTES%2026042022%20(2)/SOPORTES%20PARA%20ANEXAR/WhatsApp%20Image%202026-03-24%20at%2015.14.35_anonymous.jpeg; https://emprestur-my.sharepoint.com/personal/alejandra_betancur_emprestur_com/Documents/Aplicaciones/Microsoft%20Forms/INFORMACI%C3%93N%20NOVEDAD%20_%20ACCIDENTES%2026042022%20(2)/SOPORTES%20PARA%20ANEXAR/WhatsApp%20Image%202026-03-24%20at%2015.14.35%20(1)_anonymous.jpeg; https://emprestur-my.sharepoint.com/personal/alejandra_betancur_emprestur_com/Documents/Aplicaciones/Microsoft%20Forms/INFORMACI%C3%93N%20NOVEDAD%20_%20ACCIDENTES%2026042022%20(2)/SOPORTES%20PARA%20ANEXAR/WhatsApp%20Image%202026-03-24%20at%2015.14.35%20(2)_anonymous.jpeg; https://emprestur-my.sharepoint.com/personal/alejandra_betancur_emprestur_com/Documents/Aplicaciones/Microsoft%20Forms/INFORMACI%C3%93N%20NOVEDAD%20_%20ACCIDENTES%2026042022%20(2)/SOPORTES%20PARA%20ANEXAR/WhatsApp%20Image%202026-03-24%20at%2015.14.35%20(3)_anonymous.jpeg" xr:uid="{4D95C800-8BD6-4A97-A37E-27A97E64D0BB}"/>
    <hyperlink ref="AC104" r:id="rId10" display="https://emprestur-my.sharepoint.com/personal/alejandra_betancur_emprestur_com/Documents/Aplicaciones/Microsoft%20Forms/INFORMACI%C3%93N%20NOVEDAD%20_%20ACCIDENTES%2026042022%20(2)/SOPORTES%20PARA%20ANEXAR/WhatsApp%20Image%202026-04-20%20at%2013.26.31_anonymous.jpeg" xr:uid="{3AFB873D-5265-4E44-ACB9-24B63B97BA93}"/>
    <hyperlink ref="AC107" r:id="rId11" xr:uid="{281FDCCA-4B08-4B3D-B453-57FCAE09D63C}"/>
    <hyperlink ref="AC112" r:id="rId12" display="https://emprestur-my.sharepoint.com/personal/alejandra_betancur_emprestur_com/Documents/Aplicaciones/Microsoft%20Forms/INFORMACI%C3%93N%20NOVEDAD%20_%20ACCIDENTES%2026042022%20(2)/SOPORTES%20PARA%20ANEXAR/WhatsApp%20Image%202026-05-21%20at%208.51.16%20AM%20(3)_anonymous.jpeg; https://emprestur-my.sharepoint.com/personal/alejandra_betancur_emprestur_com/Documents/Aplicaciones/Microsoft%20Forms/INFORMACI%C3%93N%20NOVEDAD%20_%20ACCIDENTES%2026042022%20(2)/SOPORTES%20PARA%20ANEXAR/WhatsApp%20Image%202026-05-21%20at%208.51.16%20AM%20(2)_anonymous.jpeg; https://emprestur-my.sharepoint.com/personal/alejandra_betancur_emprestur_com/Documents/Aplicaciones/Microsoft%20Forms/INFORMACI%C3%93N%20NOVEDAD%20_%20ACCIDENTES%2026042022%20(2)/SOPORTES%20PARA%20ANEXAR/WhatsApp%20Image%202026-05-21%20at%208.51.16%20AM%20(1)_anonymous.jpeg; https://emprestur-my.sharepoint.com/personal/alejandra_betancur_emprestur_com/Documents/Aplicaciones/Microsoft%20Forms/INFORMACI%C3%93N%20NOVEDAD%20_%20ACCIDENTES%2026042022%20(2)/SOPORTES%20PARA%20ANEXAR/WhatsApp%20Image%202026-05-21%20at%208.51.16%20AM_anonymous.jpeg; https://emprestur-my.sharepoint.com/personal/alejandra_betancur_emprestur_com/Documents/Aplicaciones/Microsoft%20Forms/INFORMACI%C3%93N%20NOVEDAD%20_%20ACCIDENTES%2026042022%20(2)/SOPORTES%20PARA%20ANEXAR/WhatsApp%20Image%202026-05-21%20at%208.51.15%20AM_anonymous.jpeg" xr:uid="{1BE69A15-3DB1-4F43-92CB-D245D7A31E90}"/>
    <hyperlink ref="AC113" r:id="rId13" display="https://emprestur-my.sharepoint.com/personal/alejandra_betancur_emprestur_com/Documents/Aplicaciones/Microsoft%20Forms/INFORMACI%C3%93N%20NOVEDAD%20_%20ACCIDENTES%2026042022%20(2)/SOPORTES%20PARA%20ANEXAR/WhatsApp%20Image%202026-05-21%20at%2010.53.05%20AM_anonymous.jpeg; https://emprestur-my.sharepoint.com/personal/alejandra_betancur_emprestur_com/Documents/Aplicaciones/Microsoft%20Forms/INFORMACI%C3%93N%20NOVEDAD%20_%20ACCIDENTES%2026042022%20(2)/SOPORTES%20PARA%20ANEXAR/WhatsApp%20Video%202026-05-20%20at%206.00.21%20AM_anonymous.mp4; https://emprestur-my.sharepoint.com/personal/alejandra_betancur_emprestur_com/Documents/Aplicaciones/Microsoft%20Forms/INFORMACI%C3%93N%20NOVEDAD%20_%20ACCIDENTES%2026042022%20(2)/SOPORTES%20PARA%20ANEXAR/WhatsApp%20Video%202026-05-21%20at%2010.53.05%20AM_anonymous.mp4; https://emprestur-my.sharepoint.com/personal/alejandra_betancur_emprestur_com/Documents/Aplicaciones/Microsoft%20Forms/INFORMACI%C3%93N%20NOVEDAD%20_%20ACCIDENTES%2026042022%20(2)/SOPORTES%20PARA%20ANEXAR/WhatsApp%20Image%202026-05-21%20at%2011.11.54%20AM_anonymous.jpeg; https://emprestur-my.sharepoint.com/personal/alejandra_betancur_emprestur_com/Documents/Aplicaciones/Microsoft%20Forms/INFORMACI%C3%93N%20NOVEDAD%20_%20ACCIDENTES%2026042022%20(2)/SOPORTES%20PARA%20ANEXAR/WhatsApp%20Image%202026-05-21%20at%2011.11.55%20AM%20(1)_anonymous.jpeg; https://emprestur-my.sharepoint.com/personal/alejandra_betancur_emprestur_com/Documents/Aplicaciones/Microsoft%20Forms/INFORMACI%C3%93N%20NOVEDAD%20_%20ACCIDENTES%2026042022%20(2)/SOPORTES%20PARA%20ANEXAR/WhatsApp%20Image%202026-05-21%20at%2011.11.55%20AM_anonymous.jpeg" xr:uid="{97BC37FB-8C89-4AFE-ADE2-3338813963DF}"/>
    <hyperlink ref="AC121" r:id="rId14" xr:uid="{C37CD49D-DE5C-44C7-B834-F5289522CCD3}"/>
    <hyperlink ref="AC118" r:id="rId15" display="https://emprestur-my.sharepoint.com/personal/alejandra_betancur_emprestur_com/Documents/Aplicaciones/Microsoft%20Forms/INFORMACI%C3%93N%20NOVEDAD%20_%20ACCIDENTES%2026042022%20(2)/SOPORTES%20PARA%20ANEXAR/WhatsApp%20Image%202026-06-03%20at%2010.06.10%20AM_anonymous.jpeg; https://emprestur-my.sharepoint.com/personal/alejandra_betancur_emprestur_com/Documents/Aplicaciones/Microsoft%20Forms/INFORMACI%C3%93N%20NOVEDAD%20_%20ACCIDENTES%2026042022%20(2)/SOPORTES%20PARA%20ANEXAR/WhatsApp%20Image%202026-06-03%20at%2010.07.00%20AM_anonymous.jpeg" xr:uid="{CCE0C0D4-3ADC-436D-8448-36F7E1AE01B4}"/>
  </hyperlinks>
  <pageMargins left="0.7" right="0.7" top="0.75" bottom="0.75" header="0.3" footer="0.3"/>
  <pageSetup paperSize="9" orientation="portrait" r:id="rId16"/>
  <tableParts count="1">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47E63-3076-4F4F-89AA-9A8A6CBB7946}">
  <dimension ref="A2:O68"/>
  <sheetViews>
    <sheetView topLeftCell="A56" workbookViewId="0">
      <selection activeCell="M31" sqref="M31"/>
    </sheetView>
  </sheetViews>
  <sheetFormatPr defaultColWidth="11.42578125" defaultRowHeight="15"/>
  <cols>
    <col min="1" max="1" width="36" customWidth="1"/>
    <col min="2" max="2" width="13.5703125" style="15" customWidth="1"/>
    <col min="3" max="13" width="8.5703125" style="15" customWidth="1"/>
  </cols>
  <sheetData>
    <row r="2" spans="1:14" s="15" customFormat="1" ht="15" customHeight="1">
      <c r="A2" s="18" t="s">
        <v>1127</v>
      </c>
      <c r="B2" s="28">
        <v>45658</v>
      </c>
      <c r="C2" s="28">
        <v>45689</v>
      </c>
      <c r="D2" s="28">
        <v>45717</v>
      </c>
      <c r="E2" s="28">
        <v>45748</v>
      </c>
      <c r="F2" s="28">
        <v>45778</v>
      </c>
      <c r="G2" s="28">
        <v>45809</v>
      </c>
      <c r="H2" s="28">
        <v>45839</v>
      </c>
      <c r="I2" s="28">
        <v>45870</v>
      </c>
      <c r="J2" s="28">
        <v>45901</v>
      </c>
      <c r="K2" s="28">
        <v>45931</v>
      </c>
      <c r="L2" s="28">
        <v>45962</v>
      </c>
      <c r="M2" s="28">
        <v>45992</v>
      </c>
      <c r="N2" s="18" t="s">
        <v>1128</v>
      </c>
    </row>
    <row r="3" spans="1:14" s="12" customFormat="1" ht="26.25" customHeight="1">
      <c r="A3" s="19" t="s">
        <v>1129</v>
      </c>
      <c r="B3" s="20">
        <v>0</v>
      </c>
      <c r="C3" s="21">
        <v>1</v>
      </c>
      <c r="D3" s="21">
        <v>1</v>
      </c>
      <c r="E3" s="21">
        <v>0</v>
      </c>
      <c r="F3" s="21">
        <v>1</v>
      </c>
      <c r="G3" s="21">
        <v>1</v>
      </c>
      <c r="H3" s="21">
        <v>0</v>
      </c>
      <c r="I3" s="21">
        <v>0</v>
      </c>
      <c r="J3" s="21">
        <v>1</v>
      </c>
      <c r="K3" s="21">
        <v>2</v>
      </c>
      <c r="L3" s="21">
        <v>0</v>
      </c>
      <c r="M3" s="21">
        <v>1</v>
      </c>
      <c r="N3" s="21">
        <v>8</v>
      </c>
    </row>
    <row r="4" spans="1:14" s="12" customFormat="1" ht="26.25" customHeight="1">
      <c r="A4" s="19" t="s">
        <v>1130</v>
      </c>
      <c r="B4" s="20">
        <v>0</v>
      </c>
      <c r="C4" s="21">
        <v>0</v>
      </c>
      <c r="D4" s="21">
        <v>1</v>
      </c>
      <c r="E4" s="21">
        <v>1</v>
      </c>
      <c r="F4" s="21">
        <v>0</v>
      </c>
      <c r="G4" s="21">
        <v>0</v>
      </c>
      <c r="H4" s="21">
        <v>2</v>
      </c>
      <c r="I4" s="21">
        <v>1</v>
      </c>
      <c r="J4" s="21">
        <v>1</v>
      </c>
      <c r="K4" s="21">
        <v>2</v>
      </c>
      <c r="L4" s="21">
        <v>1</v>
      </c>
      <c r="M4" s="21">
        <v>0</v>
      </c>
      <c r="N4" s="21">
        <v>9</v>
      </c>
    </row>
    <row r="5" spans="1:14" ht="26.25" customHeight="1">
      <c r="A5" s="22" t="s">
        <v>1131</v>
      </c>
      <c r="B5" s="20">
        <v>4</v>
      </c>
      <c r="C5" s="21">
        <v>3</v>
      </c>
      <c r="D5" s="21">
        <v>6</v>
      </c>
      <c r="E5" s="21">
        <v>7</v>
      </c>
      <c r="F5" s="21">
        <v>6</v>
      </c>
      <c r="G5" s="21">
        <v>3</v>
      </c>
      <c r="H5" s="21">
        <v>3</v>
      </c>
      <c r="I5" s="21">
        <v>5</v>
      </c>
      <c r="J5" s="21">
        <v>8</v>
      </c>
      <c r="K5" s="21">
        <v>6</v>
      </c>
      <c r="L5" s="21">
        <v>3</v>
      </c>
      <c r="M5" s="21">
        <v>4</v>
      </c>
      <c r="N5" s="21">
        <v>58</v>
      </c>
    </row>
    <row r="6" spans="1:14" ht="26.25" customHeight="1">
      <c r="A6" s="19" t="s">
        <v>1132</v>
      </c>
      <c r="B6" s="20">
        <v>0</v>
      </c>
      <c r="C6" s="21">
        <v>0</v>
      </c>
      <c r="D6" s="21">
        <v>0</v>
      </c>
      <c r="E6" s="21">
        <v>0</v>
      </c>
      <c r="F6" s="21">
        <v>0</v>
      </c>
      <c r="G6" s="21">
        <v>0</v>
      </c>
      <c r="H6" s="21">
        <v>1</v>
      </c>
      <c r="I6" s="21">
        <v>0</v>
      </c>
      <c r="J6" s="21">
        <v>0</v>
      </c>
      <c r="K6" s="21">
        <v>2</v>
      </c>
      <c r="L6" s="21">
        <v>0</v>
      </c>
      <c r="M6" s="21">
        <v>0</v>
      </c>
      <c r="N6" s="21">
        <v>3</v>
      </c>
    </row>
    <row r="7" spans="1:14" ht="26.25" customHeight="1">
      <c r="A7" s="19" t="s">
        <v>1133</v>
      </c>
      <c r="B7" s="23">
        <v>1</v>
      </c>
      <c r="C7" s="23">
        <v>0</v>
      </c>
      <c r="D7" s="23">
        <v>1</v>
      </c>
      <c r="E7" s="23">
        <v>0</v>
      </c>
      <c r="F7" s="23">
        <v>0</v>
      </c>
      <c r="G7" s="23">
        <v>0</v>
      </c>
      <c r="H7" s="23">
        <v>0</v>
      </c>
      <c r="I7" s="23">
        <v>0</v>
      </c>
      <c r="J7" s="23">
        <v>0</v>
      </c>
      <c r="K7" s="23">
        <v>0</v>
      </c>
      <c r="L7" s="23">
        <v>1</v>
      </c>
      <c r="M7" s="23">
        <v>1</v>
      </c>
      <c r="N7" s="23">
        <v>4</v>
      </c>
    </row>
    <row r="15" spans="1:14" ht="29.25">
      <c r="A15" s="24" t="s">
        <v>1134</v>
      </c>
      <c r="B15" s="25" t="s">
        <v>1135</v>
      </c>
    </row>
    <row r="16" spans="1:14" ht="27" customHeight="1">
      <c r="A16" s="26" t="s">
        <v>1136</v>
      </c>
      <c r="B16" s="27">
        <v>3</v>
      </c>
    </row>
    <row r="17" spans="1:15" ht="27" customHeight="1">
      <c r="A17" s="26" t="s">
        <v>1137</v>
      </c>
      <c r="B17" s="27">
        <v>1</v>
      </c>
    </row>
    <row r="18" spans="1:15" ht="27" customHeight="1">
      <c r="A18" s="26" t="s">
        <v>1138</v>
      </c>
      <c r="B18" s="27">
        <v>30</v>
      </c>
    </row>
    <row r="19" spans="1:15" ht="27" customHeight="1">
      <c r="A19" s="26" t="s">
        <v>1139</v>
      </c>
      <c r="B19" s="27">
        <v>32</v>
      </c>
    </row>
    <row r="20" spans="1:15" ht="27" customHeight="1">
      <c r="A20" s="26" t="s">
        <v>1140</v>
      </c>
      <c r="B20" s="27">
        <v>2</v>
      </c>
    </row>
    <row r="21" spans="1:15" ht="27" customHeight="1">
      <c r="A21" s="26" t="s">
        <v>1141</v>
      </c>
      <c r="B21" s="27">
        <v>3</v>
      </c>
    </row>
    <row r="22" spans="1:15" ht="27" customHeight="1">
      <c r="A22" s="26" t="s">
        <v>1142</v>
      </c>
      <c r="B22" s="27">
        <v>1</v>
      </c>
    </row>
    <row r="23" spans="1:15" ht="27" customHeight="1">
      <c r="A23" s="26" t="s">
        <v>1143</v>
      </c>
      <c r="B23" s="27">
        <v>1</v>
      </c>
    </row>
    <row r="24" spans="1:15" ht="27" customHeight="1">
      <c r="A24" s="26" t="s">
        <v>1144</v>
      </c>
      <c r="B24" s="27">
        <v>2</v>
      </c>
    </row>
    <row r="25" spans="1:15" ht="27" customHeight="1">
      <c r="A25" s="26" t="s">
        <v>1145</v>
      </c>
      <c r="B25" s="27">
        <v>1</v>
      </c>
    </row>
    <row r="30" spans="1:15">
      <c r="A30" s="31" t="s">
        <v>1146</v>
      </c>
      <c r="B30" s="28">
        <v>45658</v>
      </c>
      <c r="C30" s="28">
        <v>45689</v>
      </c>
      <c r="D30" s="28">
        <v>45717</v>
      </c>
      <c r="E30" s="28">
        <v>45748</v>
      </c>
      <c r="F30" s="28">
        <v>45778</v>
      </c>
      <c r="G30" s="28">
        <v>45809</v>
      </c>
      <c r="H30" s="28">
        <v>45839</v>
      </c>
      <c r="I30" s="28">
        <v>45870</v>
      </c>
      <c r="J30" s="28">
        <v>45901</v>
      </c>
      <c r="K30" s="28">
        <v>45931</v>
      </c>
      <c r="L30" s="28">
        <v>45962</v>
      </c>
      <c r="M30" s="28">
        <v>45992</v>
      </c>
      <c r="N30" s="15"/>
      <c r="O30" s="15"/>
    </row>
    <row r="31" spans="1:15">
      <c r="A31" s="29" t="s">
        <v>1147</v>
      </c>
      <c r="B31" s="30"/>
      <c r="C31" s="30">
        <v>1</v>
      </c>
      <c r="D31" s="30"/>
      <c r="E31" s="30">
        <v>1</v>
      </c>
      <c r="F31" s="30"/>
      <c r="G31" s="30"/>
      <c r="H31" s="30">
        <v>1</v>
      </c>
      <c r="I31" s="30">
        <v>1</v>
      </c>
      <c r="J31" s="30">
        <v>2</v>
      </c>
      <c r="K31" s="30">
        <v>3</v>
      </c>
      <c r="L31" s="30">
        <v>1</v>
      </c>
      <c r="M31" s="30"/>
    </row>
    <row r="32" spans="1:15">
      <c r="A32" s="29" t="s">
        <v>1141</v>
      </c>
      <c r="B32" s="30"/>
      <c r="C32" s="30"/>
      <c r="D32" s="30">
        <v>2</v>
      </c>
      <c r="E32" s="30"/>
      <c r="F32" s="30">
        <v>1</v>
      </c>
      <c r="G32" s="30"/>
      <c r="H32" s="30">
        <v>1</v>
      </c>
      <c r="I32" s="30"/>
      <c r="J32" s="30"/>
      <c r="K32" s="30"/>
      <c r="L32" s="30"/>
      <c r="M32" s="30"/>
    </row>
    <row r="33" spans="1:13">
      <c r="A33" s="29" t="s">
        <v>1148</v>
      </c>
      <c r="B33" s="30"/>
      <c r="C33" s="30"/>
      <c r="D33" s="30"/>
      <c r="E33" s="30"/>
      <c r="F33" s="30"/>
      <c r="G33" s="30"/>
      <c r="H33" s="30"/>
      <c r="I33" s="30"/>
      <c r="J33" s="30"/>
      <c r="K33" s="30">
        <v>1</v>
      </c>
      <c r="L33" s="30"/>
      <c r="M33" s="30"/>
    </row>
    <row r="34" spans="1:13">
      <c r="A34" s="29" t="s">
        <v>1149</v>
      </c>
      <c r="B34" s="30"/>
      <c r="C34" s="30"/>
      <c r="D34" s="30"/>
      <c r="E34" s="30"/>
      <c r="F34" s="30"/>
      <c r="G34" s="30"/>
      <c r="H34" s="30"/>
      <c r="I34" s="30"/>
      <c r="J34" s="30"/>
      <c r="K34" s="30"/>
      <c r="L34" s="30"/>
      <c r="M34" s="30"/>
    </row>
    <row r="39" spans="1:13">
      <c r="A39" s="31" t="s">
        <v>1150</v>
      </c>
      <c r="B39" s="28">
        <v>45658</v>
      </c>
      <c r="C39" s="28">
        <v>45689</v>
      </c>
      <c r="D39" s="28">
        <v>45717</v>
      </c>
      <c r="E39" s="28">
        <v>45748</v>
      </c>
      <c r="F39" s="28">
        <v>45778</v>
      </c>
      <c r="G39" s="28">
        <v>45809</v>
      </c>
      <c r="H39" s="28">
        <v>45839</v>
      </c>
      <c r="I39" s="28">
        <v>45870</v>
      </c>
      <c r="J39" s="28">
        <v>45901</v>
      </c>
      <c r="K39" s="28">
        <v>45931</v>
      </c>
      <c r="L39" s="28">
        <v>45962</v>
      </c>
      <c r="M39" s="28">
        <v>45992</v>
      </c>
    </row>
    <row r="40" spans="1:13">
      <c r="A40" s="29" t="s">
        <v>1147</v>
      </c>
      <c r="B40" s="30">
        <v>4</v>
      </c>
      <c r="C40" s="30">
        <v>4</v>
      </c>
      <c r="D40" s="30">
        <v>4</v>
      </c>
      <c r="E40" s="30">
        <v>7</v>
      </c>
      <c r="F40" s="30">
        <v>5</v>
      </c>
      <c r="G40" s="30">
        <v>4</v>
      </c>
      <c r="H40" s="30">
        <v>4</v>
      </c>
      <c r="I40" s="30">
        <v>5</v>
      </c>
      <c r="J40" s="30">
        <v>6</v>
      </c>
      <c r="K40" s="30">
        <v>9</v>
      </c>
      <c r="L40" s="30">
        <v>3</v>
      </c>
      <c r="M40" s="30"/>
    </row>
    <row r="41" spans="1:13">
      <c r="A41" s="29" t="s">
        <v>1141</v>
      </c>
      <c r="B41" s="30"/>
      <c r="C41" s="30"/>
      <c r="D41" s="30">
        <v>1</v>
      </c>
      <c r="E41" s="30"/>
      <c r="F41" s="30">
        <v>1</v>
      </c>
      <c r="G41" s="30"/>
      <c r="H41" s="30">
        <v>2</v>
      </c>
      <c r="I41" s="30"/>
      <c r="J41" s="30"/>
      <c r="K41" s="30"/>
      <c r="L41" s="30"/>
      <c r="M41" s="30"/>
    </row>
    <row r="42" spans="1:13">
      <c r="A42" s="29" t="s">
        <v>1148</v>
      </c>
      <c r="B42" s="30"/>
      <c r="C42" s="30"/>
      <c r="D42" s="30"/>
      <c r="E42" s="30"/>
      <c r="F42" s="30"/>
      <c r="G42" s="30"/>
      <c r="H42" s="30"/>
      <c r="I42" s="30"/>
      <c r="J42" s="30">
        <v>2</v>
      </c>
      <c r="K42" s="30">
        <v>1</v>
      </c>
      <c r="L42" s="30"/>
      <c r="M42" s="30"/>
    </row>
    <row r="43" spans="1:13">
      <c r="A43" s="29" t="s">
        <v>1149</v>
      </c>
      <c r="B43" s="30"/>
      <c r="C43" s="30"/>
      <c r="D43" s="30"/>
      <c r="E43" s="30"/>
      <c r="F43" s="30"/>
      <c r="G43" s="30"/>
      <c r="H43" s="30"/>
      <c r="I43" s="30"/>
      <c r="J43" s="30"/>
      <c r="K43" s="30"/>
      <c r="L43" s="30"/>
      <c r="M43" s="30"/>
    </row>
    <row r="50" spans="1:13" ht="30.75">
      <c r="A50" s="39" t="s">
        <v>1151</v>
      </c>
      <c r="B50" s="32">
        <v>45658</v>
      </c>
      <c r="C50" s="33">
        <v>45689</v>
      </c>
      <c r="D50" s="33">
        <v>45717</v>
      </c>
      <c r="E50" s="33">
        <v>45748</v>
      </c>
      <c r="F50" s="33">
        <v>45778</v>
      </c>
      <c r="G50" s="33">
        <v>45809</v>
      </c>
      <c r="H50" s="33">
        <v>45839</v>
      </c>
      <c r="I50" s="33">
        <v>45870</v>
      </c>
      <c r="J50" s="33">
        <v>45901</v>
      </c>
      <c r="K50" s="33">
        <v>45931</v>
      </c>
      <c r="L50" s="33">
        <v>45962</v>
      </c>
      <c r="M50" s="33">
        <v>45992</v>
      </c>
    </row>
    <row r="51" spans="1:13">
      <c r="A51" s="34" t="s">
        <v>1152</v>
      </c>
      <c r="B51" s="30"/>
      <c r="C51" s="30"/>
      <c r="D51" s="30"/>
      <c r="E51" s="30"/>
      <c r="F51" s="30"/>
      <c r="G51" s="30"/>
      <c r="H51" s="30">
        <v>1</v>
      </c>
      <c r="I51" s="30"/>
      <c r="J51" s="30"/>
      <c r="K51" s="30">
        <v>2</v>
      </c>
      <c r="L51" s="30"/>
      <c r="M51" s="30"/>
    </row>
    <row r="52" spans="1:13">
      <c r="A52" s="35" t="s">
        <v>1153</v>
      </c>
      <c r="B52" s="30">
        <v>3</v>
      </c>
      <c r="C52" s="30">
        <v>2</v>
      </c>
      <c r="D52" s="30">
        <v>1</v>
      </c>
      <c r="E52" s="30">
        <v>1</v>
      </c>
      <c r="F52" s="30"/>
      <c r="G52" s="30"/>
      <c r="H52" s="30"/>
      <c r="I52" s="30"/>
      <c r="J52" s="30"/>
      <c r="K52" s="30"/>
      <c r="L52" s="30"/>
      <c r="M52" s="30"/>
    </row>
    <row r="53" spans="1:13">
      <c r="A53" s="35" t="s">
        <v>1154</v>
      </c>
      <c r="B53" s="30"/>
      <c r="C53" s="30"/>
      <c r="D53" s="30"/>
      <c r="E53" s="30"/>
      <c r="F53" s="30"/>
      <c r="G53" s="30">
        <v>1</v>
      </c>
      <c r="H53" s="30">
        <v>1</v>
      </c>
      <c r="I53" s="30"/>
      <c r="J53" s="30">
        <v>1</v>
      </c>
      <c r="K53" s="30">
        <v>2</v>
      </c>
      <c r="L53" s="30"/>
      <c r="M53" s="30"/>
    </row>
    <row r="54" spans="1:13">
      <c r="A54" s="35" t="s">
        <v>1155</v>
      </c>
      <c r="B54" s="30">
        <v>2</v>
      </c>
      <c r="C54" s="30">
        <v>2</v>
      </c>
      <c r="D54" s="30">
        <v>3</v>
      </c>
      <c r="E54" s="30">
        <v>4</v>
      </c>
      <c r="F54" s="30">
        <v>4</v>
      </c>
      <c r="G54" s="30">
        <v>1</v>
      </c>
      <c r="H54" s="30">
        <v>3</v>
      </c>
      <c r="I54" s="30">
        <v>4</v>
      </c>
      <c r="J54" s="30">
        <v>7</v>
      </c>
      <c r="K54" s="30">
        <v>8</v>
      </c>
      <c r="L54" s="30"/>
      <c r="M54" s="30">
        <v>3</v>
      </c>
    </row>
    <row r="55" spans="1:13">
      <c r="A55" s="35" t="s">
        <v>1156</v>
      </c>
      <c r="B55" s="30"/>
      <c r="C55" s="30"/>
      <c r="D55" s="30"/>
      <c r="E55" s="30"/>
      <c r="F55" s="30">
        <v>2</v>
      </c>
      <c r="G55" s="30"/>
      <c r="H55" s="30"/>
      <c r="I55" s="30">
        <v>1</v>
      </c>
      <c r="J55" s="30">
        <v>1</v>
      </c>
      <c r="K55" s="30">
        <v>2</v>
      </c>
      <c r="L55" s="30">
        <v>3</v>
      </c>
      <c r="M55" s="30">
        <v>3</v>
      </c>
    </row>
    <row r="56" spans="1:13">
      <c r="A56" s="35" t="s">
        <v>1157</v>
      </c>
      <c r="B56" s="30"/>
      <c r="C56" s="30"/>
      <c r="D56" s="30"/>
      <c r="E56" s="30"/>
      <c r="F56" s="30"/>
      <c r="G56" s="30"/>
      <c r="H56" s="30"/>
      <c r="I56" s="30"/>
      <c r="J56" s="30"/>
      <c r="K56" s="30"/>
      <c r="L56" s="30"/>
      <c r="M56" s="30"/>
    </row>
    <row r="62" spans="1:13" ht="30.75">
      <c r="A62" s="39" t="s">
        <v>1151</v>
      </c>
      <c r="B62" s="36">
        <v>45292</v>
      </c>
      <c r="C62" s="36">
        <v>45323</v>
      </c>
      <c r="D62" s="36">
        <v>45352</v>
      </c>
      <c r="E62" s="36">
        <v>45383</v>
      </c>
      <c r="F62" s="36">
        <v>45413</v>
      </c>
      <c r="G62" s="36">
        <v>45444</v>
      </c>
      <c r="H62" s="36">
        <v>45474</v>
      </c>
      <c r="I62" s="36">
        <v>45505</v>
      </c>
      <c r="J62" s="36">
        <v>45536</v>
      </c>
      <c r="K62" s="36">
        <v>45566</v>
      </c>
      <c r="L62" s="36">
        <v>45597</v>
      </c>
      <c r="M62" s="36">
        <v>45627</v>
      </c>
    </row>
    <row r="63" spans="1:13">
      <c r="A63" s="34" t="s">
        <v>1152</v>
      </c>
      <c r="B63" s="30"/>
      <c r="C63" s="30"/>
      <c r="D63" s="30">
        <v>1</v>
      </c>
      <c r="E63" s="30">
        <v>1</v>
      </c>
      <c r="F63" s="30"/>
      <c r="G63" s="30"/>
      <c r="H63" s="30">
        <v>1</v>
      </c>
      <c r="I63" s="30">
        <v>1</v>
      </c>
      <c r="J63" s="30">
        <v>2</v>
      </c>
      <c r="K63" s="30">
        <v>3</v>
      </c>
      <c r="L63" s="30"/>
      <c r="M63" s="30">
        <v>2</v>
      </c>
    </row>
    <row r="64" spans="1:13">
      <c r="A64" s="35" t="s">
        <v>1153</v>
      </c>
      <c r="B64" s="30">
        <v>1</v>
      </c>
      <c r="C64" s="30"/>
      <c r="D64" s="30"/>
      <c r="E64" s="30"/>
      <c r="F64" s="30"/>
      <c r="G64" s="30"/>
      <c r="H64" s="30"/>
      <c r="I64" s="30"/>
      <c r="J64" s="30"/>
      <c r="K64" s="30">
        <v>3</v>
      </c>
      <c r="L64" s="30"/>
      <c r="M64" s="30">
        <v>2</v>
      </c>
    </row>
    <row r="65" spans="1:13">
      <c r="A65" s="35" t="s">
        <v>1154</v>
      </c>
      <c r="C65" s="30"/>
      <c r="D65" s="30"/>
      <c r="E65" s="30"/>
      <c r="F65" s="30"/>
      <c r="G65" s="30"/>
      <c r="H65" s="30"/>
      <c r="I65" s="30"/>
      <c r="J65" s="30"/>
      <c r="K65" s="30">
        <v>1</v>
      </c>
      <c r="L65" s="30"/>
      <c r="M65" s="30"/>
    </row>
    <row r="66" spans="1:13">
      <c r="A66" s="35" t="s">
        <v>1155</v>
      </c>
      <c r="B66" s="30">
        <v>2</v>
      </c>
      <c r="C66" s="30"/>
      <c r="D66" s="30">
        <v>1</v>
      </c>
      <c r="E66" s="30">
        <v>4</v>
      </c>
      <c r="F66" s="30">
        <v>1</v>
      </c>
      <c r="G66" s="30">
        <v>1</v>
      </c>
      <c r="H66" s="30">
        <v>3</v>
      </c>
      <c r="I66" s="30">
        <v>2</v>
      </c>
      <c r="J66" s="30">
        <v>5</v>
      </c>
      <c r="K66" s="30">
        <v>2</v>
      </c>
      <c r="L66" s="30">
        <v>6</v>
      </c>
      <c r="M66" s="30">
        <v>5</v>
      </c>
    </row>
    <row r="67" spans="1:13">
      <c r="A67" s="35" t="s">
        <v>1156</v>
      </c>
      <c r="B67" s="30"/>
      <c r="C67" s="30"/>
      <c r="D67" s="30"/>
      <c r="E67" s="30"/>
      <c r="F67" s="30"/>
      <c r="G67" s="30"/>
      <c r="H67" s="30"/>
      <c r="I67" s="30"/>
      <c r="J67" s="30"/>
      <c r="K67" s="30"/>
      <c r="L67" s="30">
        <v>2</v>
      </c>
      <c r="M67" s="30">
        <v>1</v>
      </c>
    </row>
    <row r="68" spans="1:13">
      <c r="A68" s="35" t="s">
        <v>1157</v>
      </c>
      <c r="B68" s="30"/>
      <c r="C68" s="30"/>
      <c r="D68" s="30"/>
      <c r="E68" s="30"/>
      <c r="F68" s="30"/>
      <c r="G68" s="30"/>
      <c r="H68" s="30"/>
      <c r="I68" s="30"/>
      <c r="J68" s="30"/>
      <c r="K68" s="30"/>
      <c r="L68" s="30"/>
      <c r="M68"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DE7D4-9EDD-4260-B84D-53144979D292}">
  <sheetPr>
    <tabColor rgb="FF92D050"/>
  </sheetPr>
  <dimension ref="A1:DU68"/>
  <sheetViews>
    <sheetView tabSelected="1" workbookViewId="0">
      <pane ySplit="2" topLeftCell="A48" activePane="bottomLeft" state="frozen"/>
      <selection pane="bottomLeft" activeCell="D2" sqref="D2"/>
    </sheetView>
  </sheetViews>
  <sheetFormatPr defaultRowHeight="15"/>
  <cols>
    <col min="1" max="1" width="18.5703125" style="14" customWidth="1"/>
    <col min="2" max="2" width="17.140625" style="14" customWidth="1"/>
    <col min="3" max="3" width="15.5703125" style="14" customWidth="1"/>
    <col min="4" max="4" width="18.5703125" style="14" customWidth="1"/>
    <col min="5" max="5" width="17" style="14" customWidth="1"/>
    <col min="6" max="6" width="15" style="14" customWidth="1"/>
    <col min="7" max="7" width="19" style="14" customWidth="1"/>
    <col min="8" max="8" width="16.140625" style="14" customWidth="1"/>
    <col min="9" max="10" width="15.42578125" style="14" customWidth="1"/>
    <col min="11" max="19" width="18.5703125" style="14" customWidth="1"/>
    <col min="20" max="20" width="39.140625" style="14" customWidth="1"/>
    <col min="21" max="25" width="18.5703125" style="14" customWidth="1"/>
    <col min="26" max="26" width="28.140625" style="14" customWidth="1"/>
    <col min="27" max="27" width="32" style="14" customWidth="1"/>
    <col min="28" max="28" width="64.28515625" style="14" customWidth="1"/>
    <col min="29" max="30" width="20.28515625" style="14" customWidth="1"/>
    <col min="31" max="32" width="16.5703125" style="14" customWidth="1"/>
    <col min="33" max="33" width="17.85546875" style="14" customWidth="1"/>
    <col min="34" max="35" width="16.5703125" style="14" customWidth="1"/>
    <col min="36" max="36" width="21.7109375" style="14" customWidth="1"/>
    <col min="37" max="38" width="16.5703125" style="14" customWidth="1"/>
    <col min="39" max="39" width="18.42578125" style="14" customWidth="1"/>
    <col min="40" max="40" width="16.5703125" style="14" customWidth="1"/>
    <col min="41" max="41" width="18.42578125" style="14" customWidth="1"/>
    <col min="42" max="42" width="55.140625" style="14" customWidth="1"/>
    <col min="43" max="43" width="21.85546875" style="14" customWidth="1"/>
    <col min="44" max="44" width="14" style="14" customWidth="1"/>
    <col min="45" max="45" width="18.28515625" style="14" customWidth="1"/>
    <col min="46" max="46" width="19.140625" style="14" customWidth="1"/>
    <col min="47" max="47" width="21.28515625" style="14" customWidth="1"/>
    <col min="48" max="48" width="17.5703125" style="14" customWidth="1"/>
    <col min="49" max="49" width="17.140625" style="14" customWidth="1"/>
    <col min="50" max="50" width="16.7109375" style="14" customWidth="1"/>
    <col min="51" max="51" width="39.42578125" style="14" customWidth="1"/>
    <col min="52" max="52" width="22.140625" style="14" customWidth="1"/>
    <col min="53" max="53" width="18.42578125" style="14" customWidth="1"/>
    <col min="54" max="54" width="19.85546875" style="14" customWidth="1"/>
    <col min="55" max="55" width="24.28515625" style="14" customWidth="1"/>
    <col min="56" max="56" width="17.85546875" style="14" customWidth="1"/>
    <col min="57" max="57" width="18.28515625" style="14" customWidth="1"/>
    <col min="58" max="58" width="16.42578125" style="14" customWidth="1"/>
    <col min="59" max="59" width="22.5703125" style="14" customWidth="1"/>
    <col min="60" max="63" width="23.28515625" style="14" customWidth="1"/>
    <col min="64" max="64" width="18.85546875" style="14" customWidth="1"/>
    <col min="65" max="66" width="23.28515625" style="14" customWidth="1"/>
    <col min="67" max="67" width="21" style="14" customWidth="1"/>
    <col min="68" max="68" width="17.85546875" style="14" customWidth="1"/>
    <col min="69" max="69" width="17" style="14" customWidth="1"/>
    <col min="70" max="70" width="16.5703125" style="14" customWidth="1"/>
    <col min="71" max="71" width="18.28515625" style="14" customWidth="1"/>
    <col min="72" max="72" width="24.140625" style="14" customWidth="1"/>
    <col min="73" max="74" width="21.28515625" style="14" customWidth="1"/>
    <col min="75" max="80" width="22.28515625" style="14" customWidth="1"/>
    <col min="81" max="81" width="23.85546875" style="14" customWidth="1"/>
    <col min="82" max="82" width="27.42578125" style="14" customWidth="1"/>
    <col min="83" max="83" width="27.5703125" style="14" customWidth="1"/>
    <col min="84" max="85" width="29.5703125" style="14" customWidth="1"/>
    <col min="86" max="86" width="22.140625" style="14" customWidth="1"/>
    <col min="87" max="87" width="18" style="14" customWidth="1"/>
    <col min="88" max="89" width="20.42578125" style="14" customWidth="1"/>
    <col min="90" max="90" width="21" style="14" customWidth="1"/>
    <col min="91" max="96" width="22.140625" style="14" customWidth="1"/>
    <col min="97" max="97" width="24.140625" style="49" customWidth="1"/>
    <col min="98" max="98" width="22.140625" style="49" customWidth="1"/>
    <col min="99" max="99" width="38.5703125" style="14" customWidth="1"/>
    <col min="100" max="100" width="16.7109375" style="14" customWidth="1"/>
    <col min="101" max="101" width="50.85546875" style="14" customWidth="1"/>
    <col min="102" max="102" width="16.7109375" style="14" customWidth="1"/>
    <col min="103" max="105" width="25.7109375" style="14" customWidth="1"/>
    <col min="106" max="106" width="16.28515625" style="14" customWidth="1"/>
    <col min="107" max="107" width="19.28515625" style="14" customWidth="1"/>
    <col min="108" max="108" width="21.28515625" style="14" customWidth="1"/>
    <col min="109" max="109" width="18" style="14" customWidth="1"/>
    <col min="110" max="110" width="20.42578125" style="14" customWidth="1"/>
    <col min="111" max="111" width="25.7109375" style="47" customWidth="1"/>
    <col min="112" max="16384" width="9.140625" style="14"/>
  </cols>
  <sheetData>
    <row r="1" spans="1:125" ht="69.75" customHeight="1">
      <c r="A1" s="65" t="s">
        <v>0</v>
      </c>
      <c r="B1" s="65" t="s">
        <v>1</v>
      </c>
      <c r="C1" s="65" t="s">
        <v>2</v>
      </c>
      <c r="D1" s="65" t="s">
        <v>4</v>
      </c>
      <c r="E1" s="65" t="s">
        <v>5</v>
      </c>
      <c r="F1" s="65" t="s">
        <v>6</v>
      </c>
      <c r="G1" s="65" t="s">
        <v>7</v>
      </c>
      <c r="H1" s="65" t="s">
        <v>8</v>
      </c>
      <c r="I1" s="65" t="s">
        <v>9</v>
      </c>
      <c r="J1" s="65" t="s">
        <v>10</v>
      </c>
      <c r="K1" s="65" t="s">
        <v>11</v>
      </c>
      <c r="L1" s="65" t="s">
        <v>12</v>
      </c>
      <c r="M1" s="65" t="s">
        <v>13</v>
      </c>
      <c r="N1" s="65" t="s">
        <v>14</v>
      </c>
      <c r="O1" s="65" t="s">
        <v>15</v>
      </c>
      <c r="P1" s="65" t="s">
        <v>16</v>
      </c>
      <c r="Q1" s="65" t="s">
        <v>17</v>
      </c>
      <c r="R1" s="65" t="s">
        <v>18</v>
      </c>
      <c r="S1" s="65" t="s">
        <v>19</v>
      </c>
      <c r="T1" s="65" t="s">
        <v>20</v>
      </c>
      <c r="U1" s="65" t="s">
        <v>21</v>
      </c>
      <c r="V1" s="65" t="s">
        <v>22</v>
      </c>
      <c r="W1" s="65" t="s">
        <v>23</v>
      </c>
      <c r="X1" s="65" t="s">
        <v>24</v>
      </c>
      <c r="Y1" s="65" t="s">
        <v>25</v>
      </c>
      <c r="Z1" s="65" t="s">
        <v>26</v>
      </c>
      <c r="AA1" s="65" t="s">
        <v>27</v>
      </c>
      <c r="AB1" s="65" t="s">
        <v>28</v>
      </c>
      <c r="AC1" s="44" t="s">
        <v>1158</v>
      </c>
      <c r="AD1" s="45" t="s">
        <v>1159</v>
      </c>
      <c r="AE1" s="41" t="s">
        <v>1160</v>
      </c>
      <c r="AF1" s="41" t="s">
        <v>1161</v>
      </c>
      <c r="AG1" s="41" t="s">
        <v>1162</v>
      </c>
      <c r="AH1" s="41" t="s">
        <v>1163</v>
      </c>
      <c r="AI1" s="41" t="s">
        <v>1164</v>
      </c>
      <c r="AJ1" s="41" t="s">
        <v>1165</v>
      </c>
      <c r="AK1" s="41" t="s">
        <v>1166</v>
      </c>
      <c r="AL1" s="41" t="s">
        <v>1167</v>
      </c>
      <c r="AM1" s="41" t="s">
        <v>1168</v>
      </c>
      <c r="AN1" s="41" t="s">
        <v>1169</v>
      </c>
      <c r="AO1" s="41" t="s">
        <v>1170</v>
      </c>
      <c r="AP1" s="41" t="s">
        <v>1171</v>
      </c>
      <c r="AQ1" s="41" t="s">
        <v>1172</v>
      </c>
      <c r="AR1" s="41" t="s">
        <v>1173</v>
      </c>
      <c r="AS1" s="41" t="s">
        <v>1174</v>
      </c>
      <c r="AT1" s="41" t="s">
        <v>1175</v>
      </c>
      <c r="AU1" s="41" t="s">
        <v>1176</v>
      </c>
      <c r="AV1" s="41" t="s">
        <v>1177</v>
      </c>
      <c r="AW1" s="41" t="s">
        <v>1178</v>
      </c>
      <c r="AX1" s="41" t="s">
        <v>1179</v>
      </c>
      <c r="AY1" s="41" t="s">
        <v>1180</v>
      </c>
      <c r="AZ1" s="41" t="s">
        <v>1181</v>
      </c>
      <c r="BA1" s="41" t="s">
        <v>1182</v>
      </c>
      <c r="BB1" s="41" t="s">
        <v>1183</v>
      </c>
      <c r="BC1" s="46" t="s">
        <v>1184</v>
      </c>
      <c r="BD1" s="46" t="s">
        <v>1185</v>
      </c>
      <c r="BE1" s="46" t="s">
        <v>1186</v>
      </c>
      <c r="BF1" s="46" t="s">
        <v>1187</v>
      </c>
      <c r="BG1" s="46" t="s">
        <v>1188</v>
      </c>
      <c r="BH1" s="46" t="s">
        <v>1189</v>
      </c>
      <c r="BI1" s="41" t="s">
        <v>1190</v>
      </c>
      <c r="BJ1" s="41" t="s">
        <v>1191</v>
      </c>
      <c r="BK1" s="41" t="s">
        <v>1192</v>
      </c>
      <c r="BL1" s="41" t="s">
        <v>1193</v>
      </c>
      <c r="BM1" s="41" t="s">
        <v>1194</v>
      </c>
      <c r="BN1" s="41" t="s">
        <v>1195</v>
      </c>
      <c r="BO1" s="45" t="s">
        <v>1196</v>
      </c>
      <c r="BP1" s="45" t="s">
        <v>1197</v>
      </c>
      <c r="BQ1" s="45" t="s">
        <v>1198</v>
      </c>
      <c r="BR1" s="45" t="s">
        <v>1199</v>
      </c>
      <c r="BS1" s="45" t="s">
        <v>1200</v>
      </c>
      <c r="BT1" s="45" t="s">
        <v>1201</v>
      </c>
      <c r="BU1" s="45" t="s">
        <v>1202</v>
      </c>
      <c r="BV1" s="45" t="s">
        <v>1203</v>
      </c>
      <c r="BW1" s="45" t="s">
        <v>1204</v>
      </c>
      <c r="BX1" s="41" t="s">
        <v>1205</v>
      </c>
      <c r="BY1" s="41" t="s">
        <v>1206</v>
      </c>
      <c r="BZ1" s="41" t="s">
        <v>1207</v>
      </c>
      <c r="CA1" s="41" t="s">
        <v>1208</v>
      </c>
      <c r="CB1" s="41" t="s">
        <v>1209</v>
      </c>
      <c r="CC1" s="41" t="s">
        <v>1210</v>
      </c>
      <c r="CD1" s="46" t="s">
        <v>1211</v>
      </c>
      <c r="CE1" s="46" t="s">
        <v>1212</v>
      </c>
      <c r="CF1" s="46" t="s">
        <v>1213</v>
      </c>
      <c r="CG1" s="46" t="s">
        <v>1151</v>
      </c>
      <c r="CH1" s="41" t="s">
        <v>1214</v>
      </c>
      <c r="CI1" s="41" t="s">
        <v>1215</v>
      </c>
      <c r="CJ1" s="41" t="s">
        <v>1216</v>
      </c>
      <c r="CK1" s="41" t="s">
        <v>1217</v>
      </c>
      <c r="CL1" s="41" t="s">
        <v>1218</v>
      </c>
      <c r="CM1" s="41" t="s">
        <v>1219</v>
      </c>
      <c r="CN1" s="41" t="s">
        <v>1220</v>
      </c>
      <c r="CO1" s="41" t="s">
        <v>1221</v>
      </c>
      <c r="CP1" s="41" t="s">
        <v>1222</v>
      </c>
      <c r="CQ1" s="41" t="s">
        <v>1223</v>
      </c>
      <c r="CR1" s="41" t="s">
        <v>1224</v>
      </c>
      <c r="CS1" s="52" t="s">
        <v>1225</v>
      </c>
      <c r="CT1" s="52" t="s">
        <v>1226</v>
      </c>
      <c r="CU1" s="41" t="s">
        <v>1227</v>
      </c>
      <c r="CV1" s="41" t="s">
        <v>1228</v>
      </c>
      <c r="CW1" s="41" t="s">
        <v>1229</v>
      </c>
      <c r="CX1" s="41" t="s">
        <v>1230</v>
      </c>
      <c r="CY1" s="41" t="s">
        <v>1231</v>
      </c>
      <c r="CZ1" s="41" t="s">
        <v>1232</v>
      </c>
      <c r="DA1" s="41" t="s">
        <v>1233</v>
      </c>
      <c r="DB1" s="41" t="s">
        <v>1234</v>
      </c>
      <c r="DC1" s="41" t="s">
        <v>1235</v>
      </c>
      <c r="DD1" s="41" t="s">
        <v>1236</v>
      </c>
      <c r="DE1" s="41" t="s">
        <v>1237</v>
      </c>
      <c r="DF1" s="41" t="s">
        <v>1238</v>
      </c>
      <c r="DG1" s="44" t="s">
        <v>1239</v>
      </c>
      <c r="DH1" s="59"/>
      <c r="DI1" s="59"/>
      <c r="DJ1" s="59"/>
      <c r="DK1" s="59"/>
      <c r="DL1" s="59"/>
      <c r="DM1" s="59"/>
      <c r="DN1" s="59"/>
      <c r="DO1" s="59"/>
      <c r="DP1" s="59"/>
      <c r="DQ1" s="59"/>
      <c r="DR1" s="59"/>
      <c r="DS1" s="59"/>
      <c r="DT1" s="59"/>
      <c r="DU1" s="59"/>
    </row>
    <row r="2" spans="1:125" ht="136.5" customHeight="1">
      <c r="A2" s="64">
        <f>report!A69</f>
        <v>46024.270833333299</v>
      </c>
      <c r="B2" s="66">
        <f>report!B69</f>
        <v>46024.281585648103</v>
      </c>
      <c r="C2" s="66" t="str">
        <f>report!C69</f>
        <v>anónimo</v>
      </c>
      <c r="D2" s="66" t="str">
        <f>report!E69</f>
        <v>JHON HAWER MURCIA</v>
      </c>
      <c r="E2" s="66">
        <f>report!F69</f>
        <v>46023</v>
      </c>
      <c r="F2" s="66" t="str">
        <f>report!G69</f>
        <v>17:12</v>
      </c>
      <c r="G2" s="66" t="str">
        <f>report!H69</f>
        <v>LKK334</v>
      </c>
      <c r="H2" s="66" t="str">
        <f>report!I69</f>
        <v>SURA</v>
      </c>
      <c r="I2" s="66" t="str">
        <f>report!J69</f>
        <v>Si</v>
      </c>
      <c r="J2" s="66" t="str">
        <f>report!K69</f>
        <v>0</v>
      </c>
      <c r="K2" s="66" t="str">
        <f>report!L69</f>
        <v>JUAN MANUEL TRIVINO MARTINEZ</v>
      </c>
      <c r="L2" s="66" t="str">
        <f>report!M69</f>
        <v>80032485</v>
      </c>
      <c r="M2" s="66" t="str">
        <f>report!N69</f>
        <v xml:space="preserve"> 305 3816384</v>
      </c>
      <c r="N2" s="66" t="str">
        <f>report!O69</f>
        <v>Accidente Ambienta (afectación al ecosistema por derrames, impacto con animal en la vía)</v>
      </c>
      <c r="O2" s="66" t="str">
        <f>report!P69</f>
        <v>Daño Material a Tercero</v>
      </c>
      <c r="P2" s="66" t="str">
        <f>report!Q69</f>
        <v>Acto inseguro de Tercero</v>
      </c>
      <c r="Q2" s="66" t="str">
        <f>report!R69</f>
        <v>N/A</v>
      </c>
      <c r="R2" s="66" t="str">
        <f>report!S69</f>
        <v>0</v>
      </c>
      <c r="S2" s="66" t="str">
        <f>report!T69</f>
        <v>0</v>
      </c>
      <c r="T2" s="66" t="str">
        <f>report!U69</f>
        <v xml:space="preserve">ME INDICA EL CONDUCTOR QUE EL PERRO SE GOLPEA CON LAS LLANTAS TRASERAS DEL VEHICULO Y LO LLEVAN A UNA CLINICA VETERINARIA </v>
      </c>
      <c r="U2" s="66" t="str">
        <f>report!V69</f>
        <v>NO</v>
      </c>
      <c r="V2" s="66" t="str">
        <f>report!W69</f>
        <v>SI</v>
      </c>
      <c r="W2" s="66" t="str">
        <f>report!X69</f>
        <v>NO</v>
      </c>
      <c r="X2" s="66" t="str">
        <f>report!Y69</f>
        <v>NO</v>
      </c>
      <c r="Y2" s="66" t="str">
        <f>report!Z69</f>
        <v>SI</v>
      </c>
      <c r="Z2" s="66" t="str">
        <f>report!AA69</f>
        <v>HACER ACOMPAÑAMIENTO TELEFONICO HASTA SOLUCIONAR LA NOVEDAD</v>
      </c>
      <c r="AA2" s="66" t="str">
        <f>report!AB69</f>
        <v>NO</v>
      </c>
      <c r="AB2" s="67">
        <f>report!AC69</f>
        <v>0</v>
      </c>
      <c r="AC2" s="47">
        <v>46029</v>
      </c>
      <c r="AD2" s="48">
        <v>0.67708333333333337</v>
      </c>
      <c r="AE2" s="43" t="s">
        <v>1240</v>
      </c>
      <c r="AF2" s="43" t="s">
        <v>1240</v>
      </c>
      <c r="AG2" s="43" t="s">
        <v>1240</v>
      </c>
      <c r="AH2" s="43" t="s">
        <v>1240</v>
      </c>
      <c r="AI2" s="43" t="s">
        <v>1241</v>
      </c>
      <c r="AJ2" s="43" t="s">
        <v>1241</v>
      </c>
      <c r="AK2" s="43" t="s">
        <v>44</v>
      </c>
      <c r="AL2" s="43" t="s">
        <v>44</v>
      </c>
      <c r="AM2" s="48" t="s">
        <v>44</v>
      </c>
      <c r="AN2" s="14" t="s">
        <v>42</v>
      </c>
      <c r="AO2" s="14">
        <v>2</v>
      </c>
      <c r="AP2" s="14" t="s">
        <v>1242</v>
      </c>
      <c r="AQ2" s="43" t="s">
        <v>1243</v>
      </c>
      <c r="AR2" s="47">
        <v>29405</v>
      </c>
      <c r="AS2" s="47">
        <v>45795</v>
      </c>
      <c r="AT2" s="14" t="s">
        <v>1241</v>
      </c>
      <c r="AU2" s="14" t="s">
        <v>1244</v>
      </c>
      <c r="AV2" s="14" t="s">
        <v>42</v>
      </c>
      <c r="AW2" s="14" t="s">
        <v>42</v>
      </c>
      <c r="AX2" s="14" t="s">
        <v>42</v>
      </c>
      <c r="AY2" s="14" t="s">
        <v>1245</v>
      </c>
      <c r="AZ2" s="14" t="s">
        <v>1246</v>
      </c>
      <c r="BA2" s="14" t="s">
        <v>1247</v>
      </c>
      <c r="BB2" s="43" t="s">
        <v>1248</v>
      </c>
      <c r="BC2" s="14" t="s">
        <v>1249</v>
      </c>
      <c r="BD2" s="14" t="s">
        <v>1241</v>
      </c>
      <c r="BE2" s="14" t="s">
        <v>1241</v>
      </c>
      <c r="BF2" s="14" t="s">
        <v>1250</v>
      </c>
      <c r="BG2" s="14" t="s">
        <v>1241</v>
      </c>
      <c r="BH2" s="14" t="s">
        <v>1241</v>
      </c>
      <c r="BI2" s="14" t="s">
        <v>1251</v>
      </c>
      <c r="BJ2" s="14" t="s">
        <v>1252</v>
      </c>
      <c r="BK2" s="47">
        <v>46023</v>
      </c>
      <c r="BL2" s="48">
        <v>0.70833333333333337</v>
      </c>
      <c r="BM2" s="14" t="s">
        <v>1253</v>
      </c>
      <c r="BN2" s="14" t="s">
        <v>1254</v>
      </c>
      <c r="BO2" s="14" t="s">
        <v>1255</v>
      </c>
      <c r="BP2" s="14" t="s">
        <v>1256</v>
      </c>
      <c r="BQ2" s="14" t="s">
        <v>1257</v>
      </c>
      <c r="BR2" s="14" t="s">
        <v>1241</v>
      </c>
      <c r="BS2" s="14" t="s">
        <v>42</v>
      </c>
      <c r="BT2" s="14" t="s">
        <v>1258</v>
      </c>
      <c r="BU2" s="14" t="s">
        <v>1259</v>
      </c>
      <c r="BV2" s="14" t="s">
        <v>1260</v>
      </c>
      <c r="BW2" s="14" t="s">
        <v>1261</v>
      </c>
      <c r="BX2" s="43" t="s">
        <v>42</v>
      </c>
      <c r="BY2" s="43" t="s">
        <v>42</v>
      </c>
      <c r="BZ2" s="43" t="s">
        <v>42</v>
      </c>
      <c r="CA2" s="43" t="s">
        <v>42</v>
      </c>
      <c r="CB2" s="14" t="s">
        <v>1262</v>
      </c>
      <c r="CC2" s="14" t="s">
        <v>1263</v>
      </c>
      <c r="CD2" s="14" t="s">
        <v>1264</v>
      </c>
      <c r="CE2" s="14" t="s">
        <v>1265</v>
      </c>
      <c r="CF2" s="43" t="s">
        <v>1148</v>
      </c>
      <c r="CG2" s="43" t="s">
        <v>1154</v>
      </c>
      <c r="CH2" s="49">
        <v>1750905</v>
      </c>
      <c r="CI2" s="50">
        <f>IFERROR((CH2/30),0)</f>
        <v>58363.5</v>
      </c>
      <c r="CJ2" s="14">
        <v>0</v>
      </c>
      <c r="CK2" s="14">
        <v>0</v>
      </c>
      <c r="CL2" s="14">
        <f>CJ2+CK2</f>
        <v>0</v>
      </c>
      <c r="CM2" s="14">
        <v>0</v>
      </c>
      <c r="CN2" s="43">
        <f>CI2*CL2</f>
        <v>0</v>
      </c>
      <c r="CO2" s="50">
        <v>0</v>
      </c>
      <c r="CP2" s="14">
        <v>0</v>
      </c>
      <c r="CQ2" s="14">
        <v>0</v>
      </c>
      <c r="CR2" s="14">
        <v>0</v>
      </c>
      <c r="CS2" s="49">
        <v>200000</v>
      </c>
      <c r="CT2" s="49">
        <f>IFERROR((CN2+CO2+CP2+CQ2+CR2+CS2),0)</f>
        <v>200000</v>
      </c>
      <c r="CU2" s="43" t="s">
        <v>1266</v>
      </c>
      <c r="CV2" s="47">
        <v>46037</v>
      </c>
      <c r="CW2" s="14" t="s">
        <v>1267</v>
      </c>
      <c r="CX2" s="14" t="s">
        <v>42</v>
      </c>
      <c r="CY2" s="14" t="s">
        <v>42</v>
      </c>
      <c r="CZ2" s="14" t="s">
        <v>42</v>
      </c>
      <c r="DA2" s="14" t="s">
        <v>42</v>
      </c>
      <c r="DB2" s="14" t="s">
        <v>1268</v>
      </c>
      <c r="DC2" s="47">
        <v>46028</v>
      </c>
      <c r="DD2" s="14" t="s">
        <v>1269</v>
      </c>
      <c r="DE2" s="47">
        <v>46080</v>
      </c>
      <c r="DF2" s="14" t="s">
        <v>1270</v>
      </c>
      <c r="DG2" s="47">
        <v>46037</v>
      </c>
    </row>
    <row r="3" spans="1:125" ht="136.5" customHeight="1">
      <c r="A3" s="13">
        <f>report!A72</f>
        <v>46037.278761574104</v>
      </c>
      <c r="B3" s="13">
        <f>report!B72</f>
        <v>46037.285393518498</v>
      </c>
      <c r="C3" s="13" t="str">
        <f>report!C72</f>
        <v>anónimo</v>
      </c>
      <c r="D3" s="13" t="str">
        <f>report!E72</f>
        <v>JONATHAN GIRALDO ORREGO</v>
      </c>
      <c r="E3" s="13">
        <f>report!F72</f>
        <v>46035</v>
      </c>
      <c r="F3" s="13" t="str">
        <f>report!G72</f>
        <v>5 PM</v>
      </c>
      <c r="G3" s="13" t="str">
        <f>report!H72</f>
        <v>KTN224</v>
      </c>
      <c r="H3" s="13" t="str">
        <f>report!I72</f>
        <v>SURA</v>
      </c>
      <c r="I3" s="13" t="str">
        <f>report!J72</f>
        <v>No</v>
      </c>
      <c r="J3" s="13" t="str">
        <f>report!K72</f>
        <v>SURA</v>
      </c>
      <c r="K3" s="13" t="str">
        <f>report!L72</f>
        <v>YAID ALEXIS SERNA ZULUAGA</v>
      </c>
      <c r="L3" s="13" t="str">
        <f>report!M72</f>
        <v xml:space="preserve">1017153519 </v>
      </c>
      <c r="M3" s="13" t="str">
        <f>report!N72</f>
        <v>3023952192</v>
      </c>
      <c r="N3" s="13" t="str">
        <f>report!O72</f>
        <v>Accidente de tránsito y transporte dentro del desarrollo de la labor (Si ocurre en la vía con otros vehículos o con otros actores viales implicados)</v>
      </c>
      <c r="O3" s="13" t="str">
        <f>report!P72</f>
        <v>Daño Material propio</v>
      </c>
      <c r="P3" s="13" t="str">
        <f>report!Q72</f>
        <v>Acto inseguro de Tercero</v>
      </c>
      <c r="Q3" s="13" t="str">
        <f>report!R72</f>
        <v>N/A</v>
      </c>
      <c r="R3" s="13" t="str">
        <f>report!S72</f>
        <v>N/A</v>
      </c>
      <c r="S3" s="13" t="str">
        <f>report!T72</f>
        <v>N/A</v>
      </c>
      <c r="T3" s="13" t="str">
        <f>report!U72</f>
        <v xml:space="preserve">El conductor YAID ALEXIS SERNA ZULUAGA cc 1017153519 telefono 3023952192, quien se movilizaba en el vehículo de placas KTN224, se comunicó conmigo para informarme que, en la esquina de la calle 29 con carrera 52, sector Guayabal, fue colisionado en la parte trasera derecha por el camión de placas NLW138.
El impacto se presentó específicamente en la nave trasera, cerca del bocallantas, hacia el bómper, generando un hundimiento en la latonería.
El conductor del camión manifestó que el vehículo no contaba con aseguradora y expresó su intención de llegar a un acuerdo para asumir la reparación de los daños ocasionados. Luego de validar las fotografías enviadas por el conductor Alexis vía WhatsApp y realizar una estimación preliminar del costo de la reparación, se solicitó inicialmente un valor de $800.000.
No obstante, el tercero indicó que no contaba con ese momento y que únicamente contaba con $500.000, valor que fue aceptado por mi parte para llegar a un acuerdo para la reparación. Dicho dinero fue consignado directamente a la cuenta corriente de EMPRESTUR, tal como se evidencia en el soporte de transferencia que se adjunta a este correo.
Con base en lo anterior agradezco lo siguiente:
@Tesoreria
Por favor me confirmas el ingreso del dinero a la cuenta de Emprestur
@Simon David
Por favor programar la intervención y reparación del vehículo KTN224 con Humberto valiente lo mas pronto posible.
@Gustavo Zapata - @Simon David - @Paola Arcila - @Leidy Bolivar
Una vez se reciba la factura correspondiente, esta será cruzada contablemente con el valor consignado por el tercero, muchachos por favor dejar el comentario en el digital para que se cruce con este valor recuperado.
En caso de que el valor total de la reparación supere el monto recibido, la diferencia será asumida por la compañía es decir se lleva al centro de costos del vehículo.
@Jennifer Posada - @Alejandra Betancur
Se dejo el registro en el enlace correspondiente sin embargo considero que como se llego a una solución no requiere investigación, sin embargo lo dejo a su criterio.
</v>
      </c>
      <c r="U3" s="13" t="str">
        <f>report!V72</f>
        <v>NO</v>
      </c>
      <c r="V3" s="13" t="str">
        <f>report!W72</f>
        <v>NO</v>
      </c>
      <c r="W3" s="13" t="str">
        <f>report!X72</f>
        <v>NO</v>
      </c>
      <c r="X3" s="13" t="str">
        <f>report!Y72</f>
        <v>NO</v>
      </c>
      <c r="Y3" s="13" t="str">
        <f>report!Z72</f>
        <v>NO</v>
      </c>
      <c r="Z3" s="13" t="str">
        <f>report!AA72</f>
        <v>Se realiza negociacion con el tercero por medio del conductor y se le dan indicaciones de como proceder.</v>
      </c>
      <c r="AA3" s="13" t="str">
        <f>report!AB72</f>
        <v>SI</v>
      </c>
      <c r="AB3" s="13" t="str">
        <f>report!AC72</f>
        <v>https://emprestur-my.sharepoint.com/personal/alejandra_betancur_emprestur_com/Documents/Aplicaciones/Microsoft%20Forms/INFORMACI%C3%93N%20NOVEDAD%20_%20ACCIDENTES%2026042022%20(2)/SOPORTES%20PARA%20ANEXAR/FOTOS%20ACCIDENTE%20KTN224_anonymous.pdf</v>
      </c>
      <c r="AC3" s="47">
        <v>46062</v>
      </c>
      <c r="AD3" s="48">
        <v>0.58333333333333337</v>
      </c>
      <c r="AE3" s="43" t="s">
        <v>1240</v>
      </c>
      <c r="AF3" s="43" t="s">
        <v>1240</v>
      </c>
      <c r="AG3" s="43" t="s">
        <v>1240</v>
      </c>
      <c r="AH3" s="43" t="s">
        <v>1240</v>
      </c>
      <c r="AI3" s="43" t="s">
        <v>1241</v>
      </c>
      <c r="AJ3" s="43" t="s">
        <v>1241</v>
      </c>
      <c r="AK3" s="43" t="s">
        <v>44</v>
      </c>
      <c r="AL3" s="43" t="s">
        <v>44</v>
      </c>
      <c r="AM3" s="48" t="s">
        <v>44</v>
      </c>
      <c r="AN3" s="14" t="s">
        <v>42</v>
      </c>
      <c r="AO3" s="14">
        <v>2</v>
      </c>
      <c r="AP3" s="14" t="s">
        <v>1271</v>
      </c>
      <c r="AQ3" s="43" t="s">
        <v>1243</v>
      </c>
      <c r="AR3" s="47">
        <v>31941</v>
      </c>
      <c r="AS3" s="47">
        <v>46035</v>
      </c>
      <c r="AT3" s="14" t="s">
        <v>1241</v>
      </c>
      <c r="AU3" s="14" t="s">
        <v>1241</v>
      </c>
      <c r="AV3" s="14" t="s">
        <v>1241</v>
      </c>
      <c r="AW3" s="14" t="s">
        <v>1241</v>
      </c>
      <c r="AX3" s="14" t="s">
        <v>1272</v>
      </c>
      <c r="AY3" s="14" t="s">
        <v>1273</v>
      </c>
      <c r="AZ3" s="14" t="s">
        <v>1274</v>
      </c>
      <c r="BA3" s="14" t="s">
        <v>1275</v>
      </c>
      <c r="BB3" s="43" t="s">
        <v>42</v>
      </c>
      <c r="BC3" s="14" t="s">
        <v>1276</v>
      </c>
      <c r="BD3" s="14" t="s">
        <v>1241</v>
      </c>
      <c r="BE3" s="14" t="s">
        <v>1241</v>
      </c>
      <c r="BF3" s="14" t="s">
        <v>1277</v>
      </c>
      <c r="BG3" s="14" t="s">
        <v>1241</v>
      </c>
      <c r="BH3" s="14" t="s">
        <v>1241</v>
      </c>
      <c r="BI3" s="14" t="s">
        <v>1278</v>
      </c>
      <c r="BJ3" s="14" t="s">
        <v>1279</v>
      </c>
      <c r="BK3" s="47">
        <v>46035</v>
      </c>
      <c r="BL3" s="14">
        <v>0.70833333333333337</v>
      </c>
      <c r="BM3" s="14" t="s">
        <v>1280</v>
      </c>
      <c r="BN3" s="14" t="s">
        <v>1254</v>
      </c>
      <c r="BO3" s="14">
        <v>0.375</v>
      </c>
      <c r="BP3" s="14" t="s">
        <v>42</v>
      </c>
      <c r="BQ3" s="14" t="s">
        <v>42</v>
      </c>
      <c r="BR3" s="14" t="s">
        <v>1241</v>
      </c>
      <c r="BS3" s="14">
        <v>0</v>
      </c>
      <c r="BT3" s="14" t="s">
        <v>1281</v>
      </c>
      <c r="BU3" s="14" t="s">
        <v>1259</v>
      </c>
      <c r="BV3" s="14" t="s">
        <v>1260</v>
      </c>
      <c r="BW3" s="14" t="s">
        <v>1261</v>
      </c>
      <c r="BX3" s="43" t="s">
        <v>42</v>
      </c>
      <c r="BY3" s="43" t="s">
        <v>42</v>
      </c>
      <c r="BZ3" s="43" t="s">
        <v>42</v>
      </c>
      <c r="CA3" s="43" t="s">
        <v>42</v>
      </c>
      <c r="CB3" s="14" t="s">
        <v>1282</v>
      </c>
      <c r="CC3" s="14" t="s">
        <v>872</v>
      </c>
      <c r="CD3" s="14" t="s">
        <v>42</v>
      </c>
      <c r="CE3" s="14" t="s">
        <v>1283</v>
      </c>
      <c r="CF3" s="43" t="s">
        <v>1147</v>
      </c>
      <c r="CG3" s="43" t="s">
        <v>1155</v>
      </c>
      <c r="CH3" s="49">
        <v>1750905</v>
      </c>
      <c r="CI3" s="50">
        <f>IFERROR((CH3/30),0)</f>
        <v>58363.5</v>
      </c>
      <c r="CJ3" s="14">
        <v>0</v>
      </c>
      <c r="CK3" s="14">
        <v>0</v>
      </c>
      <c r="CL3" s="14">
        <v>0</v>
      </c>
      <c r="CM3" s="14">
        <v>2</v>
      </c>
      <c r="CN3" s="43">
        <f>CI3*CL3</f>
        <v>0</v>
      </c>
      <c r="CO3" s="50">
        <f>CM3*CI3</f>
        <v>116727</v>
      </c>
      <c r="CP3" s="14">
        <v>0</v>
      </c>
      <c r="CQ3" s="14">
        <v>0</v>
      </c>
      <c r="CR3" s="14">
        <v>0</v>
      </c>
      <c r="CS3" s="49">
        <v>0</v>
      </c>
      <c r="CT3" s="49">
        <f>IFERROR((CN3+CO3+CP3+CQ3+CR3+CS3),0)</f>
        <v>116727</v>
      </c>
      <c r="CU3" s="43" t="s">
        <v>1266</v>
      </c>
      <c r="CV3" s="47">
        <v>46062</v>
      </c>
      <c r="CW3" s="14" t="s">
        <v>1284</v>
      </c>
      <c r="CX3" s="14" t="s">
        <v>42</v>
      </c>
      <c r="CY3" s="14" t="s">
        <v>42</v>
      </c>
      <c r="CZ3" s="14" t="s">
        <v>42</v>
      </c>
      <c r="DA3" s="14" t="s">
        <v>42</v>
      </c>
      <c r="DB3" s="14" t="s">
        <v>1268</v>
      </c>
      <c r="DC3" s="47">
        <v>46062</v>
      </c>
      <c r="DD3" s="14" t="s">
        <v>1269</v>
      </c>
      <c r="DE3" s="47">
        <v>46073</v>
      </c>
      <c r="DF3" s="14" t="s">
        <v>1285</v>
      </c>
      <c r="DG3" s="47">
        <v>46062</v>
      </c>
    </row>
    <row r="4" spans="1:125" ht="136.5" customHeight="1">
      <c r="A4" s="13">
        <f>report!A73</f>
        <v>46037.300127314797</v>
      </c>
      <c r="B4" s="13">
        <f>report!B73</f>
        <v>46037.309965277796</v>
      </c>
      <c r="C4" s="13" t="str">
        <f>report!C73</f>
        <v>anónimo</v>
      </c>
      <c r="D4" s="13" t="str">
        <f>report!E73</f>
        <v>JONATHAN GIRALDO ORREGO</v>
      </c>
      <c r="E4" s="13">
        <f>report!F73</f>
        <v>46036</v>
      </c>
      <c r="F4" s="13" t="str">
        <f>report!G73</f>
        <v>5:45 PM</v>
      </c>
      <c r="G4" s="13" t="str">
        <f>report!H73</f>
        <v>GTX035</v>
      </c>
      <c r="H4" s="13" t="str">
        <f>report!I73</f>
        <v>SURA</v>
      </c>
      <c r="I4" s="13" t="str">
        <f>report!J73</f>
        <v>No</v>
      </c>
      <c r="J4" s="13" t="str">
        <f>report!K73</f>
        <v>SURA</v>
      </c>
      <c r="K4" s="13" t="str">
        <f>report!L73</f>
        <v>LEONARDO ANTONIO BAQUERO LASTRE</v>
      </c>
      <c r="L4" s="13" t="str">
        <f>report!M73</f>
        <v xml:space="preserve">1047460435 </v>
      </c>
      <c r="M4" s="13" t="s">
        <v>1286</v>
      </c>
      <c r="N4" s="13" t="str">
        <f>report!O73</f>
        <v>Accidente de tránsito y transporte dentro del desarrollo de la labor (Si ocurre en la vía con otros vehículos o con otros actores viales implicados)</v>
      </c>
      <c r="O4" s="13" t="str">
        <f>report!P73</f>
        <v>Daño Material propio</v>
      </c>
      <c r="P4" s="13" t="str">
        <f>report!Q73</f>
        <v>Acto inseguro de Tercero</v>
      </c>
      <c r="Q4" s="13" t="str">
        <f>report!R73</f>
        <v>N/A</v>
      </c>
      <c r="R4" s="13" t="str">
        <f>report!S73</f>
        <v>N/A</v>
      </c>
      <c r="S4" s="13" t="str">
        <f>report!T73</f>
        <v>N/A</v>
      </c>
      <c r="T4" s="13" t="str">
        <f>report!U73</f>
        <v>El día de ayer, miércoles 14 de enero, siendo aproximadamente las 5:45 p. m., el conductor LEONARDO ANTONIO BAQUERO LASTRE cc 1047460435 tel: 3227577650, asignado al vehículo de placas GTX035, se comunica conmigo para informarme sobre una novedad presentada con el vehículo.
El conductor indica que, al llegar a su lugar de residencia, dejó el vehículo estacionado frente a su vivienda. Posteriormente, al salir nuevamente, un vehículo perteneciente a un vecino, de placas MNX840, que se encontraba realizando maniobras en reversa para estacionarse, colisiona el vehículo GTX035, generando una afectación en la nave delantera izquierda.
Como resultado del impacto, se evidencia:
Hundimiento de la nave delantera izquierda
Rayones visibles en la misma pieza, (según registro fotográfico adjunto)
El conductor manifiesta que el responsable del hecho es un vecino que reside a aproximadamente tres casas de su domicilio, quien expresa su disposición para llegar a un acuerdo directo con nosotros. El tercero informa que no cuenta con póliza de seguros, pero está dispuesto a asumir el costo de la reparación mediante una negociación directa.
Con base en las imágenes enviadas, se realiza una estimación preliminar del costo de reparación por un valor aproximado de $900.000, cifra que fue comunicada al conductor para que este la informara directamente al tercero responsable. Se le indicó que, de estar de acuerdo, se le facilitaría la cuenta para realizar la consignación correspondiente.
No obstante, el tercero manifiesta que en ese momento no cuenta con los recursos, pero que podría efectuar el pago el próximo sábado 24 de enero. 
Teniendo en cuenta lo anterior, se definen las siguientes acciones:
@Jennifer Posada
Nos puedes apoyar por favor elaborando un documento de acuerdo de pago, en el cual el tercero se comprometa al pago del valor estipulado en la fecha acordada. Para este próximo 24 de enero, se comparten los datos y documentos del propietario del vehículo MNX840 pues la idea es que nuestro conductor lo haga firmar hoy mismo en la medida de lo posible por su vecino. 
@Simon David - @Gustavo Zapata
Por favor programemos la reparación del carro par el próximo sábado 24 de enero para subsanar la novedad, cuando ingrese el dinero por parte del tercero tenerlo en cuenta para dejar la claridad en el digital de que ese dinero es para cubrir el costo de esa reparación; en caso de que el valor supere lo que el tercero nos pague el valor si tendría que llevarse al costo, en ese caso le deben informar a @Paola Arcila. 
@Alejandra Betancur - @Nancy Arias
Se dejo el registro en el enlace correspondiente sin embargo considero que como se llego a una solución no requiere investigación, sin embargo lo dejo a su criterio.</v>
      </c>
      <c r="U4" s="13" t="str">
        <f>report!V73</f>
        <v>NO</v>
      </c>
      <c r="V4" s="13" t="str">
        <f>report!W73</f>
        <v>NO</v>
      </c>
      <c r="W4" s="13" t="str">
        <f>report!X73</f>
        <v>NO</v>
      </c>
      <c r="X4" s="13" t="str">
        <f>report!Y73</f>
        <v>NO</v>
      </c>
      <c r="Y4" s="13" t="str">
        <f>report!Z73</f>
        <v>NO</v>
      </c>
      <c r="Z4" s="13" t="str">
        <f>report!AA73</f>
        <v>Se le dan las indicaciones al conductor para buscar un acuerdo entre las partes. y se habla con el tercero que genero la afectacion.</v>
      </c>
      <c r="AA4" s="13" t="str">
        <f>report!AB73</f>
        <v>SI</v>
      </c>
      <c r="AB4" s="13" t="str">
        <f>report!AC73</f>
        <v>https://emprestur-my.sharepoint.com/personal/alejandra_betancur_emprestur_com/Documents/Aplicaciones/Microsoft%20Forms/INFORMACI%C3%93N%20NOVEDAD%20_%20ACCIDENTES%2026042022%20(2)/SOPORTES%20PARA%20ANEXAR/FOTOS%20ACCIDENTE%20GTX035%20Y%20DOCUMENTOS%20DEL%20TERCE_anonymous.pdf</v>
      </c>
      <c r="AC4" s="47">
        <v>46050</v>
      </c>
      <c r="AD4" s="48" t="s">
        <v>1287</v>
      </c>
      <c r="AE4" s="43" t="s">
        <v>1240</v>
      </c>
      <c r="AF4" s="43" t="s">
        <v>1240</v>
      </c>
      <c r="AG4" s="43" t="s">
        <v>1240</v>
      </c>
      <c r="AH4" s="43" t="s">
        <v>1240</v>
      </c>
      <c r="AI4" s="43" t="s">
        <v>1241</v>
      </c>
      <c r="AJ4" s="43" t="s">
        <v>1240</v>
      </c>
      <c r="AK4" s="43" t="s">
        <v>44</v>
      </c>
      <c r="AL4" s="43" t="s">
        <v>44</v>
      </c>
      <c r="AM4" s="48" t="s">
        <v>44</v>
      </c>
      <c r="AN4" s="14" t="s">
        <v>42</v>
      </c>
      <c r="AO4" s="14">
        <v>2</v>
      </c>
      <c r="AP4" s="14" t="s">
        <v>1288</v>
      </c>
      <c r="AQ4" s="43" t="s">
        <v>1243</v>
      </c>
      <c r="AR4" s="47">
        <v>34131</v>
      </c>
      <c r="AS4" s="47">
        <v>46029</v>
      </c>
      <c r="AT4" s="14" t="s">
        <v>1241</v>
      </c>
      <c r="AU4" s="14" t="s">
        <v>1241</v>
      </c>
      <c r="AV4" s="14" t="s">
        <v>1241</v>
      </c>
      <c r="AW4" s="14" t="s">
        <v>1241</v>
      </c>
      <c r="AX4" s="14" t="s">
        <v>1289</v>
      </c>
      <c r="AY4" s="14" t="s">
        <v>1273</v>
      </c>
      <c r="AZ4" s="14" t="s">
        <v>1274</v>
      </c>
      <c r="BA4" s="14" t="s">
        <v>1275</v>
      </c>
      <c r="BB4" s="43" t="s">
        <v>1290</v>
      </c>
      <c r="BC4" s="14" t="s">
        <v>1276</v>
      </c>
      <c r="BD4" s="14" t="s">
        <v>1241</v>
      </c>
      <c r="BE4" s="14" t="s">
        <v>1241</v>
      </c>
      <c r="BF4" s="14" t="s">
        <v>1250</v>
      </c>
      <c r="BG4" s="14" t="s">
        <v>1241</v>
      </c>
      <c r="BH4" s="14" t="s">
        <v>1241</v>
      </c>
      <c r="BI4" s="14" t="s">
        <v>1278</v>
      </c>
      <c r="BJ4" s="14" t="s">
        <v>1279</v>
      </c>
      <c r="BK4" s="47">
        <v>46036</v>
      </c>
      <c r="BL4" s="14" t="s">
        <v>1291</v>
      </c>
      <c r="BM4" s="14" t="s">
        <v>1292</v>
      </c>
      <c r="BN4" s="14" t="s">
        <v>1254</v>
      </c>
      <c r="BO4" s="14" t="s">
        <v>1293</v>
      </c>
      <c r="BP4" s="14" t="s">
        <v>1293</v>
      </c>
      <c r="BQ4" s="14" t="s">
        <v>1294</v>
      </c>
      <c r="BR4" s="14" t="s">
        <v>1241</v>
      </c>
      <c r="BS4" s="14">
        <v>0</v>
      </c>
      <c r="BT4" s="14" t="s">
        <v>1295</v>
      </c>
      <c r="BU4" s="14" t="s">
        <v>1259</v>
      </c>
      <c r="BV4" s="14" t="s">
        <v>1260</v>
      </c>
      <c r="BW4" s="14" t="s">
        <v>1261</v>
      </c>
      <c r="BX4" s="43" t="s">
        <v>42</v>
      </c>
      <c r="BY4" s="43" t="s">
        <v>42</v>
      </c>
      <c r="BZ4" s="43" t="s">
        <v>42</v>
      </c>
      <c r="CA4" s="43" t="s">
        <v>42</v>
      </c>
      <c r="CB4" s="14" t="s">
        <v>1282</v>
      </c>
      <c r="CC4" s="14" t="s">
        <v>872</v>
      </c>
      <c r="CD4" s="14" t="s">
        <v>42</v>
      </c>
      <c r="CE4" s="14" t="s">
        <v>1283</v>
      </c>
      <c r="CF4" s="43" t="s">
        <v>1147</v>
      </c>
      <c r="CG4" s="43" t="s">
        <v>1155</v>
      </c>
      <c r="CH4" s="49">
        <v>1750905</v>
      </c>
      <c r="CI4" s="50">
        <f>IFERROR((CH4/30),0)</f>
        <v>58363.5</v>
      </c>
      <c r="CJ4" s="14">
        <v>0</v>
      </c>
      <c r="CK4" s="14">
        <v>0</v>
      </c>
      <c r="CL4" s="14">
        <v>0</v>
      </c>
      <c r="CM4" s="14">
        <v>2</v>
      </c>
      <c r="CN4" s="43">
        <f>CI4*CL4</f>
        <v>0</v>
      </c>
      <c r="CO4" s="50">
        <f>CM4*CI4</f>
        <v>116727</v>
      </c>
      <c r="CP4" s="14">
        <v>0</v>
      </c>
      <c r="CQ4" s="14">
        <v>0</v>
      </c>
      <c r="CR4" s="14">
        <v>0</v>
      </c>
      <c r="CS4" s="49">
        <v>0</v>
      </c>
      <c r="CT4" s="49">
        <f>IFERROR((CN4+CO4+CP4+CQ4+CR4+CS4),0)</f>
        <v>116727</v>
      </c>
      <c r="CU4" s="43" t="s">
        <v>1266</v>
      </c>
      <c r="CV4" s="47">
        <v>46050</v>
      </c>
      <c r="CW4" s="14" t="s">
        <v>1296</v>
      </c>
      <c r="CX4" s="14" t="s">
        <v>42</v>
      </c>
      <c r="CY4" s="14" t="s">
        <v>42</v>
      </c>
      <c r="CZ4" s="14" t="s">
        <v>42</v>
      </c>
      <c r="DA4" s="14" t="s">
        <v>42</v>
      </c>
      <c r="DB4" s="14" t="s">
        <v>1268</v>
      </c>
      <c r="DC4" s="47">
        <v>46050</v>
      </c>
      <c r="DD4" s="14" t="s">
        <v>1269</v>
      </c>
      <c r="DE4" s="47">
        <v>46073</v>
      </c>
      <c r="DF4" s="14" t="s">
        <v>42</v>
      </c>
      <c r="DG4" s="47" t="s">
        <v>42</v>
      </c>
    </row>
    <row r="5" spans="1:125" ht="136.5" customHeight="1">
      <c r="A5" s="13">
        <f>report!A74</f>
        <v>46042.554270833301</v>
      </c>
      <c r="B5" s="13">
        <f>report!B74</f>
        <v>46042.565127314803</v>
      </c>
      <c r="C5" s="13" t="str">
        <f>report!C74</f>
        <v>anónimo</v>
      </c>
      <c r="D5" s="13" t="str">
        <f>report!E74</f>
        <v>JULIAN DAVID VALENCIA BALLESTEROS</v>
      </c>
      <c r="E5" s="13">
        <f>report!F74</f>
        <v>46037</v>
      </c>
      <c r="F5" s="13" t="str">
        <f>report!G74</f>
        <v>15:30</v>
      </c>
      <c r="G5" s="13" t="str">
        <f>report!H74</f>
        <v>THZ316</v>
      </c>
      <c r="H5" s="13" t="str">
        <f>report!I74</f>
        <v>CHEC</v>
      </c>
      <c r="I5" s="13" t="str">
        <f>report!J74</f>
        <v>Si</v>
      </c>
      <c r="J5" s="13" t="str">
        <f>report!K74</f>
        <v>TR2523808</v>
      </c>
      <c r="K5" s="13" t="str">
        <f>report!L74</f>
        <v>BLADIMIR SALAZAR GARCIA</v>
      </c>
      <c r="L5" s="13" t="str">
        <f>report!M74</f>
        <v>75064914</v>
      </c>
      <c r="M5" s="13" t="str">
        <f>report!N74</f>
        <v>3002772070</v>
      </c>
      <c r="N5" s="13" t="str">
        <f>report!O74</f>
        <v>Accidente de trabajo (Empleado de Emprestur Lesionado)</v>
      </c>
      <c r="O5" s="13" t="str">
        <f>report!P74</f>
        <v>Afectación a Personas (lesionados)</v>
      </c>
      <c r="P5" s="13" t="str">
        <f>report!Q74</f>
        <v>Acto inseguro propio (conductor)</v>
      </c>
      <c r="Q5" s="13" t="str">
        <f>report!R74</f>
        <v>Conductor y/o Empleado</v>
      </c>
      <c r="R5" s="13" t="str">
        <f>report!S74</f>
        <v>ANDRES TORO CEL 3217811878</v>
      </c>
      <c r="S5" s="13" t="str">
        <f>report!T74</f>
        <v>N/A</v>
      </c>
      <c r="T5" s="13" t="str">
        <f>report!U74</f>
        <v>Versión de los hechos – ARL
El día de los hechos, mientras me encontraba realizando mis labores como conductor y me desplazaba hacia el sector de Manga Bonita, el vehículo presentó una falla mecánica debido al pinchazo de la llanta trasera. Por tal motivo, me detuve en un sector de trocha para realizar el cambio de la llanta.
Al momento de ubicar y posicionar el gato para levantar el vehículo, sentí un ardor leve en la zona abdominal. Posteriormente, durante la instalación de la llanta de repuesto y el ajuste de los pernos, el ardor se intensificó, presentándose una sensación fuerte similar a una quemadura o a la picadura de un insecto (avispa).
Ante esta situación, procedí a revisarme levantando la camisa, evidenciando que en la zona del ombligo se presentaba enrojecimiento e inflamación (brotado), motivo por el cual se reporta la novedad como posible accidente/incidente de origen laboral.</v>
      </c>
      <c r="U5" s="13" t="str">
        <f>report!V74</f>
        <v>NO</v>
      </c>
      <c r="V5" s="13" t="str">
        <f>report!W74</f>
        <v>NO</v>
      </c>
      <c r="W5" s="13" t="str">
        <f>report!X74</f>
        <v>SI</v>
      </c>
      <c r="X5" s="13" t="str">
        <f>report!Y74</f>
        <v>NO</v>
      </c>
      <c r="Y5" s="13" t="str">
        <f>report!Z74</f>
        <v>SI</v>
      </c>
      <c r="Z5" s="13" t="str">
        <f>report!AA74</f>
        <v>Una vez conocida la novedad presentada, el Gestor Logístico informa de manera inmediata a la Jefe de SGI, con el fin de recibir las indicaciones correspondientes frente a la situación reportada por el conductor. De acuerdo con las orientaciones brindadas y lo informado por el médico de la empresa, se le comunica al conductor que debe solicitar cita con médico general para la valoración clínica y la identificación del origen de la molestia presentada.</v>
      </c>
      <c r="AA5" s="13" t="str">
        <f>report!AB74</f>
        <v>NO</v>
      </c>
      <c r="AB5" s="13">
        <f>report!AC74</f>
        <v>0</v>
      </c>
      <c r="AC5" s="47">
        <v>46056</v>
      </c>
      <c r="AD5" s="48" t="s">
        <v>1297</v>
      </c>
      <c r="AE5" s="43" t="s">
        <v>1240</v>
      </c>
      <c r="AF5" s="43" t="s">
        <v>1240</v>
      </c>
      <c r="AG5" s="43" t="s">
        <v>1240</v>
      </c>
      <c r="AH5" s="43" t="s">
        <v>1240</v>
      </c>
      <c r="AI5" s="43" t="s">
        <v>1241</v>
      </c>
      <c r="AJ5" s="43" t="s">
        <v>1240</v>
      </c>
      <c r="AK5" s="43" t="s">
        <v>44</v>
      </c>
      <c r="AL5" s="43" t="s">
        <v>44</v>
      </c>
      <c r="AM5" s="48" t="s">
        <v>44</v>
      </c>
      <c r="AN5" s="14" t="s">
        <v>42</v>
      </c>
      <c r="AO5" s="14">
        <v>1</v>
      </c>
      <c r="AP5" s="14" t="s">
        <v>1298</v>
      </c>
      <c r="AQ5" s="43" t="s">
        <v>1243</v>
      </c>
      <c r="AR5" s="47">
        <v>26193</v>
      </c>
      <c r="AS5" s="47">
        <v>45689</v>
      </c>
      <c r="AT5" s="14" t="s">
        <v>1241</v>
      </c>
      <c r="AU5" s="14" t="s">
        <v>1241</v>
      </c>
      <c r="AV5" s="14" t="s">
        <v>1299</v>
      </c>
      <c r="AW5" s="14" t="s">
        <v>1241</v>
      </c>
      <c r="AX5" s="14" t="s">
        <v>1241</v>
      </c>
      <c r="AY5" s="14" t="s">
        <v>1300</v>
      </c>
      <c r="AZ5" s="14" t="s">
        <v>1274</v>
      </c>
      <c r="BA5" s="14" t="s">
        <v>1275</v>
      </c>
      <c r="BB5" s="43" t="s">
        <v>1301</v>
      </c>
      <c r="BC5" s="14" t="s">
        <v>1302</v>
      </c>
      <c r="BD5" s="14" t="s">
        <v>1240</v>
      </c>
      <c r="BE5" s="14" t="s">
        <v>1240</v>
      </c>
      <c r="BF5" s="14" t="s">
        <v>1303</v>
      </c>
      <c r="BG5" s="14" t="s">
        <v>1241</v>
      </c>
      <c r="BH5" s="14" t="s">
        <v>1241</v>
      </c>
      <c r="BI5" s="14" t="s">
        <v>1304</v>
      </c>
      <c r="BJ5" s="14" t="s">
        <v>1305</v>
      </c>
      <c r="BK5" s="47">
        <v>46037</v>
      </c>
      <c r="BL5" s="14" t="s">
        <v>1306</v>
      </c>
      <c r="BM5" s="14" t="s">
        <v>1253</v>
      </c>
      <c r="BN5" s="14" t="s">
        <v>1254</v>
      </c>
      <c r="BO5" s="14" t="s">
        <v>1307</v>
      </c>
      <c r="BP5" s="14" t="s">
        <v>1307</v>
      </c>
      <c r="BQ5" s="14" t="s">
        <v>1308</v>
      </c>
      <c r="BR5" s="14" t="s">
        <v>1241</v>
      </c>
      <c r="BS5" s="14">
        <v>0</v>
      </c>
      <c r="BT5" s="14" t="s">
        <v>1309</v>
      </c>
      <c r="BU5" s="14" t="s">
        <v>1259</v>
      </c>
      <c r="BV5" s="14" t="s">
        <v>1310</v>
      </c>
      <c r="BW5" s="14" t="s">
        <v>1261</v>
      </c>
      <c r="BX5" s="43" t="s">
        <v>1311</v>
      </c>
      <c r="BY5" s="43" t="s">
        <v>1312</v>
      </c>
      <c r="BZ5" s="43" t="s">
        <v>1313</v>
      </c>
      <c r="CA5" s="43" t="s">
        <v>1314</v>
      </c>
      <c r="CB5" s="14" t="s">
        <v>1282</v>
      </c>
      <c r="CC5" s="14" t="s">
        <v>1263</v>
      </c>
      <c r="CD5" s="14" t="s">
        <v>42</v>
      </c>
      <c r="CE5" s="14" t="s">
        <v>1315</v>
      </c>
      <c r="CF5" s="43" t="s">
        <v>1147</v>
      </c>
      <c r="CG5" s="43" t="s">
        <v>1152</v>
      </c>
      <c r="CH5" s="49">
        <v>1750905</v>
      </c>
      <c r="CI5" s="50">
        <f>IFERROR((CH5/30),0)</f>
        <v>58363.5</v>
      </c>
      <c r="CJ5" s="14">
        <v>0</v>
      </c>
      <c r="CK5" s="14">
        <v>0</v>
      </c>
      <c r="CL5" s="14">
        <v>0</v>
      </c>
      <c r="CM5" s="14">
        <v>0</v>
      </c>
      <c r="CN5" s="43">
        <v>0</v>
      </c>
      <c r="CO5" s="50">
        <f>CM5*CI5</f>
        <v>0</v>
      </c>
      <c r="CP5" s="14">
        <v>0</v>
      </c>
      <c r="CQ5" s="14">
        <v>0</v>
      </c>
      <c r="CR5" s="14">
        <v>0</v>
      </c>
      <c r="CS5" s="49">
        <v>0</v>
      </c>
      <c r="CT5" s="49">
        <f>IFERROR((CN5+CO5+CP5+CQ5+CR5+CS5),0)</f>
        <v>0</v>
      </c>
      <c r="CU5" s="43" t="s">
        <v>1266</v>
      </c>
      <c r="CV5" s="47">
        <v>46057</v>
      </c>
      <c r="CW5" s="14" t="s">
        <v>1316</v>
      </c>
      <c r="CX5" s="14" t="s">
        <v>42</v>
      </c>
      <c r="CY5" s="14" t="s">
        <v>42</v>
      </c>
      <c r="CZ5" s="14" t="s">
        <v>42</v>
      </c>
      <c r="DA5" s="14" t="s">
        <v>42</v>
      </c>
      <c r="DB5" s="14" t="s">
        <v>1268</v>
      </c>
      <c r="DC5" s="47">
        <v>46056</v>
      </c>
      <c r="DD5" s="14" t="s">
        <v>1269</v>
      </c>
      <c r="DE5" s="47">
        <v>46073</v>
      </c>
      <c r="DF5" s="14" t="s">
        <v>1317</v>
      </c>
      <c r="DG5" s="47">
        <v>46073</v>
      </c>
    </row>
    <row r="6" spans="1:125" ht="136.5" customHeight="1">
      <c r="A6" s="13">
        <v>46059.419780092598</v>
      </c>
      <c r="B6" s="13">
        <v>46059.5836921296</v>
      </c>
      <c r="C6" s="13" t="s">
        <v>76</v>
      </c>
      <c r="D6" s="13" t="s">
        <v>496</v>
      </c>
      <c r="E6" s="13">
        <v>46048</v>
      </c>
      <c r="F6" s="13" t="s">
        <v>751</v>
      </c>
      <c r="G6" s="13" t="s">
        <v>752</v>
      </c>
      <c r="H6" s="13" t="s">
        <v>753</v>
      </c>
      <c r="I6" s="13" t="s">
        <v>753</v>
      </c>
      <c r="J6" s="13">
        <v>0</v>
      </c>
      <c r="K6" s="13" t="s">
        <v>754</v>
      </c>
      <c r="L6" s="13" t="s">
        <v>755</v>
      </c>
      <c r="M6" s="13" t="s">
        <v>756</v>
      </c>
      <c r="N6" s="13" t="s">
        <v>39</v>
      </c>
      <c r="O6" s="13" t="s">
        <v>71</v>
      </c>
      <c r="P6" s="13" t="s">
        <v>58</v>
      </c>
      <c r="Q6" s="13" t="s">
        <v>42</v>
      </c>
      <c r="R6" s="13" t="s">
        <v>42</v>
      </c>
      <c r="S6" s="13" t="s">
        <v>42</v>
      </c>
      <c r="T6" s="13" t="s">
        <v>757</v>
      </c>
      <c r="U6" s="13" t="s">
        <v>44</v>
      </c>
      <c r="V6" s="13" t="s">
        <v>44</v>
      </c>
      <c r="W6" s="13" t="s">
        <v>44</v>
      </c>
      <c r="X6" s="13" t="s">
        <v>44</v>
      </c>
      <c r="Y6" s="13" t="str">
        <f>report!Z76</f>
        <v>SI</v>
      </c>
      <c r="Z6" s="13" t="s">
        <v>758</v>
      </c>
      <c r="AA6" s="13" t="s">
        <v>45</v>
      </c>
      <c r="AB6" s="13" t="s">
        <v>759</v>
      </c>
      <c r="AC6" s="47">
        <v>46069</v>
      </c>
      <c r="AD6" s="48" t="s">
        <v>1318</v>
      </c>
      <c r="AE6" s="43" t="s">
        <v>1240</v>
      </c>
      <c r="AF6" s="43" t="s">
        <v>1240</v>
      </c>
      <c r="AG6" s="43" t="s">
        <v>1240</v>
      </c>
      <c r="AH6" s="43" t="s">
        <v>1240</v>
      </c>
      <c r="AI6" s="43" t="s">
        <v>1241</v>
      </c>
      <c r="AJ6" s="43" t="s">
        <v>1240</v>
      </c>
      <c r="AK6" s="43" t="s">
        <v>44</v>
      </c>
      <c r="AL6" s="43" t="s">
        <v>44</v>
      </c>
      <c r="AM6" s="48" t="s">
        <v>44</v>
      </c>
      <c r="AN6" s="14" t="s">
        <v>42</v>
      </c>
      <c r="AO6" s="14">
        <v>1</v>
      </c>
      <c r="AP6" s="14" t="s">
        <v>1319</v>
      </c>
      <c r="AQ6" s="43" t="s">
        <v>1320</v>
      </c>
      <c r="AR6" s="47">
        <v>29872</v>
      </c>
      <c r="AS6" s="47">
        <v>45589</v>
      </c>
      <c r="AT6" s="14" t="s">
        <v>1241</v>
      </c>
      <c r="AU6" s="14" t="s">
        <v>1241</v>
      </c>
      <c r="AV6" s="14" t="s">
        <v>1241</v>
      </c>
      <c r="AW6" s="14" t="s">
        <v>1241</v>
      </c>
      <c r="AX6" s="14" t="s">
        <v>1321</v>
      </c>
      <c r="AY6" s="14" t="s">
        <v>1273</v>
      </c>
      <c r="AZ6" s="14" t="s">
        <v>1274</v>
      </c>
      <c r="BA6" s="14" t="s">
        <v>1275</v>
      </c>
      <c r="BB6" s="43" t="s">
        <v>1248</v>
      </c>
      <c r="BC6" s="14" t="s">
        <v>1276</v>
      </c>
      <c r="BD6" s="14" t="s">
        <v>1241</v>
      </c>
      <c r="BE6" s="14" t="s">
        <v>1241</v>
      </c>
      <c r="BF6" s="14" t="s">
        <v>1322</v>
      </c>
      <c r="BG6" s="14" t="s">
        <v>1241</v>
      </c>
      <c r="BH6" s="14" t="s">
        <v>1241</v>
      </c>
      <c r="BI6" s="14" t="s">
        <v>1278</v>
      </c>
      <c r="BJ6" s="14" t="s">
        <v>1279</v>
      </c>
      <c r="BK6" s="47">
        <v>46048</v>
      </c>
      <c r="BL6" s="14" t="s">
        <v>1323</v>
      </c>
      <c r="BM6" s="14" t="s">
        <v>1324</v>
      </c>
      <c r="BN6" s="14" t="s">
        <v>1254</v>
      </c>
      <c r="BO6" s="14" t="s">
        <v>1325</v>
      </c>
      <c r="BP6" s="14" t="s">
        <v>1326</v>
      </c>
      <c r="BQ6" s="14" t="s">
        <v>1297</v>
      </c>
      <c r="BR6" s="14" t="s">
        <v>1241</v>
      </c>
      <c r="BS6" s="14">
        <v>0</v>
      </c>
      <c r="BT6" s="14" t="s">
        <v>42</v>
      </c>
      <c r="BU6" s="14" t="s">
        <v>1259</v>
      </c>
      <c r="BV6" s="14" t="s">
        <v>1260</v>
      </c>
      <c r="BW6" s="14" t="s">
        <v>1261</v>
      </c>
      <c r="BX6" s="43" t="s">
        <v>42</v>
      </c>
      <c r="BY6" s="43" t="s">
        <v>42</v>
      </c>
      <c r="BZ6" s="43" t="s">
        <v>42</v>
      </c>
      <c r="CA6" s="43" t="s">
        <v>42</v>
      </c>
      <c r="CB6" s="14" t="s">
        <v>1282</v>
      </c>
      <c r="CC6" s="14" t="s">
        <v>872</v>
      </c>
      <c r="CD6" s="14" t="s">
        <v>42</v>
      </c>
      <c r="CE6" s="14" t="s">
        <v>1327</v>
      </c>
      <c r="CF6" s="43" t="s">
        <v>1147</v>
      </c>
      <c r="CG6" s="43" t="s">
        <v>1155</v>
      </c>
      <c r="CH6" s="49">
        <v>1750905</v>
      </c>
      <c r="CI6" s="50">
        <f>IFERROR((CH6/30),0)</f>
        <v>58363.5</v>
      </c>
      <c r="CJ6" s="14">
        <v>0</v>
      </c>
      <c r="CK6" s="14">
        <v>0</v>
      </c>
      <c r="CL6" s="14">
        <v>0</v>
      </c>
      <c r="CM6" s="14">
        <v>800000</v>
      </c>
      <c r="CN6" s="43">
        <v>0</v>
      </c>
      <c r="CO6" s="50">
        <v>800000</v>
      </c>
      <c r="CP6" s="14">
        <v>0</v>
      </c>
      <c r="CQ6" s="14">
        <v>0</v>
      </c>
      <c r="CR6" s="14">
        <v>0</v>
      </c>
      <c r="CS6" s="49">
        <v>0</v>
      </c>
      <c r="CT6" s="49">
        <f>IFERROR((CN6+CO6+CP6+CQ6+CR6+CS6),0)</f>
        <v>800000</v>
      </c>
      <c r="CU6" s="43" t="s">
        <v>1266</v>
      </c>
      <c r="CV6" s="47">
        <v>46069</v>
      </c>
      <c r="CW6" s="14" t="s">
        <v>1328</v>
      </c>
      <c r="CX6" s="14" t="s">
        <v>42</v>
      </c>
      <c r="CY6" s="14" t="s">
        <v>42</v>
      </c>
      <c r="CZ6" s="14" t="s">
        <v>42</v>
      </c>
      <c r="DA6" s="14" t="s">
        <v>42</v>
      </c>
      <c r="DB6" s="14" t="s">
        <v>1268</v>
      </c>
      <c r="DC6" s="47">
        <v>46069</v>
      </c>
      <c r="DD6" s="14" t="s">
        <v>1269</v>
      </c>
      <c r="DE6" s="47">
        <v>46073</v>
      </c>
      <c r="DF6" s="14" t="s">
        <v>1285</v>
      </c>
      <c r="DG6" s="47">
        <v>46073</v>
      </c>
    </row>
    <row r="7" spans="1:125" ht="136.5" customHeight="1">
      <c r="A7" s="13">
        <v>46056.359166666698</v>
      </c>
      <c r="B7" s="13">
        <v>46056.427546296298</v>
      </c>
      <c r="C7" s="13" t="s">
        <v>76</v>
      </c>
      <c r="D7" s="13" t="s">
        <v>293</v>
      </c>
      <c r="E7" s="13">
        <v>46055</v>
      </c>
      <c r="F7" s="13" t="s">
        <v>743</v>
      </c>
      <c r="G7" s="13" t="s">
        <v>744</v>
      </c>
      <c r="H7" s="13" t="s">
        <v>274</v>
      </c>
      <c r="I7" s="13" t="s">
        <v>42</v>
      </c>
      <c r="J7" s="13">
        <v>0</v>
      </c>
      <c r="K7" s="13" t="s">
        <v>745</v>
      </c>
      <c r="L7" s="13" t="s">
        <v>746</v>
      </c>
      <c r="M7" s="13" t="s">
        <v>747</v>
      </c>
      <c r="N7" s="13" t="s">
        <v>139</v>
      </c>
      <c r="O7" s="13" t="s">
        <v>71</v>
      </c>
      <c r="P7" s="13" t="s">
        <v>41</v>
      </c>
      <c r="Q7" s="13" t="s">
        <v>42</v>
      </c>
      <c r="R7" s="13" t="s">
        <v>42</v>
      </c>
      <c r="S7" s="13" t="s">
        <v>42</v>
      </c>
      <c r="T7" s="13" t="s">
        <v>748</v>
      </c>
      <c r="U7" s="13" t="s">
        <v>44</v>
      </c>
      <c r="V7" s="13" t="s">
        <v>44</v>
      </c>
      <c r="W7" s="13" t="s">
        <v>44</v>
      </c>
      <c r="X7" s="13" t="s">
        <v>44</v>
      </c>
      <c r="Y7" s="13" t="str">
        <f>report!Z75</f>
        <v>SI</v>
      </c>
      <c r="Z7" s="13" t="s">
        <v>749</v>
      </c>
      <c r="AA7" s="13" t="s">
        <v>45</v>
      </c>
      <c r="AB7" s="13" t="s">
        <v>750</v>
      </c>
      <c r="AC7" s="47">
        <v>46059</v>
      </c>
      <c r="AD7" s="48" t="s">
        <v>1329</v>
      </c>
      <c r="AE7" s="43" t="s">
        <v>1240</v>
      </c>
      <c r="AF7" s="43" t="s">
        <v>1240</v>
      </c>
      <c r="AG7" s="43" t="s">
        <v>1240</v>
      </c>
      <c r="AH7" s="43" t="s">
        <v>1240</v>
      </c>
      <c r="AI7" s="43" t="s">
        <v>1241</v>
      </c>
      <c r="AJ7" s="43" t="s">
        <v>1240</v>
      </c>
      <c r="AK7" s="43" t="s">
        <v>44</v>
      </c>
      <c r="AL7" s="43" t="s">
        <v>44</v>
      </c>
      <c r="AM7" s="48" t="s">
        <v>44</v>
      </c>
      <c r="AN7" s="14" t="s">
        <v>42</v>
      </c>
      <c r="AO7" s="14">
        <v>3</v>
      </c>
      <c r="AP7" s="14" t="s">
        <v>1330</v>
      </c>
      <c r="AQ7" s="43" t="s">
        <v>1243</v>
      </c>
      <c r="AR7" s="47" t="s">
        <v>1331</v>
      </c>
      <c r="AS7" s="47">
        <v>45958</v>
      </c>
      <c r="AT7" s="14" t="s">
        <v>1241</v>
      </c>
      <c r="AU7" s="14" t="s">
        <v>1241</v>
      </c>
      <c r="AV7" s="14" t="s">
        <v>1241</v>
      </c>
      <c r="AW7" s="14" t="s">
        <v>1241</v>
      </c>
      <c r="AX7" s="14" t="s">
        <v>1332</v>
      </c>
      <c r="AY7" s="14" t="s">
        <v>1273</v>
      </c>
      <c r="AZ7" s="14" t="s">
        <v>1274</v>
      </c>
      <c r="BA7" s="14" t="s">
        <v>1275</v>
      </c>
      <c r="BB7" s="43" t="s">
        <v>1290</v>
      </c>
      <c r="BC7" s="14" t="s">
        <v>1276</v>
      </c>
      <c r="BD7" s="14" t="s">
        <v>1241</v>
      </c>
      <c r="BE7" s="14" t="s">
        <v>1241</v>
      </c>
      <c r="BF7" s="14" t="s">
        <v>1250</v>
      </c>
      <c r="BG7" s="14" t="s">
        <v>1241</v>
      </c>
      <c r="BH7" s="14" t="s">
        <v>1241</v>
      </c>
      <c r="BI7" s="14" t="s">
        <v>1278</v>
      </c>
      <c r="BJ7" s="14" t="s">
        <v>1279</v>
      </c>
      <c r="BK7" s="47">
        <v>46055</v>
      </c>
      <c r="BL7" s="14" t="s">
        <v>1333</v>
      </c>
      <c r="BM7" s="14" t="s">
        <v>1324</v>
      </c>
      <c r="BN7" s="14" t="s">
        <v>1254</v>
      </c>
      <c r="BO7" s="14" t="s">
        <v>1334</v>
      </c>
      <c r="BP7" s="14" t="s">
        <v>1335</v>
      </c>
      <c r="BQ7" s="14" t="s">
        <v>1335</v>
      </c>
      <c r="BR7" s="14" t="s">
        <v>1241</v>
      </c>
      <c r="BS7" s="14">
        <v>0</v>
      </c>
      <c r="BT7" s="14" t="s">
        <v>42</v>
      </c>
      <c r="BU7" s="14" t="s">
        <v>1259</v>
      </c>
      <c r="BV7" s="14" t="s">
        <v>1260</v>
      </c>
      <c r="BW7" s="14" t="s">
        <v>1261</v>
      </c>
      <c r="BX7" s="43" t="s">
        <v>42</v>
      </c>
      <c r="BY7" s="43" t="s">
        <v>42</v>
      </c>
      <c r="BZ7" s="43" t="s">
        <v>42</v>
      </c>
      <c r="CA7" s="43" t="s">
        <v>42</v>
      </c>
      <c r="CB7" s="14" t="s">
        <v>1282</v>
      </c>
      <c r="CC7" s="14" t="s">
        <v>872</v>
      </c>
      <c r="CD7" s="14" t="s">
        <v>42</v>
      </c>
      <c r="CE7" s="14" t="s">
        <v>1283</v>
      </c>
      <c r="CF7" s="43" t="s">
        <v>1147</v>
      </c>
      <c r="CG7" s="43" t="s">
        <v>1155</v>
      </c>
      <c r="CH7" s="49">
        <v>1750905</v>
      </c>
      <c r="CI7" s="50">
        <f>IFERROR((CH7/30),0)</f>
        <v>58363.5</v>
      </c>
      <c r="CJ7" s="14">
        <v>0</v>
      </c>
      <c r="CK7" s="14">
        <v>0</v>
      </c>
      <c r="CL7" s="14">
        <v>0</v>
      </c>
      <c r="CM7" s="14">
        <v>0</v>
      </c>
      <c r="CN7" s="43">
        <v>0</v>
      </c>
      <c r="CO7" s="50">
        <v>0</v>
      </c>
      <c r="CP7" s="14">
        <v>0</v>
      </c>
      <c r="CQ7" s="14">
        <v>0</v>
      </c>
      <c r="CR7" s="14">
        <v>0</v>
      </c>
      <c r="CS7" s="49">
        <v>0</v>
      </c>
      <c r="CT7" s="49">
        <f>IFERROR((CN7+CO7+CP7+CQ7+CR7+CS7),0)</f>
        <v>0</v>
      </c>
      <c r="CU7" s="43" t="s">
        <v>1266</v>
      </c>
      <c r="CV7" s="47">
        <v>46065</v>
      </c>
      <c r="CW7" s="14" t="s">
        <v>1336</v>
      </c>
      <c r="CX7" s="14" t="s">
        <v>42</v>
      </c>
      <c r="CY7" s="14" t="s">
        <v>42</v>
      </c>
      <c r="CZ7" s="14" t="s">
        <v>42</v>
      </c>
      <c r="DA7" s="14" t="s">
        <v>42</v>
      </c>
      <c r="DB7" s="14" t="s">
        <v>1268</v>
      </c>
      <c r="DC7" s="47">
        <v>46062</v>
      </c>
      <c r="DD7" s="14" t="s">
        <v>1269</v>
      </c>
      <c r="DE7" s="47">
        <v>46101</v>
      </c>
      <c r="DF7" s="14" t="s">
        <v>1285</v>
      </c>
      <c r="DG7" s="47">
        <v>46073</v>
      </c>
    </row>
    <row r="8" spans="1:125" ht="136.5" customHeight="1">
      <c r="A8" s="13">
        <v>46064.4113657407</v>
      </c>
      <c r="B8" s="13">
        <v>46064.624918981499</v>
      </c>
      <c r="C8" s="13" t="s">
        <v>76</v>
      </c>
      <c r="D8" s="13" t="s">
        <v>271</v>
      </c>
      <c r="E8" s="13">
        <v>46064</v>
      </c>
      <c r="F8" s="13" t="s">
        <v>760</v>
      </c>
      <c r="G8" s="13" t="s">
        <v>761</v>
      </c>
      <c r="H8" s="13" t="s">
        <v>157</v>
      </c>
      <c r="I8" s="13" t="s">
        <v>34</v>
      </c>
      <c r="J8" s="13" t="s">
        <v>42</v>
      </c>
      <c r="K8" s="13" t="s">
        <v>762</v>
      </c>
      <c r="L8" s="13" t="s">
        <v>763</v>
      </c>
      <c r="M8" s="13" t="s">
        <v>764</v>
      </c>
      <c r="N8" s="13" t="s">
        <v>56</v>
      </c>
      <c r="O8" s="13" t="s">
        <v>71</v>
      </c>
      <c r="P8" s="13" t="s">
        <v>41</v>
      </c>
      <c r="Q8" s="13" t="s">
        <v>42</v>
      </c>
      <c r="R8" s="13" t="s">
        <v>42</v>
      </c>
      <c r="S8" s="13" t="s">
        <v>42</v>
      </c>
      <c r="T8" s="13" t="s">
        <v>765</v>
      </c>
      <c r="U8" s="13" t="s">
        <v>44</v>
      </c>
      <c r="V8" s="13" t="s">
        <v>44</v>
      </c>
      <c r="W8" s="13" t="s">
        <v>45</v>
      </c>
      <c r="X8" s="13" t="s">
        <v>44</v>
      </c>
      <c r="Y8" s="13" t="s">
        <v>45</v>
      </c>
      <c r="Z8" s="13" t="s">
        <v>766</v>
      </c>
      <c r="AA8" s="13" t="s">
        <v>45</v>
      </c>
      <c r="AB8" s="13" t="s">
        <v>767</v>
      </c>
      <c r="AC8" s="47">
        <v>46065</v>
      </c>
      <c r="AD8" s="48" t="s">
        <v>1337</v>
      </c>
      <c r="AE8" s="43" t="s">
        <v>1240</v>
      </c>
      <c r="AF8" s="43" t="s">
        <v>1240</v>
      </c>
      <c r="AG8" s="43" t="s">
        <v>1240</v>
      </c>
      <c r="AH8" s="43" t="s">
        <v>1240</v>
      </c>
      <c r="AI8" s="43" t="s">
        <v>1241</v>
      </c>
      <c r="AJ8" s="43" t="s">
        <v>1240</v>
      </c>
      <c r="AK8" s="43" t="s">
        <v>44</v>
      </c>
      <c r="AL8" s="43" t="s">
        <v>44</v>
      </c>
      <c r="AM8" s="48" t="s">
        <v>44</v>
      </c>
      <c r="AN8" s="14" t="s">
        <v>42</v>
      </c>
      <c r="AO8" s="14">
        <v>5</v>
      </c>
      <c r="AP8" s="14" t="s">
        <v>1338</v>
      </c>
      <c r="AQ8" s="43" t="s">
        <v>1243</v>
      </c>
      <c r="AR8" s="47">
        <v>37595</v>
      </c>
      <c r="AS8" s="47">
        <v>46113</v>
      </c>
      <c r="AT8" s="14" t="s">
        <v>1241</v>
      </c>
      <c r="AU8" s="14" t="s">
        <v>1241</v>
      </c>
      <c r="AV8" s="14" t="s">
        <v>1241</v>
      </c>
      <c r="AW8" s="14" t="s">
        <v>1241</v>
      </c>
      <c r="AX8" s="14" t="s">
        <v>1339</v>
      </c>
      <c r="AY8" s="14" t="s">
        <v>1273</v>
      </c>
      <c r="AZ8" s="14" t="s">
        <v>1274</v>
      </c>
      <c r="BA8" s="14" t="s">
        <v>1275</v>
      </c>
      <c r="BB8" s="43" t="s">
        <v>1290</v>
      </c>
      <c r="BC8" s="14" t="s">
        <v>1276</v>
      </c>
      <c r="BD8" s="14" t="s">
        <v>1241</v>
      </c>
      <c r="BE8" s="14" t="s">
        <v>1241</v>
      </c>
      <c r="BF8" s="14" t="s">
        <v>1250</v>
      </c>
      <c r="BG8" s="14" t="s">
        <v>1241</v>
      </c>
      <c r="BH8" s="14" t="s">
        <v>1241</v>
      </c>
      <c r="BI8" s="14" t="s">
        <v>1340</v>
      </c>
      <c r="BJ8" s="14" t="s">
        <v>1279</v>
      </c>
      <c r="BK8" s="47">
        <v>46064</v>
      </c>
      <c r="BL8" s="14" t="s">
        <v>1341</v>
      </c>
      <c r="BM8" s="14" t="s">
        <v>1292</v>
      </c>
      <c r="BN8" s="14" t="s">
        <v>1254</v>
      </c>
      <c r="BO8" s="14" t="s">
        <v>1342</v>
      </c>
      <c r="BP8" s="14" t="s">
        <v>1343</v>
      </c>
      <c r="BQ8" s="14" t="s">
        <v>1344</v>
      </c>
      <c r="BR8" s="14" t="s">
        <v>1241</v>
      </c>
      <c r="BS8" s="14">
        <v>0</v>
      </c>
      <c r="BT8" s="14" t="s">
        <v>1345</v>
      </c>
      <c r="BU8" s="14" t="s">
        <v>1259</v>
      </c>
      <c r="BV8" s="14" t="s">
        <v>1260</v>
      </c>
      <c r="BW8" s="14" t="s">
        <v>1261</v>
      </c>
      <c r="BX8" s="43" t="s">
        <v>42</v>
      </c>
      <c r="BY8" s="43" t="s">
        <v>42</v>
      </c>
      <c r="BZ8" s="43" t="s">
        <v>42</v>
      </c>
      <c r="CA8" s="43" t="s">
        <v>42</v>
      </c>
      <c r="CB8" s="14" t="s">
        <v>1282</v>
      </c>
      <c r="CC8" s="14" t="s">
        <v>872</v>
      </c>
      <c r="CD8" s="14" t="s">
        <v>42</v>
      </c>
      <c r="CE8" s="14" t="s">
        <v>1346</v>
      </c>
      <c r="CF8" s="43" t="s">
        <v>1147</v>
      </c>
      <c r="CG8" s="43" t="s">
        <v>1155</v>
      </c>
      <c r="CH8" s="49">
        <v>1750905</v>
      </c>
      <c r="CI8" s="50">
        <f>IFERROR((CH8/30),0)</f>
        <v>58363.5</v>
      </c>
      <c r="CJ8" s="14">
        <v>0</v>
      </c>
      <c r="CK8" s="14">
        <v>0</v>
      </c>
      <c r="CL8" s="14">
        <v>0</v>
      </c>
      <c r="CM8" s="14">
        <v>2000000</v>
      </c>
      <c r="CN8" s="43">
        <v>0</v>
      </c>
      <c r="CO8" s="50">
        <v>2000000</v>
      </c>
      <c r="CP8" s="14">
        <v>0</v>
      </c>
      <c r="CQ8" s="14">
        <v>0</v>
      </c>
      <c r="CR8" s="14">
        <v>2000000</v>
      </c>
      <c r="CS8" s="49">
        <v>0</v>
      </c>
      <c r="CT8" s="49">
        <f>IFERROR((CN8+CO8+CP8+CQ8+CR8+CS8),0)</f>
        <v>4000000</v>
      </c>
      <c r="CU8" s="43" t="s">
        <v>1266</v>
      </c>
      <c r="CV8" s="47">
        <v>46069</v>
      </c>
      <c r="CW8" s="14" t="s">
        <v>1338</v>
      </c>
      <c r="CX8" s="14" t="s">
        <v>42</v>
      </c>
      <c r="CY8" s="14" t="s">
        <v>42</v>
      </c>
      <c r="CZ8" s="14" t="s">
        <v>42</v>
      </c>
      <c r="DA8" s="14" t="s">
        <v>42</v>
      </c>
      <c r="DB8" s="14" t="s">
        <v>1268</v>
      </c>
      <c r="DC8" s="47">
        <v>46064</v>
      </c>
      <c r="DD8" s="14" t="s">
        <v>1269</v>
      </c>
      <c r="DE8" s="47">
        <v>46101</v>
      </c>
      <c r="DF8" s="14" t="s">
        <v>1285</v>
      </c>
      <c r="DG8" s="47">
        <v>46101</v>
      </c>
    </row>
    <row r="9" spans="1:125" ht="136.5" customHeight="1">
      <c r="A9" s="13">
        <v>46066.3745486111</v>
      </c>
      <c r="B9" s="13">
        <v>46066.443171296298</v>
      </c>
      <c r="C9" s="13" t="s">
        <v>76</v>
      </c>
      <c r="D9" s="13" t="s">
        <v>780</v>
      </c>
      <c r="E9" s="13">
        <v>46065</v>
      </c>
      <c r="F9" s="13" t="s">
        <v>781</v>
      </c>
      <c r="G9" s="13" t="s">
        <v>782</v>
      </c>
      <c r="H9" s="13" t="s">
        <v>783</v>
      </c>
      <c r="I9" s="13" t="s">
        <v>34</v>
      </c>
      <c r="J9" s="13" t="s">
        <v>784</v>
      </c>
      <c r="K9" s="13" t="s">
        <v>785</v>
      </c>
      <c r="L9" s="13" t="s">
        <v>786</v>
      </c>
      <c r="M9" s="13" t="s">
        <v>787</v>
      </c>
      <c r="N9" s="13" t="s">
        <v>56</v>
      </c>
      <c r="O9" s="13" t="s">
        <v>71</v>
      </c>
      <c r="P9" s="13" t="s">
        <v>41</v>
      </c>
      <c r="Q9" s="13" t="s">
        <v>42</v>
      </c>
      <c r="R9" s="13" t="s">
        <v>788</v>
      </c>
      <c r="S9" s="13" t="s">
        <v>789</v>
      </c>
      <c r="T9" s="13" t="s">
        <v>790</v>
      </c>
      <c r="U9" s="13" t="s">
        <v>44</v>
      </c>
      <c r="V9" s="13" t="s">
        <v>45</v>
      </c>
      <c r="W9" s="13" t="s">
        <v>45</v>
      </c>
      <c r="X9" s="13" t="s">
        <v>44</v>
      </c>
      <c r="Y9" s="13" t="s">
        <v>45</v>
      </c>
      <c r="Z9" s="13" t="s">
        <v>791</v>
      </c>
      <c r="AA9" s="13" t="s">
        <v>45</v>
      </c>
      <c r="AB9" s="13" t="s">
        <v>779</v>
      </c>
      <c r="AC9" s="47">
        <v>46070</v>
      </c>
      <c r="AD9" s="48" t="s">
        <v>1287</v>
      </c>
      <c r="AE9" s="43" t="s">
        <v>1240</v>
      </c>
      <c r="AF9" s="43" t="s">
        <v>1240</v>
      </c>
      <c r="AG9" s="43" t="s">
        <v>1240</v>
      </c>
      <c r="AH9" s="43" t="s">
        <v>1240</v>
      </c>
      <c r="AI9" s="43" t="s">
        <v>1241</v>
      </c>
      <c r="AJ9" s="43" t="s">
        <v>1240</v>
      </c>
      <c r="AK9" s="43" t="s">
        <v>44</v>
      </c>
      <c r="AL9" s="43" t="s">
        <v>44</v>
      </c>
      <c r="AM9" s="48" t="s">
        <v>44</v>
      </c>
      <c r="AN9" s="14" t="s">
        <v>42</v>
      </c>
      <c r="AO9" s="14">
        <v>4</v>
      </c>
      <c r="AP9" s="14" t="s">
        <v>1347</v>
      </c>
      <c r="AQ9" s="43" t="s">
        <v>1243</v>
      </c>
      <c r="AR9" s="47">
        <v>27697</v>
      </c>
      <c r="AS9" s="47">
        <v>46010</v>
      </c>
      <c r="AT9" s="14" t="s">
        <v>1241</v>
      </c>
      <c r="AU9" s="14" t="s">
        <v>1241</v>
      </c>
      <c r="AV9" s="14" t="s">
        <v>1241</v>
      </c>
      <c r="AW9" s="14" t="s">
        <v>1241</v>
      </c>
      <c r="AX9" s="14" t="s">
        <v>1348</v>
      </c>
      <c r="AY9" s="14" t="s">
        <v>1273</v>
      </c>
      <c r="AZ9" s="14" t="s">
        <v>1274</v>
      </c>
      <c r="BA9" s="14" t="s">
        <v>1275</v>
      </c>
      <c r="BB9" s="43" t="s">
        <v>1290</v>
      </c>
      <c r="BC9" s="14" t="s">
        <v>1276</v>
      </c>
      <c r="BD9" s="14" t="s">
        <v>1241</v>
      </c>
      <c r="BE9" s="14" t="s">
        <v>1241</v>
      </c>
      <c r="BF9" s="14" t="s">
        <v>1250</v>
      </c>
      <c r="BG9" s="14" t="s">
        <v>1241</v>
      </c>
      <c r="BH9" s="14" t="s">
        <v>1241</v>
      </c>
      <c r="BI9" s="14" t="s">
        <v>1349</v>
      </c>
      <c r="BJ9" s="14" t="s">
        <v>1279</v>
      </c>
      <c r="BK9" s="47">
        <v>46065</v>
      </c>
      <c r="BL9" s="14" t="s">
        <v>1350</v>
      </c>
      <c r="BM9" s="14" t="s">
        <v>1253</v>
      </c>
      <c r="BN9" s="14" t="s">
        <v>1254</v>
      </c>
      <c r="BO9" s="14" t="s">
        <v>1307</v>
      </c>
      <c r="BP9" s="14" t="s">
        <v>1351</v>
      </c>
      <c r="BQ9" s="14" t="s">
        <v>1352</v>
      </c>
      <c r="BR9" s="14" t="s">
        <v>1241</v>
      </c>
      <c r="BS9" s="14" t="s">
        <v>1241</v>
      </c>
      <c r="BT9" s="14" t="s">
        <v>1353</v>
      </c>
      <c r="BU9" s="14" t="s">
        <v>1259</v>
      </c>
      <c r="BV9" s="14" t="s">
        <v>1260</v>
      </c>
      <c r="BW9" s="14" t="s">
        <v>1261</v>
      </c>
      <c r="BX9" s="43" t="s">
        <v>42</v>
      </c>
      <c r="BY9" s="43" t="s">
        <v>42</v>
      </c>
      <c r="BZ9" s="43" t="s">
        <v>42</v>
      </c>
      <c r="CA9" s="43" t="s">
        <v>42</v>
      </c>
      <c r="CB9" s="14" t="s">
        <v>1282</v>
      </c>
      <c r="CC9" s="14" t="s">
        <v>872</v>
      </c>
      <c r="CD9" s="14" t="s">
        <v>42</v>
      </c>
      <c r="CE9" s="14" t="s">
        <v>1354</v>
      </c>
      <c r="CF9" s="43" t="s">
        <v>1147</v>
      </c>
      <c r="CG9" s="43" t="s">
        <v>1155</v>
      </c>
      <c r="CH9" s="49">
        <v>1750905</v>
      </c>
      <c r="CI9" s="50">
        <f>IFERROR((CH9/30),0)</f>
        <v>58363.5</v>
      </c>
      <c r="CJ9" s="14">
        <v>0</v>
      </c>
      <c r="CK9" s="14">
        <v>0</v>
      </c>
      <c r="CL9" s="14">
        <v>0</v>
      </c>
      <c r="CM9" s="14">
        <v>0</v>
      </c>
      <c r="CN9" s="43">
        <v>0</v>
      </c>
      <c r="CO9" s="50">
        <v>2000000</v>
      </c>
      <c r="CP9" s="14">
        <v>0</v>
      </c>
      <c r="CQ9" s="14">
        <v>0</v>
      </c>
      <c r="CR9" s="14">
        <v>0</v>
      </c>
      <c r="CS9" s="49">
        <v>0</v>
      </c>
      <c r="CT9" s="49">
        <f>IFERROR((CN9+CO9+CP9+CQ9+CR9+CS9),0)</f>
        <v>2000000</v>
      </c>
      <c r="CU9" s="43" t="s">
        <v>1266</v>
      </c>
      <c r="CV9" s="47">
        <v>46070</v>
      </c>
      <c r="CW9" s="14" t="s">
        <v>1355</v>
      </c>
      <c r="CX9" s="14" t="s">
        <v>42</v>
      </c>
      <c r="CY9" s="14" t="s">
        <v>42</v>
      </c>
      <c r="CZ9" s="14" t="s">
        <v>42</v>
      </c>
      <c r="DA9" s="14" t="s">
        <v>42</v>
      </c>
      <c r="DB9" s="14" t="s">
        <v>1268</v>
      </c>
      <c r="DC9" s="47">
        <v>46070</v>
      </c>
      <c r="DD9" s="14" t="s">
        <v>1269</v>
      </c>
      <c r="DE9" s="47">
        <v>46101</v>
      </c>
      <c r="DF9" s="14" t="s">
        <v>1285</v>
      </c>
      <c r="DG9" s="47">
        <v>46101</v>
      </c>
    </row>
    <row r="10" spans="1:125" ht="136.5" customHeight="1">
      <c r="A10" s="13">
        <v>46069.527881944399</v>
      </c>
      <c r="B10" s="13">
        <v>46069.539386574099</v>
      </c>
      <c r="C10" s="13" t="s">
        <v>52</v>
      </c>
      <c r="D10" s="13" t="s">
        <v>228</v>
      </c>
      <c r="E10" s="13">
        <v>46069</v>
      </c>
      <c r="F10" s="13" t="s">
        <v>792</v>
      </c>
      <c r="G10" s="13" t="s">
        <v>793</v>
      </c>
      <c r="H10" s="13" t="s">
        <v>51</v>
      </c>
      <c r="I10" s="13" t="s">
        <v>134</v>
      </c>
      <c r="J10" s="13" t="s">
        <v>42</v>
      </c>
      <c r="K10" s="13" t="s">
        <v>794</v>
      </c>
      <c r="L10" s="13" t="s">
        <v>795</v>
      </c>
      <c r="M10" s="13" t="s">
        <v>796</v>
      </c>
      <c r="N10" s="13" t="s">
        <v>139</v>
      </c>
      <c r="O10" s="13" t="s">
        <v>71</v>
      </c>
      <c r="P10" s="13" t="s">
        <v>72</v>
      </c>
      <c r="Q10" s="13" t="s">
        <v>42</v>
      </c>
      <c r="R10" s="13" t="s">
        <v>42</v>
      </c>
      <c r="S10" s="13" t="s">
        <v>42</v>
      </c>
      <c r="T10" s="13" t="s">
        <v>797</v>
      </c>
      <c r="U10" s="13" t="s">
        <v>45</v>
      </c>
      <c r="V10" s="13" t="s">
        <v>45</v>
      </c>
      <c r="W10" s="13" t="s">
        <v>45</v>
      </c>
      <c r="X10" s="13" t="s">
        <v>44</v>
      </c>
      <c r="Y10" s="13" t="s">
        <v>45</v>
      </c>
      <c r="Z10" s="13" t="s">
        <v>798</v>
      </c>
      <c r="AA10" s="13" t="s">
        <v>45</v>
      </c>
      <c r="AB10" s="13" t="s">
        <v>799</v>
      </c>
      <c r="AC10" s="47">
        <v>46070</v>
      </c>
      <c r="AD10" s="48" t="s">
        <v>1329</v>
      </c>
      <c r="AE10" s="43" t="s">
        <v>1240</v>
      </c>
      <c r="AF10" s="43" t="s">
        <v>1240</v>
      </c>
      <c r="AG10" s="43" t="s">
        <v>1240</v>
      </c>
      <c r="AH10" s="43" t="s">
        <v>1240</v>
      </c>
      <c r="AI10" s="43" t="s">
        <v>1241</v>
      </c>
      <c r="AJ10" s="43" t="s">
        <v>1240</v>
      </c>
      <c r="AK10" s="43" t="s">
        <v>44</v>
      </c>
      <c r="AL10" s="43" t="s">
        <v>44</v>
      </c>
      <c r="AM10" s="48" t="s">
        <v>44</v>
      </c>
      <c r="AN10" s="14" t="s">
        <v>42</v>
      </c>
      <c r="AO10" s="14">
        <v>3</v>
      </c>
      <c r="AP10" s="14" t="s">
        <v>1356</v>
      </c>
      <c r="AQ10" s="43" t="s">
        <v>1243</v>
      </c>
      <c r="AR10" s="47">
        <v>27536</v>
      </c>
      <c r="AS10" s="47">
        <v>45627</v>
      </c>
      <c r="AT10" s="14" t="s">
        <v>1241</v>
      </c>
      <c r="AU10" s="14" t="s">
        <v>1241</v>
      </c>
      <c r="AV10" s="14" t="s">
        <v>1241</v>
      </c>
      <c r="AW10" s="14" t="s">
        <v>1241</v>
      </c>
      <c r="AX10" s="14" t="s">
        <v>1357</v>
      </c>
      <c r="AY10" s="14" t="s">
        <v>1273</v>
      </c>
      <c r="AZ10" s="14" t="s">
        <v>1274</v>
      </c>
      <c r="BA10" s="14" t="s">
        <v>1275</v>
      </c>
      <c r="BB10" s="43" t="s">
        <v>1290</v>
      </c>
      <c r="BC10" s="14" t="s">
        <v>1276</v>
      </c>
      <c r="BD10" s="14" t="s">
        <v>1241</v>
      </c>
      <c r="BE10" s="14" t="s">
        <v>1241</v>
      </c>
      <c r="BF10" s="14" t="s">
        <v>1250</v>
      </c>
      <c r="BG10" s="14" t="s">
        <v>1241</v>
      </c>
      <c r="BH10" s="14" t="s">
        <v>1241</v>
      </c>
      <c r="BI10" s="14" t="s">
        <v>1278</v>
      </c>
      <c r="BJ10" s="14" t="s">
        <v>1279</v>
      </c>
      <c r="BK10" s="47">
        <v>46069</v>
      </c>
      <c r="BL10" s="14" t="s">
        <v>1358</v>
      </c>
      <c r="BM10" s="14" t="s">
        <v>1324</v>
      </c>
      <c r="BN10" s="14" t="s">
        <v>1254</v>
      </c>
      <c r="BO10" s="14" t="s">
        <v>1359</v>
      </c>
      <c r="BP10" s="14" t="s">
        <v>1335</v>
      </c>
      <c r="BQ10" s="14" t="s">
        <v>1335</v>
      </c>
      <c r="BR10" s="14" t="s">
        <v>1241</v>
      </c>
      <c r="BS10" s="14" t="s">
        <v>1241</v>
      </c>
      <c r="BT10" s="14" t="s">
        <v>42</v>
      </c>
      <c r="BU10" s="14" t="s">
        <v>1259</v>
      </c>
      <c r="BV10" s="14" t="s">
        <v>1260</v>
      </c>
      <c r="BW10" s="14" t="s">
        <v>1261</v>
      </c>
      <c r="BX10" s="43" t="s">
        <v>42</v>
      </c>
      <c r="BY10" s="43" t="s">
        <v>42</v>
      </c>
      <c r="BZ10" s="43" t="s">
        <v>42</v>
      </c>
      <c r="CA10" s="43" t="s">
        <v>42</v>
      </c>
      <c r="CB10" s="14" t="s">
        <v>1282</v>
      </c>
      <c r="CC10" s="14" t="s">
        <v>1263</v>
      </c>
      <c r="CD10" s="14" t="s">
        <v>42</v>
      </c>
      <c r="CE10" s="14" t="s">
        <v>1360</v>
      </c>
      <c r="CF10" s="43" t="s">
        <v>1147</v>
      </c>
      <c r="CG10" s="43" t="s">
        <v>1155</v>
      </c>
      <c r="CH10" s="49">
        <v>1750905</v>
      </c>
      <c r="CI10" s="50">
        <f>IFERROR((CH10/30),0)</f>
        <v>58363.5</v>
      </c>
      <c r="CJ10" s="14">
        <v>0</v>
      </c>
      <c r="CK10" s="14">
        <v>0</v>
      </c>
      <c r="CL10" s="14">
        <v>0</v>
      </c>
      <c r="CM10" s="14">
        <v>0</v>
      </c>
      <c r="CN10" s="43">
        <v>0</v>
      </c>
      <c r="CO10" s="50">
        <v>0</v>
      </c>
      <c r="CP10" s="14">
        <v>0</v>
      </c>
      <c r="CQ10" s="14">
        <v>0</v>
      </c>
      <c r="CR10" s="14">
        <v>0</v>
      </c>
      <c r="CS10" s="49">
        <v>0</v>
      </c>
      <c r="CT10" s="49">
        <f>IFERROR((CN10+CO10+CP10+CQ10+CR10+CS10),0)</f>
        <v>0</v>
      </c>
      <c r="CU10" s="43" t="s">
        <v>1266</v>
      </c>
      <c r="CV10" s="47">
        <v>46070</v>
      </c>
      <c r="CW10" s="14" t="s">
        <v>1361</v>
      </c>
      <c r="CX10" s="14" t="s">
        <v>42</v>
      </c>
      <c r="CY10" s="14" t="s">
        <v>42</v>
      </c>
      <c r="CZ10" s="14" t="s">
        <v>42</v>
      </c>
      <c r="DA10" s="14" t="s">
        <v>42</v>
      </c>
      <c r="DB10" s="14" t="s">
        <v>1268</v>
      </c>
      <c r="DC10" s="47">
        <v>46070</v>
      </c>
      <c r="DD10" s="14" t="s">
        <v>1269</v>
      </c>
      <c r="DE10" s="47">
        <v>46101</v>
      </c>
      <c r="DF10" s="14" t="s">
        <v>1285</v>
      </c>
      <c r="DG10" s="47">
        <v>46098</v>
      </c>
    </row>
    <row r="11" spans="1:125" ht="136.5" customHeight="1">
      <c r="A11" s="13">
        <v>46074.435474537</v>
      </c>
      <c r="B11" s="13">
        <v>46074.487094907403</v>
      </c>
      <c r="C11" s="13" t="s">
        <v>76</v>
      </c>
      <c r="D11" s="13" t="s">
        <v>228</v>
      </c>
      <c r="E11" s="13">
        <v>46073</v>
      </c>
      <c r="F11" s="13" t="s">
        <v>807</v>
      </c>
      <c r="G11" s="13" t="s">
        <v>808</v>
      </c>
      <c r="H11" s="13" t="s">
        <v>51</v>
      </c>
      <c r="I11" s="13" t="s">
        <v>34</v>
      </c>
      <c r="J11" s="13" t="s">
        <v>809</v>
      </c>
      <c r="K11" s="13" t="s">
        <v>810</v>
      </c>
      <c r="L11" s="13" t="s">
        <v>811</v>
      </c>
      <c r="M11" s="13" t="s">
        <v>812</v>
      </c>
      <c r="N11" s="13" t="s">
        <v>56</v>
      </c>
      <c r="O11" s="13" t="s">
        <v>40</v>
      </c>
      <c r="P11" s="13" t="s">
        <v>58</v>
      </c>
      <c r="Q11" s="13" t="s">
        <v>42</v>
      </c>
      <c r="R11" s="13" t="s">
        <v>42</v>
      </c>
      <c r="S11" s="13" t="s">
        <v>42</v>
      </c>
      <c r="T11" s="13" t="s">
        <v>813</v>
      </c>
      <c r="U11" s="13" t="s">
        <v>44</v>
      </c>
      <c r="V11" s="13" t="s">
        <v>44</v>
      </c>
      <c r="W11" s="13" t="s">
        <v>44</v>
      </c>
      <c r="X11" s="13" t="s">
        <v>44</v>
      </c>
      <c r="Y11" s="13" t="s">
        <v>45</v>
      </c>
      <c r="Z11" s="13" t="s">
        <v>814</v>
      </c>
      <c r="AA11" s="13" t="s">
        <v>45</v>
      </c>
      <c r="AB11" s="13" t="s">
        <v>815</v>
      </c>
      <c r="AC11" s="47">
        <v>46073</v>
      </c>
      <c r="AD11" s="48" t="s">
        <v>1287</v>
      </c>
      <c r="AE11" s="43" t="s">
        <v>1240</v>
      </c>
      <c r="AF11" s="43" t="s">
        <v>1240</v>
      </c>
      <c r="AG11" s="43" t="s">
        <v>1240</v>
      </c>
      <c r="AH11" s="43" t="s">
        <v>1240</v>
      </c>
      <c r="AI11" s="43" t="s">
        <v>1241</v>
      </c>
      <c r="AJ11" s="43" t="s">
        <v>1240</v>
      </c>
      <c r="AK11" s="43" t="s">
        <v>44</v>
      </c>
      <c r="AL11" s="43" t="s">
        <v>44</v>
      </c>
      <c r="AM11" s="48" t="s">
        <v>44</v>
      </c>
      <c r="AN11" s="14" t="s">
        <v>42</v>
      </c>
      <c r="AO11" s="14">
        <v>2</v>
      </c>
      <c r="AP11" s="14" t="s">
        <v>1362</v>
      </c>
      <c r="AQ11" s="43" t="s">
        <v>1243</v>
      </c>
      <c r="AR11" s="47" t="s">
        <v>1363</v>
      </c>
      <c r="AS11" s="47" t="s">
        <v>1364</v>
      </c>
      <c r="AT11" s="14" t="s">
        <v>1241</v>
      </c>
      <c r="AU11" s="14" t="s">
        <v>1241</v>
      </c>
      <c r="AV11" s="14" t="s">
        <v>1241</v>
      </c>
      <c r="AW11" s="14" t="s">
        <v>1241</v>
      </c>
      <c r="AX11" s="14" t="s">
        <v>1365</v>
      </c>
      <c r="AY11" s="14" t="s">
        <v>1273</v>
      </c>
      <c r="AZ11" s="14" t="s">
        <v>1274</v>
      </c>
      <c r="BA11" s="14" t="s">
        <v>1275</v>
      </c>
      <c r="BB11" s="43" t="s">
        <v>1290</v>
      </c>
      <c r="BC11" s="14" t="s">
        <v>1276</v>
      </c>
      <c r="BD11" s="14" t="s">
        <v>1241</v>
      </c>
      <c r="BE11" s="14" t="s">
        <v>1241</v>
      </c>
      <c r="BF11" s="14" t="s">
        <v>1322</v>
      </c>
      <c r="BG11" s="14" t="s">
        <v>1241</v>
      </c>
      <c r="BH11" s="14" t="s">
        <v>1241</v>
      </c>
      <c r="BI11" s="14" t="s">
        <v>1366</v>
      </c>
      <c r="BJ11" s="14" t="s">
        <v>1279</v>
      </c>
      <c r="BK11" s="47">
        <v>46073</v>
      </c>
      <c r="BL11" s="14" t="s">
        <v>1367</v>
      </c>
      <c r="BM11" s="14" t="s">
        <v>1368</v>
      </c>
      <c r="BN11" s="14" t="s">
        <v>1254</v>
      </c>
      <c r="BO11" s="14" t="s">
        <v>1369</v>
      </c>
      <c r="BP11" s="14" t="s">
        <v>1335</v>
      </c>
      <c r="BQ11" s="14" t="s">
        <v>1335</v>
      </c>
      <c r="BR11" s="14" t="s">
        <v>1241</v>
      </c>
      <c r="BS11" s="14" t="s">
        <v>1241</v>
      </c>
      <c r="BT11" s="14" t="s">
        <v>1370</v>
      </c>
      <c r="BU11" s="14" t="s">
        <v>1259</v>
      </c>
      <c r="BV11" s="14" t="s">
        <v>1260</v>
      </c>
      <c r="BW11" s="14" t="s">
        <v>1261</v>
      </c>
      <c r="BX11" s="43" t="s">
        <v>42</v>
      </c>
      <c r="BY11" s="43" t="s">
        <v>42</v>
      </c>
      <c r="BZ11" s="43" t="s">
        <v>42</v>
      </c>
      <c r="CA11" s="43" t="s">
        <v>42</v>
      </c>
      <c r="CB11" s="14" t="s">
        <v>1282</v>
      </c>
      <c r="CC11" s="14" t="s">
        <v>1263</v>
      </c>
      <c r="CD11" s="14" t="s">
        <v>1371</v>
      </c>
      <c r="CE11" s="14" t="s">
        <v>1283</v>
      </c>
      <c r="CF11" s="43" t="s">
        <v>1147</v>
      </c>
      <c r="CG11" s="43" t="s">
        <v>1156</v>
      </c>
      <c r="CH11" s="49">
        <v>1750905</v>
      </c>
      <c r="CI11" s="50">
        <f>IFERROR((CH11/30),0)</f>
        <v>58363.5</v>
      </c>
      <c r="CJ11" s="14">
        <v>0</v>
      </c>
      <c r="CK11" s="14">
        <v>0</v>
      </c>
      <c r="CL11" s="14">
        <v>0</v>
      </c>
      <c r="CM11" s="14">
        <v>0</v>
      </c>
      <c r="CN11" s="43">
        <v>0</v>
      </c>
      <c r="CO11" s="50">
        <v>0</v>
      </c>
      <c r="CP11" s="14">
        <v>0</v>
      </c>
      <c r="CQ11" s="14">
        <v>0</v>
      </c>
      <c r="CR11" s="14">
        <v>300000</v>
      </c>
      <c r="CT11" s="49">
        <f>IFERROR((CN11+CO11+CP11+CQ11+CR11+CS11),0)</f>
        <v>300000</v>
      </c>
      <c r="CU11" s="43" t="s">
        <v>1266</v>
      </c>
      <c r="CV11" s="47">
        <v>46078</v>
      </c>
      <c r="CW11" s="14" t="s">
        <v>1372</v>
      </c>
      <c r="CX11" s="14" t="s">
        <v>42</v>
      </c>
      <c r="CY11" s="14" t="s">
        <v>42</v>
      </c>
      <c r="CZ11" s="14" t="s">
        <v>42</v>
      </c>
      <c r="DA11" s="14" t="s">
        <v>42</v>
      </c>
      <c r="DB11" s="14" t="s">
        <v>1268</v>
      </c>
      <c r="DC11" s="47">
        <v>46073</v>
      </c>
      <c r="DD11" s="14" t="s">
        <v>1269</v>
      </c>
      <c r="DE11" s="47">
        <v>46101</v>
      </c>
      <c r="DF11" s="14" t="s">
        <v>1285</v>
      </c>
      <c r="DG11" s="47">
        <v>46101</v>
      </c>
    </row>
    <row r="12" spans="1:125" ht="136.5" customHeight="1">
      <c r="A12" s="13">
        <v>46078.6340740741</v>
      </c>
      <c r="B12" s="13">
        <v>46078.658761574101</v>
      </c>
      <c r="C12" s="13" t="s">
        <v>76</v>
      </c>
      <c r="D12" s="13" t="s">
        <v>63</v>
      </c>
      <c r="E12" s="13">
        <v>46078</v>
      </c>
      <c r="F12" s="13" t="s">
        <v>816</v>
      </c>
      <c r="G12" s="13" t="s">
        <v>817</v>
      </c>
      <c r="H12" s="13" t="s">
        <v>66</v>
      </c>
      <c r="I12" s="13" t="s">
        <v>34</v>
      </c>
      <c r="J12" s="13" t="s">
        <v>818</v>
      </c>
      <c r="K12" s="13" t="s">
        <v>819</v>
      </c>
      <c r="L12" s="13" t="s">
        <v>820</v>
      </c>
      <c r="M12" s="13" t="s">
        <v>821</v>
      </c>
      <c r="N12" s="13" t="s">
        <v>56</v>
      </c>
      <c r="O12" s="13" t="s">
        <v>71</v>
      </c>
      <c r="P12" s="13" t="s">
        <v>72</v>
      </c>
      <c r="Q12" s="13" t="s">
        <v>42</v>
      </c>
      <c r="R12" s="13" t="s">
        <v>67</v>
      </c>
      <c r="S12" s="13" t="s">
        <v>67</v>
      </c>
      <c r="T12" s="13" t="s">
        <v>822</v>
      </c>
      <c r="U12" s="13" t="s">
        <v>44</v>
      </c>
      <c r="V12" s="13" t="s">
        <v>45</v>
      </c>
      <c r="W12" s="13" t="s">
        <v>45</v>
      </c>
      <c r="X12" s="13" t="s">
        <v>44</v>
      </c>
      <c r="Y12" s="13" t="s">
        <v>45</v>
      </c>
      <c r="Z12" s="13" t="s">
        <v>823</v>
      </c>
      <c r="AA12" s="13" t="s">
        <v>45</v>
      </c>
      <c r="AB12" s="13" t="s">
        <v>824</v>
      </c>
      <c r="AC12" s="47">
        <v>46084</v>
      </c>
      <c r="AD12" s="48" t="s">
        <v>1287</v>
      </c>
      <c r="AE12" s="43" t="s">
        <v>1240</v>
      </c>
      <c r="AF12" s="43" t="s">
        <v>1240</v>
      </c>
      <c r="AG12" s="43" t="s">
        <v>1240</v>
      </c>
      <c r="AH12" s="43" t="s">
        <v>1240</v>
      </c>
      <c r="AI12" s="43" t="s">
        <v>1241</v>
      </c>
      <c r="AJ12" s="43" t="s">
        <v>1240</v>
      </c>
      <c r="AK12" s="43" t="s">
        <v>44</v>
      </c>
      <c r="AL12" s="43" t="s">
        <v>44</v>
      </c>
      <c r="AM12" s="48" t="s">
        <v>44</v>
      </c>
      <c r="AN12" s="14" t="s">
        <v>42</v>
      </c>
      <c r="AO12" s="14">
        <v>2</v>
      </c>
      <c r="AP12" s="14" t="s">
        <v>1373</v>
      </c>
      <c r="AQ12" s="43" t="s">
        <v>1243</v>
      </c>
      <c r="AR12" s="47">
        <v>35982</v>
      </c>
      <c r="AS12" s="47">
        <v>44774</v>
      </c>
      <c r="AT12" s="14" t="s">
        <v>1241</v>
      </c>
      <c r="AU12" s="14" t="s">
        <v>1241</v>
      </c>
      <c r="AV12" s="14" t="s">
        <v>1241</v>
      </c>
      <c r="AW12" s="14" t="s">
        <v>1241</v>
      </c>
      <c r="AX12" s="14" t="s">
        <v>1374</v>
      </c>
      <c r="AY12" s="14" t="s">
        <v>1273</v>
      </c>
      <c r="AZ12" s="14" t="s">
        <v>1274</v>
      </c>
      <c r="BA12" s="14" t="s">
        <v>1275</v>
      </c>
      <c r="BB12" s="43" t="s">
        <v>1290</v>
      </c>
      <c r="BC12" s="14" t="s">
        <v>1276</v>
      </c>
      <c r="BD12" s="14" t="s">
        <v>1241</v>
      </c>
      <c r="BE12" s="14" t="s">
        <v>1241</v>
      </c>
      <c r="BF12" s="14" t="s">
        <v>1322</v>
      </c>
      <c r="BG12" s="14" t="s">
        <v>1241</v>
      </c>
      <c r="BH12" s="14" t="s">
        <v>1241</v>
      </c>
      <c r="BI12" s="14" t="s">
        <v>1375</v>
      </c>
      <c r="BJ12" s="14" t="s">
        <v>1376</v>
      </c>
      <c r="BK12" s="47">
        <v>46078</v>
      </c>
      <c r="BL12" s="14" t="s">
        <v>1377</v>
      </c>
      <c r="BM12" s="14" t="s">
        <v>1292</v>
      </c>
      <c r="BN12" s="14" t="s">
        <v>1254</v>
      </c>
      <c r="BO12" s="14" t="s">
        <v>1369</v>
      </c>
      <c r="BP12" s="14" t="s">
        <v>1369</v>
      </c>
      <c r="BQ12" s="14" t="s">
        <v>1378</v>
      </c>
      <c r="BR12" s="14" t="s">
        <v>1241</v>
      </c>
      <c r="BS12" s="14" t="s">
        <v>1241</v>
      </c>
      <c r="BT12" s="14" t="s">
        <v>1379</v>
      </c>
      <c r="BU12" s="14" t="s">
        <v>1259</v>
      </c>
      <c r="BV12" s="14" t="s">
        <v>1260</v>
      </c>
      <c r="BW12" s="14" t="s">
        <v>1261</v>
      </c>
      <c r="BX12" s="43" t="s">
        <v>42</v>
      </c>
      <c r="BY12" s="43" t="s">
        <v>42</v>
      </c>
      <c r="BZ12" s="43" t="s">
        <v>42</v>
      </c>
      <c r="CA12" s="43" t="s">
        <v>42</v>
      </c>
      <c r="CB12" s="14" t="s">
        <v>1282</v>
      </c>
      <c r="CC12" s="14" t="s">
        <v>872</v>
      </c>
      <c r="CD12" s="14" t="s">
        <v>1380</v>
      </c>
      <c r="CE12" s="14" t="s">
        <v>1381</v>
      </c>
      <c r="CF12" s="43" t="s">
        <v>1147</v>
      </c>
      <c r="CG12" s="43" t="s">
        <v>1156</v>
      </c>
      <c r="CH12" s="49">
        <v>2079709</v>
      </c>
      <c r="CI12" s="50">
        <f>IFERROR((CH12/30),0)</f>
        <v>69323.633333333331</v>
      </c>
      <c r="CJ12" s="14">
        <v>0</v>
      </c>
      <c r="CK12" s="14">
        <v>0</v>
      </c>
      <c r="CL12" s="14">
        <v>0</v>
      </c>
      <c r="CM12" s="14">
        <v>0</v>
      </c>
      <c r="CN12" s="43">
        <v>0</v>
      </c>
      <c r="CO12" s="50">
        <v>0</v>
      </c>
      <c r="CP12" s="14">
        <v>0</v>
      </c>
      <c r="CQ12" s="14">
        <v>0</v>
      </c>
      <c r="CR12" s="14">
        <v>0</v>
      </c>
      <c r="CS12" s="49">
        <v>0</v>
      </c>
      <c r="CT12" s="49">
        <v>0</v>
      </c>
      <c r="CU12" s="43" t="s">
        <v>1266</v>
      </c>
      <c r="CV12" s="47">
        <v>46084</v>
      </c>
      <c r="CW12" s="14" t="s">
        <v>1382</v>
      </c>
      <c r="CX12" s="14" t="s">
        <v>42</v>
      </c>
      <c r="CY12" s="14" t="s">
        <v>42</v>
      </c>
      <c r="CZ12" s="14" t="s">
        <v>42</v>
      </c>
      <c r="DA12" s="14" t="s">
        <v>42</v>
      </c>
      <c r="DB12" s="14" t="s">
        <v>1383</v>
      </c>
      <c r="DC12" s="47">
        <v>46090</v>
      </c>
      <c r="DD12" s="14" t="s">
        <v>1384</v>
      </c>
      <c r="DE12" s="47">
        <v>46112</v>
      </c>
      <c r="DF12" s="14" t="s">
        <v>1385</v>
      </c>
      <c r="DG12" s="47">
        <v>46112</v>
      </c>
    </row>
    <row r="13" spans="1:125" ht="136.5" customHeight="1">
      <c r="A13" s="13">
        <v>46079.487835648099</v>
      </c>
      <c r="B13" s="13">
        <v>46079.649930555599</v>
      </c>
      <c r="C13" s="13" t="s">
        <v>76</v>
      </c>
      <c r="D13" s="13" t="s">
        <v>271</v>
      </c>
      <c r="E13" s="13">
        <v>46079</v>
      </c>
      <c r="F13" s="13" t="s">
        <v>825</v>
      </c>
      <c r="G13" s="13" t="s">
        <v>826</v>
      </c>
      <c r="H13" s="13" t="s">
        <v>51</v>
      </c>
      <c r="I13" s="13" t="s">
        <v>34</v>
      </c>
      <c r="J13" s="13" t="s">
        <v>42</v>
      </c>
      <c r="K13" s="13" t="s">
        <v>827</v>
      </c>
      <c r="L13" s="13" t="s">
        <v>828</v>
      </c>
      <c r="M13" s="13" t="s">
        <v>829</v>
      </c>
      <c r="N13" s="13" t="s">
        <v>39</v>
      </c>
      <c r="O13" s="13" t="s">
        <v>71</v>
      </c>
      <c r="P13" s="13" t="s">
        <v>41</v>
      </c>
      <c r="Q13" s="13" t="s">
        <v>42</v>
      </c>
      <c r="R13" s="13" t="s">
        <v>42</v>
      </c>
      <c r="S13" s="13" t="s">
        <v>42</v>
      </c>
      <c r="T13" s="13" t="s">
        <v>830</v>
      </c>
      <c r="U13" s="13" t="s">
        <v>44</v>
      </c>
      <c r="V13" s="13" t="s">
        <v>44</v>
      </c>
      <c r="W13" s="13" t="s">
        <v>44</v>
      </c>
      <c r="X13" s="13" t="s">
        <v>44</v>
      </c>
      <c r="Y13" s="13" t="s">
        <v>45</v>
      </c>
      <c r="Z13" s="13" t="s">
        <v>831</v>
      </c>
      <c r="AA13" s="13" t="s">
        <v>45</v>
      </c>
      <c r="AB13" s="13" t="s">
        <v>832</v>
      </c>
      <c r="AC13" s="47">
        <v>46095</v>
      </c>
      <c r="AD13" s="48" t="s">
        <v>1318</v>
      </c>
      <c r="AE13" s="43" t="s">
        <v>1240</v>
      </c>
      <c r="AF13" s="43" t="s">
        <v>1240</v>
      </c>
      <c r="AG13" s="43" t="s">
        <v>1240</v>
      </c>
      <c r="AH13" s="43" t="s">
        <v>1240</v>
      </c>
      <c r="AI13" s="43" t="s">
        <v>1241</v>
      </c>
      <c r="AJ13" s="43" t="s">
        <v>1240</v>
      </c>
      <c r="AK13" s="43" t="s">
        <v>44</v>
      </c>
      <c r="AL13" s="43" t="s">
        <v>44</v>
      </c>
      <c r="AM13" s="48" t="s">
        <v>44</v>
      </c>
      <c r="AN13" s="14" t="s">
        <v>42</v>
      </c>
      <c r="AO13" s="14">
        <v>3</v>
      </c>
      <c r="AP13" s="14" t="s">
        <v>1386</v>
      </c>
      <c r="AQ13" s="43" t="s">
        <v>1243</v>
      </c>
      <c r="AR13" s="47">
        <v>26471</v>
      </c>
      <c r="AS13" s="47">
        <v>46128</v>
      </c>
      <c r="AT13" s="14" t="s">
        <v>1241</v>
      </c>
      <c r="AU13" s="14" t="s">
        <v>1241</v>
      </c>
      <c r="AV13" s="14" t="s">
        <v>1241</v>
      </c>
      <c r="AW13" s="14" t="s">
        <v>1241</v>
      </c>
      <c r="AX13" s="14" t="s">
        <v>1387</v>
      </c>
      <c r="AY13" s="14" t="s">
        <v>1273</v>
      </c>
      <c r="AZ13" s="14" t="s">
        <v>1274</v>
      </c>
      <c r="BA13" s="14" t="s">
        <v>1275</v>
      </c>
      <c r="BB13" s="43" t="s">
        <v>1290</v>
      </c>
      <c r="BC13" s="14" t="s">
        <v>1388</v>
      </c>
      <c r="BD13" s="14" t="s">
        <v>1241</v>
      </c>
      <c r="BE13" s="14" t="s">
        <v>1241</v>
      </c>
      <c r="BF13" s="14" t="s">
        <v>1250</v>
      </c>
      <c r="BG13" s="14" t="s">
        <v>1241</v>
      </c>
      <c r="BH13" s="14" t="s">
        <v>1241</v>
      </c>
      <c r="BI13" s="14" t="s">
        <v>1278</v>
      </c>
      <c r="BJ13" s="14" t="s">
        <v>1279</v>
      </c>
      <c r="BK13" s="47">
        <v>46079</v>
      </c>
      <c r="BL13" s="14" t="s">
        <v>1389</v>
      </c>
      <c r="BM13" s="14" t="s">
        <v>1253</v>
      </c>
      <c r="BN13" s="14" t="s">
        <v>1254</v>
      </c>
      <c r="BO13" s="14" t="s">
        <v>1390</v>
      </c>
      <c r="BP13" s="14" t="s">
        <v>1390</v>
      </c>
      <c r="BQ13" s="14" t="s">
        <v>1352</v>
      </c>
      <c r="BR13" s="14" t="s">
        <v>1241</v>
      </c>
      <c r="BS13" s="14" t="s">
        <v>1241</v>
      </c>
      <c r="BT13" s="14" t="s">
        <v>1391</v>
      </c>
      <c r="BU13" s="14" t="s">
        <v>1259</v>
      </c>
      <c r="BV13" s="14" t="s">
        <v>1392</v>
      </c>
      <c r="BW13" s="14" t="s">
        <v>1261</v>
      </c>
      <c r="BX13" s="43" t="s">
        <v>42</v>
      </c>
      <c r="BY13" s="43" t="s">
        <v>42</v>
      </c>
      <c r="BZ13" s="43" t="s">
        <v>42</v>
      </c>
      <c r="CA13" s="43" t="s">
        <v>42</v>
      </c>
      <c r="CB13" s="14" t="s">
        <v>1282</v>
      </c>
      <c r="CC13" s="14" t="s">
        <v>872</v>
      </c>
      <c r="CD13" s="14" t="s">
        <v>1380</v>
      </c>
      <c r="CE13" s="14" t="s">
        <v>1283</v>
      </c>
      <c r="CF13" s="43" t="s">
        <v>1147</v>
      </c>
      <c r="CG13" s="43" t="s">
        <v>1155</v>
      </c>
      <c r="CH13" s="49">
        <v>1750905</v>
      </c>
      <c r="CI13" s="50">
        <f>IFERROR((CH13/30),0)</f>
        <v>58363.5</v>
      </c>
      <c r="CJ13" s="14">
        <v>0</v>
      </c>
      <c r="CK13" s="14">
        <v>0</v>
      </c>
      <c r="CL13" s="14">
        <v>0</v>
      </c>
      <c r="CM13" s="14">
        <v>0</v>
      </c>
      <c r="CN13" s="43">
        <v>0</v>
      </c>
      <c r="CO13" s="50">
        <v>0</v>
      </c>
      <c r="CP13" s="14">
        <v>0</v>
      </c>
      <c r="CQ13" s="14">
        <v>0</v>
      </c>
      <c r="CR13" s="14">
        <v>0</v>
      </c>
      <c r="CS13" s="49">
        <v>0</v>
      </c>
      <c r="CT13" s="49">
        <v>0</v>
      </c>
      <c r="CU13" s="43" t="s">
        <v>1266</v>
      </c>
      <c r="CV13" s="47">
        <v>46097</v>
      </c>
      <c r="CW13" s="14" t="s">
        <v>1393</v>
      </c>
      <c r="CX13" s="14" t="s">
        <v>42</v>
      </c>
      <c r="CY13" s="14" t="s">
        <v>42</v>
      </c>
      <c r="CZ13" s="14" t="s">
        <v>42</v>
      </c>
      <c r="DA13" s="14" t="s">
        <v>42</v>
      </c>
      <c r="DB13" s="14" t="s">
        <v>1268</v>
      </c>
      <c r="DC13" s="47">
        <v>46067</v>
      </c>
      <c r="DD13" s="14" t="s">
        <v>1269</v>
      </c>
      <c r="DE13" s="47">
        <v>46132</v>
      </c>
      <c r="DF13" s="14" t="s">
        <v>1285</v>
      </c>
      <c r="DG13" s="47">
        <v>46142</v>
      </c>
    </row>
    <row r="14" spans="1:125" ht="136.5" customHeight="1">
      <c r="A14" s="13">
        <v>46083.460972222201</v>
      </c>
      <c r="B14" s="13">
        <v>46083.469710648104</v>
      </c>
      <c r="C14" s="13" t="s">
        <v>76</v>
      </c>
      <c r="D14" s="13" t="s">
        <v>271</v>
      </c>
      <c r="E14" s="13">
        <v>46083</v>
      </c>
      <c r="F14" s="13" t="s">
        <v>840</v>
      </c>
      <c r="G14" s="13" t="s">
        <v>284</v>
      </c>
      <c r="H14" s="13" t="s">
        <v>51</v>
      </c>
      <c r="I14" s="13" t="s">
        <v>34</v>
      </c>
      <c r="J14" s="13" t="s">
        <v>42</v>
      </c>
      <c r="K14" s="13" t="s">
        <v>841</v>
      </c>
      <c r="L14" s="13" t="s">
        <v>828</v>
      </c>
      <c r="M14" s="13" t="s">
        <v>829</v>
      </c>
      <c r="N14" s="13" t="s">
        <v>39</v>
      </c>
      <c r="O14" s="13" t="s">
        <v>57</v>
      </c>
      <c r="P14" s="13" t="s">
        <v>72</v>
      </c>
      <c r="Q14" s="13" t="s">
        <v>127</v>
      </c>
      <c r="R14" s="13" t="s">
        <v>42</v>
      </c>
      <c r="S14" s="13" t="s">
        <v>42</v>
      </c>
      <c r="T14" s="13" t="s">
        <v>842</v>
      </c>
      <c r="U14" s="13" t="s">
        <v>45</v>
      </c>
      <c r="V14" s="13" t="s">
        <v>44</v>
      </c>
      <c r="W14" s="13" t="s">
        <v>45</v>
      </c>
      <c r="X14" s="13" t="s">
        <v>44</v>
      </c>
      <c r="Y14" s="13" t="s">
        <v>45</v>
      </c>
      <c r="Z14" s="13" t="s">
        <v>843</v>
      </c>
      <c r="AA14" s="13" t="s">
        <v>44</v>
      </c>
      <c r="AB14" s="13" t="s">
        <v>832</v>
      </c>
      <c r="AC14" s="47">
        <v>46095</v>
      </c>
      <c r="AD14" s="48" t="s">
        <v>1318</v>
      </c>
      <c r="AE14" s="43" t="s">
        <v>1240</v>
      </c>
      <c r="AF14" s="43" t="s">
        <v>1240</v>
      </c>
      <c r="AG14" s="43" t="s">
        <v>1240</v>
      </c>
      <c r="AH14" s="43" t="s">
        <v>1240</v>
      </c>
      <c r="AI14" s="43" t="s">
        <v>1241</v>
      </c>
      <c r="AJ14" s="43" t="s">
        <v>1240</v>
      </c>
      <c r="AK14" s="43" t="s">
        <v>44</v>
      </c>
      <c r="AL14" s="43" t="s">
        <v>44</v>
      </c>
      <c r="AM14" s="48" t="s">
        <v>44</v>
      </c>
      <c r="AN14" s="14" t="s">
        <v>42</v>
      </c>
      <c r="AO14" s="14">
        <v>1</v>
      </c>
      <c r="AP14" s="14" t="s">
        <v>1394</v>
      </c>
      <c r="AQ14" s="43" t="s">
        <v>1243</v>
      </c>
      <c r="AR14" s="47">
        <v>26471</v>
      </c>
      <c r="AS14" s="47">
        <v>46128</v>
      </c>
      <c r="AT14" s="14" t="s">
        <v>1241</v>
      </c>
      <c r="AU14" s="14" t="s">
        <v>1241</v>
      </c>
      <c r="AV14" s="14" t="s">
        <v>1395</v>
      </c>
      <c r="AW14" s="14" t="s">
        <v>1241</v>
      </c>
      <c r="AX14" s="14" t="s">
        <v>42</v>
      </c>
      <c r="AY14" s="14" t="s">
        <v>1300</v>
      </c>
      <c r="AZ14" s="14" t="s">
        <v>1274</v>
      </c>
      <c r="BA14" s="14" t="s">
        <v>1275</v>
      </c>
      <c r="BB14" s="43" t="s">
        <v>1396</v>
      </c>
      <c r="BC14" s="14" t="s">
        <v>1397</v>
      </c>
      <c r="BD14" s="14" t="s">
        <v>1241</v>
      </c>
      <c r="BE14" s="14" t="s">
        <v>1241</v>
      </c>
      <c r="BF14" s="14" t="s">
        <v>1250</v>
      </c>
      <c r="BG14" s="14" t="s">
        <v>1241</v>
      </c>
      <c r="BH14" s="14" t="s">
        <v>1241</v>
      </c>
      <c r="BI14" s="14" t="s">
        <v>1278</v>
      </c>
      <c r="BJ14" s="14" t="s">
        <v>1279</v>
      </c>
      <c r="BK14" s="47">
        <v>46083</v>
      </c>
      <c r="BL14" s="14" t="s">
        <v>1398</v>
      </c>
      <c r="BM14" s="14" t="s">
        <v>1324</v>
      </c>
      <c r="BN14" s="14" t="s">
        <v>1254</v>
      </c>
      <c r="BO14" s="14" t="s">
        <v>1359</v>
      </c>
      <c r="BP14" s="14" t="s">
        <v>1390</v>
      </c>
      <c r="BQ14" s="14" t="s">
        <v>1352</v>
      </c>
      <c r="BR14" s="14" t="s">
        <v>1241</v>
      </c>
      <c r="BS14" s="14" t="s">
        <v>1241</v>
      </c>
      <c r="BT14" s="14" t="s">
        <v>42</v>
      </c>
      <c r="BU14" s="14" t="s">
        <v>1259</v>
      </c>
      <c r="BV14" s="14" t="s">
        <v>1310</v>
      </c>
      <c r="BW14" s="14" t="s">
        <v>1261</v>
      </c>
      <c r="BX14" s="43" t="s">
        <v>1399</v>
      </c>
      <c r="BY14" s="43" t="s">
        <v>1400</v>
      </c>
      <c r="BZ14" s="43" t="s">
        <v>1401</v>
      </c>
      <c r="CA14" s="43" t="s">
        <v>1402</v>
      </c>
      <c r="CB14" s="14" t="s">
        <v>1282</v>
      </c>
      <c r="CC14" s="14" t="s">
        <v>872</v>
      </c>
      <c r="CD14" s="14" t="s">
        <v>1380</v>
      </c>
      <c r="CE14" s="14" t="s">
        <v>1403</v>
      </c>
      <c r="CF14" s="43" t="s">
        <v>1148</v>
      </c>
      <c r="CG14" s="43" t="s">
        <v>1152</v>
      </c>
      <c r="CH14" s="49">
        <v>1750905</v>
      </c>
      <c r="CI14" s="50">
        <f>IFERROR((CH14/30),0)</f>
        <v>58363.5</v>
      </c>
      <c r="CJ14" s="14">
        <v>3</v>
      </c>
      <c r="CK14" s="14">
        <v>0</v>
      </c>
      <c r="CL14" s="14">
        <v>3</v>
      </c>
      <c r="CM14" s="14">
        <v>0</v>
      </c>
      <c r="CN14" s="43">
        <v>0</v>
      </c>
      <c r="CO14" s="50">
        <v>0</v>
      </c>
      <c r="CP14" s="14">
        <v>0</v>
      </c>
      <c r="CQ14" s="14">
        <v>0</v>
      </c>
      <c r="CS14" s="49">
        <v>0</v>
      </c>
      <c r="CT14" s="49">
        <f>IFERROR((CN14+CO14+CP14+CQ14+CR14+CS14),0)</f>
        <v>0</v>
      </c>
      <c r="CU14" s="43" t="s">
        <v>1266</v>
      </c>
      <c r="CV14" s="47">
        <v>46097</v>
      </c>
      <c r="CW14" s="14" t="s">
        <v>1404</v>
      </c>
      <c r="CX14" s="14" t="s">
        <v>42</v>
      </c>
      <c r="CY14" s="14" t="s">
        <v>42</v>
      </c>
      <c r="CZ14" s="14" t="s">
        <v>42</v>
      </c>
      <c r="DA14" s="14" t="s">
        <v>42</v>
      </c>
      <c r="DB14" s="14" t="s">
        <v>1268</v>
      </c>
      <c r="DC14" s="47">
        <v>46067</v>
      </c>
      <c r="DD14" s="14" t="s">
        <v>1269</v>
      </c>
      <c r="DE14" s="47">
        <v>46132</v>
      </c>
      <c r="DF14" s="14" t="s">
        <v>1405</v>
      </c>
      <c r="DG14" s="47">
        <v>46142</v>
      </c>
    </row>
    <row r="15" spans="1:125" ht="136.5" customHeight="1">
      <c r="A15" s="13">
        <v>46086.303460648203</v>
      </c>
      <c r="B15" s="13">
        <v>46086.369340277801</v>
      </c>
      <c r="C15" s="13" t="s">
        <v>76</v>
      </c>
      <c r="D15" s="13" t="s">
        <v>293</v>
      </c>
      <c r="E15" s="13">
        <v>46085</v>
      </c>
      <c r="F15" s="13" t="s">
        <v>844</v>
      </c>
      <c r="G15" s="13" t="s">
        <v>284</v>
      </c>
      <c r="H15" s="13" t="s">
        <v>51</v>
      </c>
      <c r="I15" s="13" t="s">
        <v>34</v>
      </c>
      <c r="J15" s="13" t="s">
        <v>42</v>
      </c>
      <c r="K15" s="13" t="s">
        <v>845</v>
      </c>
      <c r="L15" s="13">
        <v>1017153519</v>
      </c>
      <c r="M15" s="13" t="s">
        <v>722</v>
      </c>
      <c r="N15" s="13" t="s">
        <v>39</v>
      </c>
      <c r="O15" s="13" t="s">
        <v>71</v>
      </c>
      <c r="P15" s="13" t="s">
        <v>41</v>
      </c>
      <c r="Q15" s="13" t="s">
        <v>42</v>
      </c>
      <c r="R15" s="13" t="s">
        <v>42</v>
      </c>
      <c r="S15" s="13" t="s">
        <v>42</v>
      </c>
      <c r="T15" s="13" t="s">
        <v>847</v>
      </c>
      <c r="U15" s="13" t="s">
        <v>44</v>
      </c>
      <c r="V15" s="13" t="s">
        <v>44</v>
      </c>
      <c r="W15" s="13" t="s">
        <v>44</v>
      </c>
      <c r="X15" s="13" t="s">
        <v>44</v>
      </c>
      <c r="Y15" s="13" t="s">
        <v>44</v>
      </c>
      <c r="Z15" s="13" t="s">
        <v>848</v>
      </c>
      <c r="AA15" s="13" t="s">
        <v>45</v>
      </c>
      <c r="AB15" s="13" t="s">
        <v>849</v>
      </c>
      <c r="AC15" s="47">
        <v>46086</v>
      </c>
      <c r="AD15" s="48" t="s">
        <v>1294</v>
      </c>
      <c r="AE15" s="43" t="s">
        <v>1240</v>
      </c>
      <c r="AF15" s="43" t="s">
        <v>1240</v>
      </c>
      <c r="AG15" s="43" t="s">
        <v>1240</v>
      </c>
      <c r="AH15" s="43" t="s">
        <v>1240</v>
      </c>
      <c r="AI15" s="43" t="s">
        <v>1241</v>
      </c>
      <c r="AJ15" s="43" t="s">
        <v>1240</v>
      </c>
      <c r="AK15" s="43" t="s">
        <v>44</v>
      </c>
      <c r="AL15" s="43" t="s">
        <v>44</v>
      </c>
      <c r="AM15" s="48" t="s">
        <v>44</v>
      </c>
      <c r="AN15" s="14" t="s">
        <v>42</v>
      </c>
      <c r="AO15" s="14">
        <v>3</v>
      </c>
      <c r="AP15" s="14" t="s">
        <v>1406</v>
      </c>
      <c r="AQ15" s="43" t="s">
        <v>1243</v>
      </c>
      <c r="AR15" s="47">
        <v>31941</v>
      </c>
      <c r="AS15" s="47">
        <v>46035</v>
      </c>
      <c r="AT15" s="14" t="s">
        <v>1241</v>
      </c>
      <c r="AU15" s="14" t="s">
        <v>1241</v>
      </c>
      <c r="AV15" s="14" t="s">
        <v>1241</v>
      </c>
      <c r="AW15" s="14" t="s">
        <v>1241</v>
      </c>
      <c r="AX15" s="14" t="s">
        <v>1407</v>
      </c>
      <c r="AY15" s="14" t="s">
        <v>1273</v>
      </c>
      <c r="AZ15" s="14" t="s">
        <v>1274</v>
      </c>
      <c r="BA15" s="14" t="s">
        <v>1275</v>
      </c>
      <c r="BB15" s="43" t="s">
        <v>1290</v>
      </c>
      <c r="BC15" s="14" t="s">
        <v>1276</v>
      </c>
      <c r="BD15" s="14" t="s">
        <v>1241</v>
      </c>
      <c r="BE15" s="14" t="s">
        <v>1241</v>
      </c>
      <c r="BF15" s="14" t="s">
        <v>1277</v>
      </c>
      <c r="BG15" s="14" t="s">
        <v>1241</v>
      </c>
      <c r="BH15" s="14" t="s">
        <v>1241</v>
      </c>
      <c r="BI15" s="14" t="s">
        <v>1408</v>
      </c>
      <c r="BJ15" s="14" t="s">
        <v>1279</v>
      </c>
      <c r="BK15" s="47">
        <v>46085</v>
      </c>
      <c r="BL15" s="14" t="s">
        <v>1409</v>
      </c>
      <c r="BM15" s="14" t="s">
        <v>1292</v>
      </c>
      <c r="BN15" s="14" t="s">
        <v>1254</v>
      </c>
      <c r="BO15" s="14" t="s">
        <v>1307</v>
      </c>
      <c r="BP15" s="14" t="s">
        <v>1307</v>
      </c>
      <c r="BQ15" s="14" t="s">
        <v>1410</v>
      </c>
      <c r="BR15" s="14" t="s">
        <v>1241</v>
      </c>
      <c r="BS15" s="14" t="s">
        <v>1241</v>
      </c>
      <c r="BT15" s="14" t="s">
        <v>1411</v>
      </c>
      <c r="BU15" s="14" t="s">
        <v>1259</v>
      </c>
      <c r="BV15" s="14" t="s">
        <v>1260</v>
      </c>
      <c r="BW15" s="14" t="s">
        <v>1261</v>
      </c>
      <c r="BX15" s="43" t="s">
        <v>42</v>
      </c>
      <c r="BY15" s="43" t="s">
        <v>42</v>
      </c>
      <c r="BZ15" s="43" t="s">
        <v>42</v>
      </c>
      <c r="CA15" s="43" t="s">
        <v>42</v>
      </c>
      <c r="CB15" s="14" t="s">
        <v>1282</v>
      </c>
      <c r="CC15" s="14" t="s">
        <v>872</v>
      </c>
      <c r="CD15" s="14" t="s">
        <v>42</v>
      </c>
      <c r="CE15" s="14" t="s">
        <v>1412</v>
      </c>
      <c r="CF15" s="43" t="s">
        <v>1147</v>
      </c>
      <c r="CG15" s="43" t="s">
        <v>1155</v>
      </c>
      <c r="CH15" s="49">
        <v>1750905</v>
      </c>
      <c r="CI15" s="50">
        <f>IFERROR((CH15/30),0)</f>
        <v>58363.5</v>
      </c>
      <c r="CJ15" s="14">
        <v>0</v>
      </c>
      <c r="CK15" s="14">
        <v>0</v>
      </c>
      <c r="CL15" s="14">
        <v>0</v>
      </c>
      <c r="CM15" s="14">
        <v>2</v>
      </c>
      <c r="CN15" s="43">
        <v>0</v>
      </c>
      <c r="CO15" s="50">
        <v>0</v>
      </c>
      <c r="CP15" s="14">
        <v>0</v>
      </c>
      <c r="CQ15" s="14">
        <v>0</v>
      </c>
      <c r="CR15" s="14">
        <v>0</v>
      </c>
      <c r="CS15" s="49">
        <v>0</v>
      </c>
      <c r="CT15" s="49">
        <f>IFERROR((CN15+CO15+CP15+CQ15+CR15+CS15),0)</f>
        <v>0</v>
      </c>
      <c r="CU15" s="43" t="s">
        <v>1266</v>
      </c>
      <c r="CV15" s="47">
        <v>46086</v>
      </c>
      <c r="CW15" s="14" t="s">
        <v>1413</v>
      </c>
      <c r="CX15" s="14" t="s">
        <v>42</v>
      </c>
      <c r="CY15" s="14" t="s">
        <v>42</v>
      </c>
      <c r="CZ15" s="14" t="s">
        <v>42</v>
      </c>
      <c r="DA15" s="14" t="s">
        <v>42</v>
      </c>
      <c r="DB15" s="14" t="s">
        <v>1268</v>
      </c>
      <c r="DC15" s="47">
        <v>46086</v>
      </c>
      <c r="DD15" s="14" t="s">
        <v>1269</v>
      </c>
      <c r="DE15" s="47">
        <v>46137</v>
      </c>
      <c r="DF15" s="14" t="s">
        <v>1285</v>
      </c>
      <c r="DG15" s="47">
        <v>46086</v>
      </c>
    </row>
    <row r="16" spans="1:125" ht="136.5" customHeight="1">
      <c r="A16" s="13">
        <v>46091.539664351803</v>
      </c>
      <c r="B16" s="13">
        <v>46091.549548611103</v>
      </c>
      <c r="C16" s="13" t="s">
        <v>76</v>
      </c>
      <c r="D16" s="13" t="s">
        <v>228</v>
      </c>
      <c r="E16" s="13">
        <v>46085</v>
      </c>
      <c r="F16" s="13" t="s">
        <v>862</v>
      </c>
      <c r="G16" s="13" t="s">
        <v>863</v>
      </c>
      <c r="H16" s="13" t="s">
        <v>51</v>
      </c>
      <c r="I16" s="13" t="s">
        <v>34</v>
      </c>
      <c r="J16" s="13" t="s">
        <v>864</v>
      </c>
      <c r="K16" s="13" t="s">
        <v>865</v>
      </c>
      <c r="L16" s="13" t="s">
        <v>866</v>
      </c>
      <c r="M16" s="13" t="s">
        <v>867</v>
      </c>
      <c r="N16" s="13" t="s">
        <v>56</v>
      </c>
      <c r="O16" s="13" t="s">
        <v>71</v>
      </c>
      <c r="P16" s="13" t="s">
        <v>41</v>
      </c>
      <c r="Q16" s="13" t="s">
        <v>42</v>
      </c>
      <c r="R16" s="13" t="s">
        <v>42</v>
      </c>
      <c r="S16" s="13" t="s">
        <v>42</v>
      </c>
      <c r="T16" s="13" t="s">
        <v>868</v>
      </c>
      <c r="U16" s="13" t="s">
        <v>44</v>
      </c>
      <c r="V16" s="13" t="s">
        <v>44</v>
      </c>
      <c r="W16" s="13" t="s">
        <v>44</v>
      </c>
      <c r="X16" s="13" t="s">
        <v>44</v>
      </c>
      <c r="Y16" s="13" t="s">
        <v>44</v>
      </c>
      <c r="Z16" s="13" t="s">
        <v>869</v>
      </c>
      <c r="AA16" s="13" t="s">
        <v>45</v>
      </c>
      <c r="AB16" s="13" t="s">
        <v>870</v>
      </c>
      <c r="AC16" s="47">
        <v>46099</v>
      </c>
      <c r="AD16" s="48" t="s">
        <v>1329</v>
      </c>
      <c r="AE16" s="43" t="s">
        <v>1240</v>
      </c>
      <c r="AF16" s="43" t="s">
        <v>1240</v>
      </c>
      <c r="AG16" s="43" t="s">
        <v>1240</v>
      </c>
      <c r="AH16" s="43" t="s">
        <v>1240</v>
      </c>
      <c r="AI16" s="43" t="s">
        <v>1241</v>
      </c>
      <c r="AJ16" s="43" t="s">
        <v>1240</v>
      </c>
      <c r="AK16" s="43" t="s">
        <v>44</v>
      </c>
      <c r="AL16" s="43" t="s">
        <v>44</v>
      </c>
      <c r="AM16" s="48" t="s">
        <v>44</v>
      </c>
      <c r="AN16" s="14" t="s">
        <v>42</v>
      </c>
      <c r="AO16" s="14">
        <v>2</v>
      </c>
      <c r="AP16" s="14" t="s">
        <v>1414</v>
      </c>
      <c r="AQ16" s="43" t="s">
        <v>1243</v>
      </c>
      <c r="AR16" s="60">
        <v>32190</v>
      </c>
      <c r="AS16" s="61">
        <v>45627</v>
      </c>
      <c r="AT16" s="14" t="s">
        <v>1241</v>
      </c>
      <c r="AU16" s="14" t="s">
        <v>1241</v>
      </c>
      <c r="AV16" s="14" t="s">
        <v>1241</v>
      </c>
      <c r="AW16" s="14" t="s">
        <v>1241</v>
      </c>
      <c r="AX16" s="14" t="s">
        <v>1415</v>
      </c>
      <c r="AY16" s="14" t="s">
        <v>1273</v>
      </c>
      <c r="AZ16" s="14" t="s">
        <v>1274</v>
      </c>
      <c r="BA16" s="14" t="s">
        <v>1275</v>
      </c>
      <c r="BB16" s="43" t="s">
        <v>1290</v>
      </c>
      <c r="BC16" s="14" t="s">
        <v>1276</v>
      </c>
      <c r="BD16" s="14" t="s">
        <v>1241</v>
      </c>
      <c r="BE16" s="14" t="s">
        <v>1241</v>
      </c>
      <c r="BF16" s="14" t="s">
        <v>1250</v>
      </c>
      <c r="BG16" s="14" t="s">
        <v>1241</v>
      </c>
      <c r="BH16" s="14" t="s">
        <v>1241</v>
      </c>
      <c r="BI16" s="14" t="s">
        <v>1366</v>
      </c>
      <c r="BJ16" s="14" t="s">
        <v>1252</v>
      </c>
      <c r="BK16" s="47">
        <v>46085</v>
      </c>
      <c r="BL16" s="14" t="s">
        <v>1416</v>
      </c>
      <c r="BM16" s="14" t="s">
        <v>1292</v>
      </c>
      <c r="BN16" s="14" t="s">
        <v>1254</v>
      </c>
      <c r="BO16" s="14" t="s">
        <v>1307</v>
      </c>
      <c r="BP16" s="14" t="s">
        <v>1307</v>
      </c>
      <c r="BQ16" s="14" t="s">
        <v>1352</v>
      </c>
      <c r="BR16" s="14" t="s">
        <v>1241</v>
      </c>
      <c r="BS16" s="14" t="s">
        <v>1241</v>
      </c>
      <c r="BT16" s="14" t="s">
        <v>1417</v>
      </c>
      <c r="BU16" s="14" t="s">
        <v>1259</v>
      </c>
      <c r="BV16" s="14" t="s">
        <v>1260</v>
      </c>
      <c r="BW16" s="14" t="s">
        <v>1261</v>
      </c>
      <c r="BX16" s="43" t="s">
        <v>42</v>
      </c>
      <c r="BY16" s="43" t="s">
        <v>42</v>
      </c>
      <c r="BZ16" s="43" t="s">
        <v>42</v>
      </c>
      <c r="CA16" s="43" t="s">
        <v>42</v>
      </c>
      <c r="CB16" s="14" t="s">
        <v>1282</v>
      </c>
      <c r="CC16" s="14" t="s">
        <v>1263</v>
      </c>
      <c r="CD16" s="14" t="s">
        <v>42</v>
      </c>
      <c r="CE16" s="14" t="s">
        <v>1418</v>
      </c>
      <c r="CF16" s="43" t="s">
        <v>1147</v>
      </c>
      <c r="CG16" s="43" t="s">
        <v>1155</v>
      </c>
      <c r="CH16" s="49">
        <v>1750906</v>
      </c>
      <c r="CI16" s="50">
        <f>IFERROR((CH16/30),0)</f>
        <v>58363.533333333333</v>
      </c>
      <c r="CJ16" s="14">
        <v>0</v>
      </c>
      <c r="CK16" s="14">
        <v>0</v>
      </c>
      <c r="CL16" s="14">
        <v>0</v>
      </c>
      <c r="CM16" s="14">
        <v>2</v>
      </c>
      <c r="CN16" s="43">
        <v>0</v>
      </c>
      <c r="CO16" s="50">
        <v>1950000</v>
      </c>
      <c r="CP16" s="14">
        <v>0</v>
      </c>
      <c r="CQ16" s="14">
        <v>0</v>
      </c>
      <c r="CR16" s="14">
        <v>0</v>
      </c>
      <c r="CS16" s="49">
        <v>0</v>
      </c>
      <c r="CT16" s="49">
        <f>IFERROR((CN16+CO16+CP16+CQ16+CR16+CS16),0)</f>
        <v>1950000</v>
      </c>
      <c r="CU16" s="43" t="s">
        <v>1266</v>
      </c>
      <c r="CV16" s="47">
        <v>46092</v>
      </c>
      <c r="CW16" s="14" t="s">
        <v>1419</v>
      </c>
      <c r="CX16" s="14" t="s">
        <v>42</v>
      </c>
      <c r="CY16" s="14" t="s">
        <v>42</v>
      </c>
      <c r="CZ16" s="14" t="s">
        <v>42</v>
      </c>
      <c r="DA16" s="14" t="s">
        <v>42</v>
      </c>
      <c r="DB16" s="14" t="s">
        <v>1268</v>
      </c>
      <c r="DC16" s="47">
        <v>46092</v>
      </c>
      <c r="DD16" s="14" t="s">
        <v>1269</v>
      </c>
      <c r="DE16" s="47">
        <v>46137</v>
      </c>
      <c r="DF16" s="14" t="s">
        <v>1285</v>
      </c>
      <c r="DG16" s="47">
        <v>46092</v>
      </c>
    </row>
    <row r="17" spans="1:125" ht="136.5" customHeight="1">
      <c r="A17" s="13">
        <v>46086.58</v>
      </c>
      <c r="B17" s="13">
        <v>46086.602384259299</v>
      </c>
      <c r="C17" s="13" t="s">
        <v>76</v>
      </c>
      <c r="D17" s="13" t="s">
        <v>850</v>
      </c>
      <c r="E17" s="13">
        <v>46086</v>
      </c>
      <c r="F17" s="13" t="s">
        <v>851</v>
      </c>
      <c r="G17" s="13" t="s">
        <v>852</v>
      </c>
      <c r="H17" s="13" t="s">
        <v>168</v>
      </c>
      <c r="I17" s="13" t="s">
        <v>34</v>
      </c>
      <c r="J17" s="13" t="s">
        <v>853</v>
      </c>
      <c r="K17" s="13" t="s">
        <v>854</v>
      </c>
      <c r="L17" s="13" t="s">
        <v>855</v>
      </c>
      <c r="M17" s="13" t="s">
        <v>856</v>
      </c>
      <c r="N17" s="13" t="s">
        <v>56</v>
      </c>
      <c r="O17" s="13" t="s">
        <v>71</v>
      </c>
      <c r="P17" s="13" t="s">
        <v>41</v>
      </c>
      <c r="Q17" s="13" t="s">
        <v>42</v>
      </c>
      <c r="R17" s="13" t="s">
        <v>857</v>
      </c>
      <c r="S17" s="13" t="s">
        <v>858</v>
      </c>
      <c r="T17" s="13" t="s">
        <v>859</v>
      </c>
      <c r="U17" s="13" t="s">
        <v>44</v>
      </c>
      <c r="V17" s="13" t="s">
        <v>44</v>
      </c>
      <c r="W17" s="13" t="s">
        <v>45</v>
      </c>
      <c r="X17" s="13" t="s">
        <v>44</v>
      </c>
      <c r="Y17" s="13" t="s">
        <v>45</v>
      </c>
      <c r="Z17" s="13" t="s">
        <v>860</v>
      </c>
      <c r="AA17" s="13" t="s">
        <v>45</v>
      </c>
      <c r="AB17" s="13" t="s">
        <v>861</v>
      </c>
      <c r="AC17" s="47">
        <v>46092</v>
      </c>
      <c r="AD17" s="48" t="s">
        <v>1329</v>
      </c>
      <c r="AE17" s="43" t="s">
        <v>1240</v>
      </c>
      <c r="AF17" s="43" t="s">
        <v>1240</v>
      </c>
      <c r="AG17" s="43" t="s">
        <v>1240</v>
      </c>
      <c r="AH17" s="43" t="s">
        <v>1240</v>
      </c>
      <c r="AI17" s="43" t="s">
        <v>1241</v>
      </c>
      <c r="AJ17" s="43" t="s">
        <v>1240</v>
      </c>
      <c r="AK17" s="43" t="s">
        <v>44</v>
      </c>
      <c r="AL17" s="43" t="s">
        <v>44</v>
      </c>
      <c r="AM17" s="48" t="s">
        <v>44</v>
      </c>
      <c r="AN17" s="14" t="s">
        <v>42</v>
      </c>
      <c r="AO17" s="14">
        <v>4</v>
      </c>
      <c r="AP17" s="14" t="s">
        <v>1420</v>
      </c>
      <c r="AQ17" s="43" t="s">
        <v>1243</v>
      </c>
      <c r="AR17" s="60">
        <v>30246</v>
      </c>
      <c r="AS17" s="61">
        <v>45727</v>
      </c>
      <c r="AT17" s="14" t="s">
        <v>1241</v>
      </c>
      <c r="AU17" s="14" t="s">
        <v>1241</v>
      </c>
      <c r="AV17" s="14" t="s">
        <v>1241</v>
      </c>
      <c r="AW17" s="14" t="s">
        <v>1241</v>
      </c>
      <c r="AX17" s="14" t="s">
        <v>1421</v>
      </c>
      <c r="AY17" s="14" t="s">
        <v>1273</v>
      </c>
      <c r="AZ17" s="14" t="s">
        <v>1274</v>
      </c>
      <c r="BA17" s="14" t="s">
        <v>1275</v>
      </c>
      <c r="BB17" s="43" t="s">
        <v>1290</v>
      </c>
      <c r="BC17" s="14" t="s">
        <v>1276</v>
      </c>
      <c r="BD17" s="14" t="s">
        <v>1241</v>
      </c>
      <c r="BE17" s="14" t="s">
        <v>1241</v>
      </c>
      <c r="BF17" s="14" t="s">
        <v>1303</v>
      </c>
      <c r="BG17" s="14" t="s">
        <v>1241</v>
      </c>
      <c r="BH17" s="14" t="s">
        <v>1241</v>
      </c>
      <c r="BI17" s="14" t="s">
        <v>1422</v>
      </c>
      <c r="BJ17" s="14" t="s">
        <v>1376</v>
      </c>
      <c r="BK17" s="47">
        <v>46086</v>
      </c>
      <c r="BL17" s="14" t="s">
        <v>1329</v>
      </c>
      <c r="BM17" s="14" t="s">
        <v>1253</v>
      </c>
      <c r="BN17" s="14" t="s">
        <v>1254</v>
      </c>
      <c r="BO17" s="14" t="s">
        <v>1369</v>
      </c>
      <c r="BP17" s="14" t="s">
        <v>1307</v>
      </c>
      <c r="BQ17" s="14" t="s">
        <v>1423</v>
      </c>
      <c r="BR17" s="14" t="s">
        <v>1241</v>
      </c>
      <c r="BS17" s="14" t="s">
        <v>1241</v>
      </c>
      <c r="BT17" s="14" t="s">
        <v>1391</v>
      </c>
      <c r="BU17" s="14" t="s">
        <v>1259</v>
      </c>
      <c r="BV17" s="14" t="s">
        <v>1260</v>
      </c>
      <c r="BW17" s="14" t="s">
        <v>1261</v>
      </c>
      <c r="BX17" s="43" t="s">
        <v>42</v>
      </c>
      <c r="BY17" s="43" t="s">
        <v>42</v>
      </c>
      <c r="BZ17" s="43" t="s">
        <v>42</v>
      </c>
      <c r="CA17" s="43" t="s">
        <v>42</v>
      </c>
      <c r="CB17" s="14" t="s">
        <v>1282</v>
      </c>
      <c r="CC17" s="14" t="s">
        <v>1263</v>
      </c>
      <c r="CD17" s="14" t="s">
        <v>42</v>
      </c>
      <c r="CE17" s="14" t="s">
        <v>1424</v>
      </c>
      <c r="CF17" s="43" t="s">
        <v>1147</v>
      </c>
      <c r="CG17" s="43" t="s">
        <v>1155</v>
      </c>
      <c r="CH17" s="49">
        <v>1750905</v>
      </c>
      <c r="CI17" s="50">
        <f>IFERROR((CH17/30),0)</f>
        <v>58363.5</v>
      </c>
      <c r="CJ17" s="14">
        <v>0</v>
      </c>
      <c r="CK17" s="14">
        <v>0</v>
      </c>
      <c r="CL17" s="14">
        <v>0</v>
      </c>
      <c r="CM17" s="14">
        <v>2</v>
      </c>
      <c r="CN17" s="43">
        <v>0</v>
      </c>
      <c r="CO17" s="50">
        <v>0</v>
      </c>
      <c r="CP17" s="14">
        <v>0</v>
      </c>
      <c r="CQ17" s="14">
        <v>0</v>
      </c>
      <c r="CR17" s="14">
        <v>0</v>
      </c>
      <c r="CS17" s="49">
        <v>0</v>
      </c>
      <c r="CT17" s="49">
        <f>IFERROR((CN17+CO17+CP17+CQ17+CR17+CS17),0)</f>
        <v>0</v>
      </c>
      <c r="CU17" s="43" t="s">
        <v>1266</v>
      </c>
      <c r="CV17" s="47">
        <v>46099</v>
      </c>
      <c r="CW17" s="14" t="s">
        <v>1425</v>
      </c>
      <c r="CX17" s="14" t="s">
        <v>42</v>
      </c>
      <c r="CY17" s="14" t="s">
        <v>42</v>
      </c>
      <c r="CZ17" s="14" t="s">
        <v>42</v>
      </c>
      <c r="DA17" s="14" t="s">
        <v>42</v>
      </c>
      <c r="DB17" s="14" t="s">
        <v>1268</v>
      </c>
      <c r="DC17" s="47">
        <v>46092</v>
      </c>
      <c r="DD17" s="14" t="s">
        <v>1269</v>
      </c>
      <c r="DE17" s="47">
        <v>46137</v>
      </c>
      <c r="DF17" s="14" t="s">
        <v>1285</v>
      </c>
      <c r="DG17" s="47">
        <v>46092</v>
      </c>
    </row>
    <row r="18" spans="1:125" ht="136.5" customHeight="1">
      <c r="A18" s="13">
        <v>46098.351307870398</v>
      </c>
      <c r="B18" s="13">
        <v>46098.3514699074</v>
      </c>
      <c r="C18" s="54" t="s">
        <v>76</v>
      </c>
      <c r="D18" s="54" t="s">
        <v>293</v>
      </c>
      <c r="E18" s="47">
        <v>46095</v>
      </c>
      <c r="F18" s="54" t="s">
        <v>882</v>
      </c>
      <c r="G18" s="54" t="s">
        <v>883</v>
      </c>
      <c r="H18" s="54" t="s">
        <v>42</v>
      </c>
      <c r="I18" s="54" t="s">
        <v>134</v>
      </c>
      <c r="J18" s="55" t="s">
        <v>42</v>
      </c>
      <c r="K18" s="54" t="s">
        <v>884</v>
      </c>
      <c r="L18" s="55" t="s">
        <v>885</v>
      </c>
      <c r="M18" s="55" t="s">
        <v>886</v>
      </c>
      <c r="N18" s="54" t="s">
        <v>39</v>
      </c>
      <c r="O18" s="54" t="s">
        <v>71</v>
      </c>
      <c r="P18" s="54" t="s">
        <v>58</v>
      </c>
      <c r="Q18" s="54" t="s">
        <v>42</v>
      </c>
      <c r="R18" s="55" t="s">
        <v>42</v>
      </c>
      <c r="S18" s="55" t="s">
        <v>42</v>
      </c>
      <c r="T18" s="54" t="s">
        <v>887</v>
      </c>
      <c r="U18" s="54" t="s">
        <v>44</v>
      </c>
      <c r="V18" s="54" t="s">
        <v>44</v>
      </c>
      <c r="W18" s="54" t="s">
        <v>44</v>
      </c>
      <c r="X18" s="54" t="s">
        <v>44</v>
      </c>
      <c r="Y18" s="54" t="s">
        <v>44</v>
      </c>
      <c r="Z18" s="54" t="s">
        <v>888</v>
      </c>
      <c r="AA18" s="54" t="s">
        <v>45</v>
      </c>
      <c r="AB18" s="56" t="s">
        <v>889</v>
      </c>
      <c r="AC18" s="47">
        <v>46111</v>
      </c>
      <c r="AD18" s="14" t="s">
        <v>1426</v>
      </c>
      <c r="AE18" s="43" t="s">
        <v>1240</v>
      </c>
      <c r="AF18" s="43" t="s">
        <v>1240</v>
      </c>
      <c r="AG18" s="43" t="s">
        <v>1240</v>
      </c>
      <c r="AH18" s="43" t="s">
        <v>1240</v>
      </c>
      <c r="AI18" s="43" t="s">
        <v>1241</v>
      </c>
      <c r="AJ18" s="43" t="s">
        <v>1240</v>
      </c>
      <c r="AK18" s="43" t="s">
        <v>44</v>
      </c>
      <c r="AL18" s="43" t="s">
        <v>44</v>
      </c>
      <c r="AM18" s="48" t="s">
        <v>44</v>
      </c>
      <c r="AN18" s="14" t="s">
        <v>42</v>
      </c>
      <c r="AO18" s="14">
        <v>1</v>
      </c>
      <c r="AP18" s="14" t="s">
        <v>1427</v>
      </c>
      <c r="AQ18" s="43" t="s">
        <v>1243</v>
      </c>
      <c r="AR18" s="60">
        <v>25009</v>
      </c>
      <c r="AS18" s="61">
        <v>46113</v>
      </c>
      <c r="AT18" s="14" t="s">
        <v>1241</v>
      </c>
      <c r="AU18" s="14" t="s">
        <v>1241</v>
      </c>
      <c r="AV18" s="14" t="s">
        <v>1241</v>
      </c>
      <c r="AW18" s="14" t="s">
        <v>1241</v>
      </c>
      <c r="AX18" s="14" t="s">
        <v>1428</v>
      </c>
      <c r="AY18" s="14" t="s">
        <v>1273</v>
      </c>
      <c r="AZ18" s="14" t="s">
        <v>1274</v>
      </c>
      <c r="BA18" s="14" t="s">
        <v>1275</v>
      </c>
      <c r="BB18" s="43" t="s">
        <v>1290</v>
      </c>
      <c r="BC18" s="14" t="s">
        <v>1276</v>
      </c>
      <c r="BD18" s="14" t="s">
        <v>1241</v>
      </c>
      <c r="BE18" s="14" t="s">
        <v>1241</v>
      </c>
      <c r="BF18" s="14" t="s">
        <v>1250</v>
      </c>
      <c r="BG18" s="14" t="s">
        <v>1241</v>
      </c>
      <c r="BH18" s="14" t="s">
        <v>1241</v>
      </c>
      <c r="BI18" s="14" t="s">
        <v>1278</v>
      </c>
      <c r="BJ18" s="14" t="s">
        <v>1252</v>
      </c>
      <c r="BK18" s="47">
        <v>46095</v>
      </c>
      <c r="BL18" s="14" t="s">
        <v>1329</v>
      </c>
      <c r="BM18" s="14" t="s">
        <v>1429</v>
      </c>
      <c r="BN18" s="14" t="s">
        <v>1254</v>
      </c>
      <c r="BO18" s="14" t="s">
        <v>1398</v>
      </c>
      <c r="BP18" s="14" t="s">
        <v>1398</v>
      </c>
      <c r="BQ18" s="14" t="s">
        <v>1294</v>
      </c>
      <c r="BR18" s="14" t="s">
        <v>1241</v>
      </c>
      <c r="BS18" s="14" t="s">
        <v>1241</v>
      </c>
      <c r="BT18" s="14" t="s">
        <v>1430</v>
      </c>
      <c r="BU18" s="14" t="s">
        <v>1259</v>
      </c>
      <c r="BV18" s="14" t="s">
        <v>1260</v>
      </c>
      <c r="BW18" s="14" t="s">
        <v>1261</v>
      </c>
      <c r="BX18" s="43" t="s">
        <v>42</v>
      </c>
      <c r="BY18" s="43" t="s">
        <v>42</v>
      </c>
      <c r="BZ18" s="43" t="s">
        <v>42</v>
      </c>
      <c r="CA18" s="43" t="s">
        <v>42</v>
      </c>
      <c r="CB18" s="14" t="s">
        <v>1282</v>
      </c>
      <c r="CC18" s="14" t="s">
        <v>872</v>
      </c>
      <c r="CD18" s="14" t="s">
        <v>1431</v>
      </c>
      <c r="CE18" s="14" t="s">
        <v>1432</v>
      </c>
      <c r="CF18" s="43" t="s">
        <v>1147</v>
      </c>
      <c r="CG18" s="43" t="s">
        <v>1155</v>
      </c>
      <c r="CH18" s="49">
        <v>1750906</v>
      </c>
      <c r="CI18" s="50">
        <f>IFERROR((CH18/30),0)</f>
        <v>58363.533333333333</v>
      </c>
      <c r="CJ18" s="14">
        <v>0</v>
      </c>
      <c r="CK18" s="14">
        <v>0</v>
      </c>
      <c r="CL18" s="14">
        <v>0</v>
      </c>
      <c r="CM18" s="14">
        <v>2</v>
      </c>
      <c r="CN18" s="43">
        <v>0</v>
      </c>
      <c r="CO18" s="50">
        <v>0</v>
      </c>
      <c r="CP18" s="14">
        <v>0</v>
      </c>
      <c r="CQ18" s="14">
        <v>0</v>
      </c>
      <c r="CR18" s="14">
        <v>0</v>
      </c>
      <c r="CS18" s="49">
        <v>0</v>
      </c>
      <c r="CT18" s="49">
        <f>IFERROR((CN18+CO18+CP18+CQ18+CR18+CS18),0)</f>
        <v>0</v>
      </c>
      <c r="CU18" s="43" t="s">
        <v>1266</v>
      </c>
      <c r="CV18" s="47">
        <v>46111</v>
      </c>
      <c r="CW18" s="14" t="s">
        <v>1433</v>
      </c>
      <c r="CX18" s="14" t="s">
        <v>42</v>
      </c>
      <c r="CY18" s="14" t="s">
        <v>42</v>
      </c>
      <c r="CZ18" s="14" t="s">
        <v>42</v>
      </c>
      <c r="DA18" s="14" t="s">
        <v>42</v>
      </c>
      <c r="DB18" s="14" t="s">
        <v>1268</v>
      </c>
      <c r="DC18" s="47">
        <v>46142</v>
      </c>
      <c r="DD18" s="14" t="s">
        <v>1269</v>
      </c>
      <c r="DE18" s="47">
        <v>46132</v>
      </c>
      <c r="DF18" s="14" t="s">
        <v>1285</v>
      </c>
      <c r="DG18" s="47">
        <v>46142</v>
      </c>
    </row>
    <row r="19" spans="1:125" ht="136.5" customHeight="1">
      <c r="A19" s="13">
        <v>46100.495405092603</v>
      </c>
      <c r="B19" s="13">
        <v>46100.4994560185</v>
      </c>
      <c r="C19" s="54" t="s">
        <v>76</v>
      </c>
      <c r="D19" s="54" t="s">
        <v>271</v>
      </c>
      <c r="E19" s="47">
        <v>46097</v>
      </c>
      <c r="F19" s="54" t="s">
        <v>890</v>
      </c>
      <c r="G19" s="54" t="s">
        <v>284</v>
      </c>
      <c r="H19" s="54" t="s">
        <v>42</v>
      </c>
      <c r="I19" s="54" t="s">
        <v>134</v>
      </c>
      <c r="J19" s="55" t="s">
        <v>42</v>
      </c>
      <c r="K19" s="54" t="s">
        <v>891</v>
      </c>
      <c r="L19" s="55" t="s">
        <v>892</v>
      </c>
      <c r="M19" s="55" t="s">
        <v>893</v>
      </c>
      <c r="N19" s="54" t="s">
        <v>39</v>
      </c>
      <c r="O19" s="54" t="s">
        <v>71</v>
      </c>
      <c r="P19" s="54" t="s">
        <v>58</v>
      </c>
      <c r="Q19" s="54" t="s">
        <v>42</v>
      </c>
      <c r="R19" s="55" t="s">
        <v>42</v>
      </c>
      <c r="S19" s="55" t="s">
        <v>42</v>
      </c>
      <c r="T19" s="54" t="s">
        <v>894</v>
      </c>
      <c r="U19" s="54" t="s">
        <v>44</v>
      </c>
      <c r="V19" s="54" t="s">
        <v>44</v>
      </c>
      <c r="W19" s="54" t="s">
        <v>44</v>
      </c>
      <c r="X19" s="54" t="s">
        <v>44</v>
      </c>
      <c r="Y19" s="54" t="s">
        <v>44</v>
      </c>
      <c r="Z19" s="54" t="s">
        <v>895</v>
      </c>
      <c r="AA19" s="54" t="s">
        <v>45</v>
      </c>
      <c r="AB19" s="56" t="s">
        <v>889</v>
      </c>
      <c r="AC19" s="47">
        <v>46112</v>
      </c>
      <c r="AD19" s="14" t="s">
        <v>1434</v>
      </c>
      <c r="AE19" s="43" t="s">
        <v>1240</v>
      </c>
      <c r="AF19" s="43" t="s">
        <v>1240</v>
      </c>
      <c r="AG19" s="43" t="s">
        <v>1240</v>
      </c>
      <c r="AH19" s="43" t="s">
        <v>1240</v>
      </c>
      <c r="AI19" s="43" t="s">
        <v>1241</v>
      </c>
      <c r="AJ19" s="43" t="s">
        <v>1240</v>
      </c>
      <c r="AK19" s="43" t="s">
        <v>44</v>
      </c>
      <c r="AL19" s="43" t="s">
        <v>44</v>
      </c>
      <c r="AM19" s="48" t="s">
        <v>44</v>
      </c>
      <c r="AN19" s="14" t="s">
        <v>42</v>
      </c>
      <c r="AO19" s="14">
        <v>1</v>
      </c>
      <c r="AP19" s="14" t="s">
        <v>1435</v>
      </c>
      <c r="AQ19" s="43" t="s">
        <v>1243</v>
      </c>
      <c r="AR19" s="60">
        <v>27697</v>
      </c>
      <c r="AS19" s="61">
        <v>45627</v>
      </c>
      <c r="AT19" s="14" t="s">
        <v>1241</v>
      </c>
      <c r="AU19" s="14" t="s">
        <v>1241</v>
      </c>
      <c r="AV19" s="14" t="s">
        <v>1241</v>
      </c>
      <c r="AW19" s="14" t="s">
        <v>1241</v>
      </c>
      <c r="AX19" s="14" t="s">
        <v>1436</v>
      </c>
      <c r="AY19" s="14" t="s">
        <v>1273</v>
      </c>
      <c r="AZ19" s="14" t="s">
        <v>1274</v>
      </c>
      <c r="BA19" s="14" t="s">
        <v>1275</v>
      </c>
      <c r="BB19" s="43" t="s">
        <v>1290</v>
      </c>
      <c r="BC19" s="14" t="s">
        <v>1276</v>
      </c>
      <c r="BD19" s="14" t="s">
        <v>1241</v>
      </c>
      <c r="BE19" s="14" t="s">
        <v>1241</v>
      </c>
      <c r="BF19" s="14" t="s">
        <v>1277</v>
      </c>
      <c r="BG19" s="14" t="s">
        <v>1241</v>
      </c>
      <c r="BH19" s="14" t="s">
        <v>1241</v>
      </c>
      <c r="BI19" s="14" t="s">
        <v>1278</v>
      </c>
      <c r="BJ19" s="14" t="s">
        <v>1252</v>
      </c>
      <c r="BK19" s="47">
        <v>46097</v>
      </c>
      <c r="BL19" s="14" t="s">
        <v>1437</v>
      </c>
      <c r="BM19" s="14" t="s">
        <v>1324</v>
      </c>
      <c r="BN19" s="14" t="s">
        <v>1254</v>
      </c>
      <c r="BO19" s="14" t="s">
        <v>1438</v>
      </c>
      <c r="BP19" s="14" t="s">
        <v>1335</v>
      </c>
      <c r="BQ19" s="14" t="s">
        <v>1335</v>
      </c>
      <c r="BR19" s="14" t="s">
        <v>1241</v>
      </c>
      <c r="BS19" s="14" t="s">
        <v>1241</v>
      </c>
      <c r="BT19" s="14" t="s">
        <v>42</v>
      </c>
      <c r="BU19" s="14" t="s">
        <v>1259</v>
      </c>
      <c r="BV19" s="14" t="s">
        <v>1260</v>
      </c>
      <c r="BW19" s="14" t="s">
        <v>1261</v>
      </c>
      <c r="BX19" s="43" t="s">
        <v>42</v>
      </c>
      <c r="BY19" s="43" t="s">
        <v>42</v>
      </c>
      <c r="BZ19" s="43" t="s">
        <v>42</v>
      </c>
      <c r="CA19" s="43" t="s">
        <v>42</v>
      </c>
      <c r="CB19" s="14" t="s">
        <v>1282</v>
      </c>
      <c r="CC19" s="14" t="s">
        <v>872</v>
      </c>
      <c r="CD19" s="14" t="s">
        <v>42</v>
      </c>
      <c r="CE19" s="14" t="s">
        <v>1439</v>
      </c>
      <c r="CF19" s="43" t="s">
        <v>1147</v>
      </c>
      <c r="CG19" s="43" t="s">
        <v>1155</v>
      </c>
      <c r="CH19" s="49">
        <v>1750906</v>
      </c>
      <c r="CI19" s="50">
        <f>IFERROR((CH19/30),0)</f>
        <v>58363.533333333333</v>
      </c>
      <c r="CJ19" s="14">
        <v>0</v>
      </c>
      <c r="CK19" s="14">
        <v>0</v>
      </c>
      <c r="CL19" s="14">
        <v>0</v>
      </c>
      <c r="CM19" s="14">
        <v>2</v>
      </c>
      <c r="CN19" s="43">
        <v>0</v>
      </c>
      <c r="CO19" s="50">
        <v>0</v>
      </c>
      <c r="CP19" s="14">
        <v>0</v>
      </c>
      <c r="CQ19" s="14">
        <v>0</v>
      </c>
      <c r="CR19" s="14">
        <v>0</v>
      </c>
      <c r="CS19" s="49">
        <v>0</v>
      </c>
      <c r="CT19" s="49">
        <f>IFERROR((CN19+CO19+CP19+CQ19+CR19+CS19),0)</f>
        <v>0</v>
      </c>
      <c r="CU19" s="43" t="s">
        <v>1266</v>
      </c>
      <c r="CV19" s="47">
        <v>46106</v>
      </c>
      <c r="CW19" s="14" t="s">
        <v>1440</v>
      </c>
      <c r="CX19" s="14" t="s">
        <v>42</v>
      </c>
      <c r="CY19" s="14" t="s">
        <v>42</v>
      </c>
      <c r="CZ19" s="14" t="s">
        <v>42</v>
      </c>
      <c r="DA19" s="14" t="s">
        <v>42</v>
      </c>
      <c r="DB19" s="14" t="s">
        <v>1268</v>
      </c>
      <c r="DC19" s="47">
        <v>46097</v>
      </c>
      <c r="DD19" s="14" t="s">
        <v>1269</v>
      </c>
      <c r="DE19" s="47">
        <v>46132</v>
      </c>
      <c r="DF19" s="14" t="s">
        <v>1285</v>
      </c>
      <c r="DG19" s="47">
        <v>46142</v>
      </c>
    </row>
    <row r="20" spans="1:125" ht="136.5" customHeight="1">
      <c r="A20" s="13">
        <v>46100.559594907398</v>
      </c>
      <c r="B20" s="13">
        <v>46100.566261574102</v>
      </c>
      <c r="C20" s="54" t="s">
        <v>76</v>
      </c>
      <c r="D20" s="54" t="s">
        <v>228</v>
      </c>
      <c r="E20" s="47">
        <v>46097</v>
      </c>
      <c r="F20" s="54" t="s">
        <v>896</v>
      </c>
      <c r="G20" s="54" t="s">
        <v>897</v>
      </c>
      <c r="H20" s="54" t="s">
        <v>51</v>
      </c>
      <c r="I20" s="54" t="s">
        <v>134</v>
      </c>
      <c r="J20" s="55" t="s">
        <v>42</v>
      </c>
      <c r="K20" s="54" t="s">
        <v>898</v>
      </c>
      <c r="L20" s="55" t="s">
        <v>899</v>
      </c>
      <c r="M20" s="55" t="s">
        <v>900</v>
      </c>
      <c r="N20" s="54" t="s">
        <v>139</v>
      </c>
      <c r="O20" s="54" t="s">
        <v>40</v>
      </c>
      <c r="P20" s="54" t="s">
        <v>58</v>
      </c>
      <c r="Q20" s="54" t="s">
        <v>42</v>
      </c>
      <c r="R20" s="55" t="s">
        <v>42</v>
      </c>
      <c r="S20" s="55" t="s">
        <v>42</v>
      </c>
      <c r="T20" s="54" t="s">
        <v>901</v>
      </c>
      <c r="U20" s="54" t="s">
        <v>44</v>
      </c>
      <c r="V20" s="54" t="s">
        <v>45</v>
      </c>
      <c r="W20" s="54" t="s">
        <v>44</v>
      </c>
      <c r="X20" s="54" t="s">
        <v>44</v>
      </c>
      <c r="Y20" s="54" t="s">
        <v>44</v>
      </c>
      <c r="Z20" s="54" t="s">
        <v>42</v>
      </c>
      <c r="AA20" s="54" t="s">
        <v>45</v>
      </c>
      <c r="AB20" s="57" t="s">
        <v>902</v>
      </c>
      <c r="AC20" s="47">
        <v>46100</v>
      </c>
      <c r="AD20" s="14" t="s">
        <v>1297</v>
      </c>
      <c r="AE20" s="43" t="s">
        <v>1240</v>
      </c>
      <c r="AF20" s="43" t="s">
        <v>1240</v>
      </c>
      <c r="AG20" s="43" t="s">
        <v>1240</v>
      </c>
      <c r="AH20" s="43" t="s">
        <v>1240</v>
      </c>
      <c r="AI20" s="43" t="s">
        <v>1241</v>
      </c>
      <c r="AJ20" s="43" t="s">
        <v>1240</v>
      </c>
      <c r="AK20" s="43" t="s">
        <v>44</v>
      </c>
      <c r="AL20" s="43" t="s">
        <v>44</v>
      </c>
      <c r="AM20" s="48" t="s">
        <v>44</v>
      </c>
      <c r="AN20" s="14" t="s">
        <v>42</v>
      </c>
      <c r="AO20" s="14">
        <v>1</v>
      </c>
      <c r="AP20" s="14" t="s">
        <v>1441</v>
      </c>
      <c r="AQ20" s="43" t="s">
        <v>1243</v>
      </c>
      <c r="AR20" s="60">
        <v>34813</v>
      </c>
      <c r="AS20" s="61">
        <v>45627</v>
      </c>
      <c r="AT20" s="14" t="s">
        <v>1241</v>
      </c>
      <c r="AU20" s="14" t="s">
        <v>1241</v>
      </c>
      <c r="AV20" s="14" t="s">
        <v>1241</v>
      </c>
      <c r="AW20" s="14" t="s">
        <v>1241</v>
      </c>
      <c r="AX20" s="58" t="s">
        <v>1442</v>
      </c>
      <c r="AY20" s="14" t="s">
        <v>1273</v>
      </c>
      <c r="AZ20" s="14" t="s">
        <v>1274</v>
      </c>
      <c r="BA20" s="14" t="s">
        <v>1275</v>
      </c>
      <c r="BB20" s="43" t="s">
        <v>1290</v>
      </c>
      <c r="BC20" s="14" t="s">
        <v>1276</v>
      </c>
      <c r="BD20" s="14" t="s">
        <v>1241</v>
      </c>
      <c r="BE20" s="14" t="s">
        <v>1241</v>
      </c>
      <c r="BF20" s="14" t="s">
        <v>1241</v>
      </c>
      <c r="BG20" s="14" t="s">
        <v>1241</v>
      </c>
      <c r="BH20" s="14" t="s">
        <v>1241</v>
      </c>
      <c r="BI20" s="14" t="s">
        <v>1366</v>
      </c>
      <c r="BJ20" s="14" t="s">
        <v>1252</v>
      </c>
      <c r="BK20" s="47">
        <v>46097</v>
      </c>
      <c r="BL20" s="14" t="s">
        <v>1443</v>
      </c>
      <c r="BM20" s="14" t="s">
        <v>1324</v>
      </c>
      <c r="BN20" s="14" t="s">
        <v>1254</v>
      </c>
      <c r="BO20" s="14" t="s">
        <v>1334</v>
      </c>
      <c r="BP20" s="14" t="s">
        <v>1398</v>
      </c>
      <c r="BQ20" s="14" t="s">
        <v>1352</v>
      </c>
      <c r="BR20" s="14" t="s">
        <v>1241</v>
      </c>
      <c r="BS20" s="14" t="s">
        <v>1241</v>
      </c>
      <c r="BT20" s="14" t="s">
        <v>42</v>
      </c>
      <c r="BU20" s="14" t="s">
        <v>1259</v>
      </c>
      <c r="BV20" s="14" t="s">
        <v>1260</v>
      </c>
      <c r="BW20" s="14" t="s">
        <v>1261</v>
      </c>
      <c r="BX20" s="43" t="s">
        <v>42</v>
      </c>
      <c r="BY20" s="43" t="s">
        <v>42</v>
      </c>
      <c r="BZ20" s="43" t="s">
        <v>42</v>
      </c>
      <c r="CA20" s="43" t="s">
        <v>42</v>
      </c>
      <c r="CB20" s="14" t="s">
        <v>1282</v>
      </c>
      <c r="CC20" s="14" t="s">
        <v>1263</v>
      </c>
      <c r="CD20" s="14" t="s">
        <v>42</v>
      </c>
      <c r="CE20" s="14" t="s">
        <v>1444</v>
      </c>
      <c r="CF20" s="43" t="s">
        <v>1147</v>
      </c>
      <c r="CG20" s="43" t="s">
        <v>1155</v>
      </c>
      <c r="CH20" s="49">
        <v>1750906</v>
      </c>
      <c r="CI20" s="50">
        <f>IFERROR((CH20/30),0)</f>
        <v>58363.533333333333</v>
      </c>
      <c r="CJ20" s="14">
        <v>0</v>
      </c>
      <c r="CK20" s="14">
        <v>0</v>
      </c>
      <c r="CL20" s="14">
        <v>0</v>
      </c>
      <c r="CM20" s="14">
        <v>2</v>
      </c>
      <c r="CN20" s="14">
        <v>0</v>
      </c>
      <c r="CO20" s="50">
        <v>800000</v>
      </c>
      <c r="CP20" s="14">
        <v>0</v>
      </c>
      <c r="CQ20" s="14">
        <v>0</v>
      </c>
      <c r="CR20" s="14">
        <v>0</v>
      </c>
      <c r="CS20" s="49">
        <v>0</v>
      </c>
      <c r="CT20" s="49">
        <f>IFERROR((CN20+CO20+CP20+CQ20+CR20+CS20),0)</f>
        <v>800000</v>
      </c>
      <c r="CU20" s="43" t="s">
        <v>1266</v>
      </c>
      <c r="CV20" s="47">
        <v>46108</v>
      </c>
      <c r="CW20" s="14" t="s">
        <v>1445</v>
      </c>
      <c r="CX20" s="14" t="s">
        <v>42</v>
      </c>
      <c r="CY20" s="14" t="s">
        <v>42</v>
      </c>
      <c r="CZ20" s="14" t="s">
        <v>42</v>
      </c>
      <c r="DA20" s="14" t="s">
        <v>42</v>
      </c>
      <c r="DB20" s="14" t="s">
        <v>1268</v>
      </c>
      <c r="DC20" s="47">
        <v>46100</v>
      </c>
      <c r="DD20" s="14" t="s">
        <v>1269</v>
      </c>
      <c r="DE20" s="47">
        <v>46101</v>
      </c>
      <c r="DF20" s="14" t="s">
        <v>1446</v>
      </c>
      <c r="DG20" s="47">
        <v>46132</v>
      </c>
    </row>
    <row r="21" spans="1:125" ht="136.5" customHeight="1">
      <c r="A21" s="13">
        <v>46101.4227314815</v>
      </c>
      <c r="B21" s="13">
        <v>46101.438634259299</v>
      </c>
      <c r="C21" s="54" t="s">
        <v>76</v>
      </c>
      <c r="D21" s="54" t="s">
        <v>293</v>
      </c>
      <c r="E21" s="47">
        <v>46101</v>
      </c>
      <c r="F21" s="54" t="s">
        <v>665</v>
      </c>
      <c r="G21" s="54" t="s">
        <v>284</v>
      </c>
      <c r="H21" s="54" t="s">
        <v>66</v>
      </c>
      <c r="I21" s="54" t="s">
        <v>34</v>
      </c>
      <c r="J21" s="55" t="s">
        <v>42</v>
      </c>
      <c r="K21" s="54" t="s">
        <v>903</v>
      </c>
      <c r="L21" s="55" t="s">
        <v>904</v>
      </c>
      <c r="M21" s="55" t="s">
        <v>905</v>
      </c>
      <c r="N21" s="54" t="s">
        <v>39</v>
      </c>
      <c r="O21" s="54" t="s">
        <v>71</v>
      </c>
      <c r="P21" s="54" t="s">
        <v>58</v>
      </c>
      <c r="Q21" s="54" t="s">
        <v>42</v>
      </c>
      <c r="R21" s="55" t="s">
        <v>42</v>
      </c>
      <c r="S21" s="55" t="s">
        <v>42</v>
      </c>
      <c r="T21" s="54" t="s">
        <v>906</v>
      </c>
      <c r="U21" s="54" t="s">
        <v>44</v>
      </c>
      <c r="V21" s="54" t="s">
        <v>44</v>
      </c>
      <c r="W21" s="54" t="s">
        <v>44</v>
      </c>
      <c r="X21" s="54" t="s">
        <v>44</v>
      </c>
      <c r="Y21" s="54" t="s">
        <v>45</v>
      </c>
      <c r="Z21" s="54" t="s">
        <v>907</v>
      </c>
      <c r="AA21" s="54" t="s">
        <v>45</v>
      </c>
      <c r="AB21" s="56" t="s">
        <v>908</v>
      </c>
      <c r="AC21" s="47">
        <v>46107</v>
      </c>
      <c r="AD21" s="14" t="s">
        <v>1447</v>
      </c>
      <c r="AE21" s="43" t="s">
        <v>1240</v>
      </c>
      <c r="AF21" s="43" t="s">
        <v>1240</v>
      </c>
      <c r="AG21" s="43" t="s">
        <v>1240</v>
      </c>
      <c r="AH21" s="43" t="s">
        <v>1240</v>
      </c>
      <c r="AI21" s="43" t="s">
        <v>1241</v>
      </c>
      <c r="AJ21" s="43" t="s">
        <v>1240</v>
      </c>
      <c r="AK21" s="43" t="s">
        <v>44</v>
      </c>
      <c r="AL21" s="43" t="s">
        <v>44</v>
      </c>
      <c r="AM21" s="48" t="s">
        <v>44</v>
      </c>
      <c r="AN21" s="14" t="s">
        <v>42</v>
      </c>
      <c r="AO21" s="14">
        <v>1</v>
      </c>
      <c r="AP21" s="14" t="s">
        <v>1448</v>
      </c>
      <c r="AQ21" s="43" t="s">
        <v>1243</v>
      </c>
      <c r="AR21" s="60">
        <v>25397</v>
      </c>
      <c r="AS21" s="61">
        <v>45391</v>
      </c>
      <c r="AT21" s="14" t="s">
        <v>1241</v>
      </c>
      <c r="AU21" s="14" t="s">
        <v>1241</v>
      </c>
      <c r="AV21" s="14" t="s">
        <v>1241</v>
      </c>
      <c r="AW21" s="14" t="s">
        <v>1241</v>
      </c>
      <c r="AX21" s="14" t="s">
        <v>1449</v>
      </c>
      <c r="AY21" s="14" t="s">
        <v>1273</v>
      </c>
      <c r="AZ21" s="14" t="s">
        <v>1274</v>
      </c>
      <c r="BA21" s="14" t="s">
        <v>1275</v>
      </c>
      <c r="BB21" s="43" t="s">
        <v>1290</v>
      </c>
      <c r="BC21" s="14" t="s">
        <v>1276</v>
      </c>
      <c r="BD21" s="14" t="s">
        <v>1241</v>
      </c>
      <c r="BE21" s="14" t="s">
        <v>1241</v>
      </c>
      <c r="BF21" s="14" t="s">
        <v>1250</v>
      </c>
      <c r="BG21" s="14" t="s">
        <v>1241</v>
      </c>
      <c r="BH21" s="14" t="s">
        <v>1241</v>
      </c>
      <c r="BI21" s="14" t="s">
        <v>1450</v>
      </c>
      <c r="BJ21" s="14" t="s">
        <v>1278</v>
      </c>
      <c r="BK21" s="47">
        <v>46101</v>
      </c>
      <c r="BL21" s="14" t="s">
        <v>1451</v>
      </c>
      <c r="BM21" s="14" t="s">
        <v>1368</v>
      </c>
      <c r="BN21" s="14" t="s">
        <v>1254</v>
      </c>
      <c r="BO21" s="14" t="s">
        <v>1452</v>
      </c>
      <c r="BP21" s="14" t="s">
        <v>1335</v>
      </c>
      <c r="BQ21" s="14" t="s">
        <v>1335</v>
      </c>
      <c r="BR21" s="14" t="s">
        <v>1241</v>
      </c>
      <c r="BS21" s="14" t="s">
        <v>1241</v>
      </c>
      <c r="BT21" s="14" t="s">
        <v>1453</v>
      </c>
      <c r="BU21" s="14" t="s">
        <v>1259</v>
      </c>
      <c r="BV21" s="14" t="s">
        <v>1260</v>
      </c>
      <c r="BW21" s="14" t="s">
        <v>1261</v>
      </c>
      <c r="BX21" s="43" t="s">
        <v>42</v>
      </c>
      <c r="BY21" s="43" t="s">
        <v>42</v>
      </c>
      <c r="BZ21" s="43" t="s">
        <v>42</v>
      </c>
      <c r="CA21" s="43" t="s">
        <v>42</v>
      </c>
      <c r="CB21" s="14" t="s">
        <v>1282</v>
      </c>
      <c r="CC21" s="14" t="s">
        <v>872</v>
      </c>
      <c r="CD21" s="14" t="s">
        <v>1454</v>
      </c>
      <c r="CE21" s="14" t="s">
        <v>1455</v>
      </c>
      <c r="CF21" s="43" t="s">
        <v>1147</v>
      </c>
      <c r="CG21" s="43" t="s">
        <v>1155</v>
      </c>
      <c r="CH21" s="49">
        <v>2079709</v>
      </c>
      <c r="CI21" s="50">
        <f>IFERROR((CH21/30),0)</f>
        <v>69323.633333333331</v>
      </c>
      <c r="CJ21" s="14">
        <v>0</v>
      </c>
      <c r="CK21" s="14">
        <v>0</v>
      </c>
      <c r="CL21" s="14">
        <v>0</v>
      </c>
      <c r="CM21" s="14">
        <v>2</v>
      </c>
      <c r="CN21" s="14">
        <v>0</v>
      </c>
      <c r="CO21" s="50">
        <v>0</v>
      </c>
      <c r="CP21" s="14">
        <v>0</v>
      </c>
      <c r="CQ21" s="14">
        <v>0</v>
      </c>
      <c r="CR21" s="14">
        <v>0</v>
      </c>
      <c r="CS21" s="49">
        <v>0</v>
      </c>
      <c r="CT21" s="49">
        <f>IFERROR((CN21+CO21+CP21+CQ21+CR21+CS21),0)</f>
        <v>0</v>
      </c>
      <c r="CU21" s="43" t="s">
        <v>1266</v>
      </c>
      <c r="CV21" s="47">
        <v>46107</v>
      </c>
      <c r="CW21" s="14" t="s">
        <v>1456</v>
      </c>
      <c r="CX21" s="14" t="s">
        <v>42</v>
      </c>
      <c r="CY21" s="14" t="s">
        <v>42</v>
      </c>
      <c r="CZ21" s="14" t="s">
        <v>42</v>
      </c>
      <c r="DA21" s="14" t="s">
        <v>42</v>
      </c>
      <c r="DB21" s="14" t="s">
        <v>1457</v>
      </c>
      <c r="DC21" s="47">
        <v>46142</v>
      </c>
      <c r="DD21" s="14" t="s">
        <v>1458</v>
      </c>
      <c r="DE21" s="47">
        <v>46142</v>
      </c>
      <c r="DF21" s="14" t="s">
        <v>1459</v>
      </c>
      <c r="DG21" s="47">
        <v>46142</v>
      </c>
    </row>
    <row r="22" spans="1:125" ht="136.5" customHeight="1">
      <c r="A22" s="13">
        <v>46105.635532407403</v>
      </c>
      <c r="B22" s="13">
        <v>46105.641516203701</v>
      </c>
      <c r="C22" s="54" t="s">
        <v>76</v>
      </c>
      <c r="D22" s="54" t="s">
        <v>228</v>
      </c>
      <c r="E22" s="47">
        <v>46103</v>
      </c>
      <c r="F22" s="54" t="s">
        <v>909</v>
      </c>
      <c r="G22" s="54" t="s">
        <v>910</v>
      </c>
      <c r="H22" s="54" t="s">
        <v>51</v>
      </c>
      <c r="I22" s="54" t="s">
        <v>134</v>
      </c>
      <c r="J22" s="55" t="s">
        <v>42</v>
      </c>
      <c r="K22" s="54" t="s">
        <v>911</v>
      </c>
      <c r="L22" s="55" t="s">
        <v>912</v>
      </c>
      <c r="M22" s="55" t="s">
        <v>913</v>
      </c>
      <c r="N22" s="54" t="s">
        <v>139</v>
      </c>
      <c r="O22" s="54" t="s">
        <v>71</v>
      </c>
      <c r="P22" s="54" t="s">
        <v>41</v>
      </c>
      <c r="Q22" s="54" t="s">
        <v>59</v>
      </c>
      <c r="R22" s="55" t="s">
        <v>909</v>
      </c>
      <c r="S22" s="55" t="s">
        <v>42</v>
      </c>
      <c r="T22" s="54" t="s">
        <v>914</v>
      </c>
      <c r="U22" s="54" t="s">
        <v>44</v>
      </c>
      <c r="V22" s="54" t="s">
        <v>44</v>
      </c>
      <c r="W22" s="54" t="s">
        <v>44</v>
      </c>
      <c r="X22" s="54" t="s">
        <v>44</v>
      </c>
      <c r="Y22" s="54" t="s">
        <v>44</v>
      </c>
      <c r="Z22" s="54" t="s">
        <v>915</v>
      </c>
      <c r="AA22" s="54" t="s">
        <v>45</v>
      </c>
      <c r="AB22" s="56" t="s">
        <v>916</v>
      </c>
      <c r="AC22" s="47">
        <v>46107</v>
      </c>
      <c r="AD22" s="14" t="s">
        <v>1460</v>
      </c>
      <c r="AE22" s="43" t="s">
        <v>1240</v>
      </c>
      <c r="AF22" s="43" t="s">
        <v>1240</v>
      </c>
      <c r="AG22" s="43" t="s">
        <v>1240</v>
      </c>
      <c r="AH22" s="43" t="s">
        <v>1240</v>
      </c>
      <c r="AI22" s="43" t="s">
        <v>1241</v>
      </c>
      <c r="AJ22" s="43" t="s">
        <v>1240</v>
      </c>
      <c r="AK22" s="43" t="s">
        <v>44</v>
      </c>
      <c r="AL22" s="43" t="s">
        <v>1461</v>
      </c>
      <c r="AM22" s="48">
        <v>1751299</v>
      </c>
      <c r="AN22" s="14" t="s">
        <v>1462</v>
      </c>
      <c r="AO22" s="14">
        <v>3</v>
      </c>
      <c r="AP22" s="14" t="s">
        <v>1463</v>
      </c>
      <c r="AQ22" s="43" t="s">
        <v>1243</v>
      </c>
      <c r="AR22" s="60">
        <v>30674</v>
      </c>
      <c r="AS22" s="61">
        <v>45839</v>
      </c>
      <c r="AT22" s="14" t="s">
        <v>1241</v>
      </c>
      <c r="AU22" s="14" t="s">
        <v>1241</v>
      </c>
      <c r="AV22" s="14" t="s">
        <v>1464</v>
      </c>
      <c r="AW22" s="14" t="s">
        <v>1241</v>
      </c>
      <c r="AX22" s="14" t="s">
        <v>1465</v>
      </c>
      <c r="AY22" s="14" t="s">
        <v>1461</v>
      </c>
      <c r="AZ22" s="14" t="s">
        <v>1246</v>
      </c>
      <c r="BA22" s="14" t="s">
        <v>1466</v>
      </c>
      <c r="BB22" s="43" t="s">
        <v>1290</v>
      </c>
      <c r="BC22" s="14" t="s">
        <v>1467</v>
      </c>
      <c r="BD22" s="14" t="s">
        <v>1241</v>
      </c>
      <c r="BE22" s="14" t="s">
        <v>1241</v>
      </c>
      <c r="BF22" s="14" t="s">
        <v>1322</v>
      </c>
      <c r="BG22" s="53"/>
      <c r="BH22" s="53"/>
      <c r="BI22" s="14" t="s">
        <v>1462</v>
      </c>
      <c r="BJ22" s="14" t="s">
        <v>1279</v>
      </c>
      <c r="BK22" s="47">
        <v>46103</v>
      </c>
      <c r="BL22" s="14" t="s">
        <v>1468</v>
      </c>
      <c r="BM22" s="14" t="s">
        <v>1469</v>
      </c>
      <c r="BN22" s="14" t="s">
        <v>1470</v>
      </c>
      <c r="BO22" s="14" t="s">
        <v>1334</v>
      </c>
      <c r="BP22" s="14" t="s">
        <v>42</v>
      </c>
      <c r="BQ22" s="14" t="s">
        <v>42</v>
      </c>
      <c r="BR22" s="14" t="s">
        <v>1240</v>
      </c>
      <c r="BS22" s="14" t="s">
        <v>1241</v>
      </c>
      <c r="BT22" s="14" t="s">
        <v>1471</v>
      </c>
      <c r="BU22" s="14" t="s">
        <v>1259</v>
      </c>
      <c r="BV22" s="14" t="s">
        <v>1260</v>
      </c>
      <c r="BW22" s="14" t="s">
        <v>1261</v>
      </c>
      <c r="BX22" s="43" t="s">
        <v>42</v>
      </c>
      <c r="BY22" s="43" t="s">
        <v>42</v>
      </c>
      <c r="BZ22" s="43" t="s">
        <v>42</v>
      </c>
      <c r="CA22" s="43" t="s">
        <v>42</v>
      </c>
      <c r="CB22" s="14" t="s">
        <v>1472</v>
      </c>
      <c r="CC22" s="14" t="s">
        <v>1263</v>
      </c>
      <c r="CD22" s="14" t="s">
        <v>1473</v>
      </c>
      <c r="CE22" s="14" t="s">
        <v>1474</v>
      </c>
      <c r="CF22" s="43" t="s">
        <v>1147</v>
      </c>
      <c r="CG22" s="43" t="s">
        <v>1153</v>
      </c>
      <c r="CH22" s="49">
        <v>1750906</v>
      </c>
      <c r="CI22" s="50">
        <f>IFERROR((CH22/30),0)</f>
        <v>58363.533333333333</v>
      </c>
      <c r="CJ22" s="14">
        <v>0</v>
      </c>
      <c r="CK22" s="14">
        <v>0</v>
      </c>
      <c r="CL22" s="14">
        <v>0</v>
      </c>
      <c r="CM22" s="14">
        <v>30</v>
      </c>
      <c r="CN22" s="14">
        <v>0</v>
      </c>
      <c r="CO22" s="50">
        <v>0</v>
      </c>
      <c r="CP22" s="14">
        <v>0</v>
      </c>
      <c r="CQ22" s="14">
        <v>0</v>
      </c>
      <c r="CR22" s="14">
        <v>0</v>
      </c>
      <c r="CS22" s="49">
        <v>0</v>
      </c>
      <c r="CT22" s="49">
        <f>IFERROR((CN22+CO22+CP22+CQ22+CR22+CS22),0)</f>
        <v>0</v>
      </c>
      <c r="CU22" s="43" t="s">
        <v>1475</v>
      </c>
      <c r="CV22" s="47">
        <v>46111</v>
      </c>
      <c r="CW22" s="14" t="s">
        <v>1476</v>
      </c>
      <c r="CX22" s="14" t="s">
        <v>1477</v>
      </c>
      <c r="CY22" s="14" t="s">
        <v>42</v>
      </c>
      <c r="CZ22" s="14" t="s">
        <v>42</v>
      </c>
      <c r="DA22" s="14" t="s">
        <v>42</v>
      </c>
      <c r="DB22" s="14" t="s">
        <v>1478</v>
      </c>
      <c r="DC22" s="47">
        <v>46107</v>
      </c>
      <c r="DD22" s="14" t="s">
        <v>1479</v>
      </c>
      <c r="DE22" s="47">
        <v>46142</v>
      </c>
      <c r="DF22" s="14" t="s">
        <v>1480</v>
      </c>
      <c r="DG22" s="47">
        <v>46142</v>
      </c>
    </row>
    <row r="23" spans="1:125" s="62" customFormat="1" ht="136.5" customHeight="1">
      <c r="A23" s="13">
        <v>46112.521226851903</v>
      </c>
      <c r="B23" s="13">
        <v>46112.648553240702</v>
      </c>
      <c r="C23" s="54" t="s">
        <v>76</v>
      </c>
      <c r="D23" s="54" t="s">
        <v>271</v>
      </c>
      <c r="E23" s="47">
        <v>46112</v>
      </c>
      <c r="F23" s="54" t="s">
        <v>917</v>
      </c>
      <c r="G23" s="54" t="s">
        <v>918</v>
      </c>
      <c r="H23" s="54" t="s">
        <v>157</v>
      </c>
      <c r="I23" s="54" t="s">
        <v>34</v>
      </c>
      <c r="J23" s="55" t="s">
        <v>42</v>
      </c>
      <c r="K23" s="54" t="s">
        <v>919</v>
      </c>
      <c r="L23" s="55" t="s">
        <v>920</v>
      </c>
      <c r="M23" s="55" t="s">
        <v>921</v>
      </c>
      <c r="N23" s="54" t="s">
        <v>56</v>
      </c>
      <c r="O23" s="54" t="s">
        <v>71</v>
      </c>
      <c r="P23" s="54" t="s">
        <v>41</v>
      </c>
      <c r="Q23" s="54" t="s">
        <v>42</v>
      </c>
      <c r="R23" s="55" t="s">
        <v>88</v>
      </c>
      <c r="S23" s="55" t="s">
        <v>42</v>
      </c>
      <c r="T23" s="54" t="s">
        <v>922</v>
      </c>
      <c r="U23" s="54" t="s">
        <v>44</v>
      </c>
      <c r="V23" s="54" t="s">
        <v>44</v>
      </c>
      <c r="W23" s="54" t="s">
        <v>45</v>
      </c>
      <c r="X23" s="54" t="s">
        <v>44</v>
      </c>
      <c r="Y23" s="54" t="s">
        <v>45</v>
      </c>
      <c r="Z23" s="54" t="s">
        <v>923</v>
      </c>
      <c r="AA23" s="54" t="s">
        <v>45</v>
      </c>
      <c r="AB23" s="56" t="s">
        <v>924</v>
      </c>
      <c r="AC23" s="47">
        <v>46122</v>
      </c>
      <c r="AD23" s="14" t="s">
        <v>1390</v>
      </c>
      <c r="AE23" s="43" t="s">
        <v>1240</v>
      </c>
      <c r="AF23" s="43" t="s">
        <v>1240</v>
      </c>
      <c r="AG23" s="43" t="s">
        <v>1240</v>
      </c>
      <c r="AH23" s="43" t="s">
        <v>1240</v>
      </c>
      <c r="AI23" s="43" t="s">
        <v>1241</v>
      </c>
      <c r="AJ23" s="43" t="s">
        <v>1240</v>
      </c>
      <c r="AK23" s="43" t="s">
        <v>44</v>
      </c>
      <c r="AL23" s="43" t="s">
        <v>44</v>
      </c>
      <c r="AM23" s="48" t="s">
        <v>44</v>
      </c>
      <c r="AN23" s="14" t="s">
        <v>42</v>
      </c>
      <c r="AO23" s="14">
        <v>2</v>
      </c>
      <c r="AP23" s="14" t="s">
        <v>1481</v>
      </c>
      <c r="AQ23" s="14" t="s">
        <v>1243</v>
      </c>
      <c r="AR23" s="60">
        <v>31905</v>
      </c>
      <c r="AS23" s="61">
        <v>45845</v>
      </c>
      <c r="AT23" s="14" t="s">
        <v>1241</v>
      </c>
      <c r="AU23" s="14" t="s">
        <v>1241</v>
      </c>
      <c r="AV23" s="14" t="s">
        <v>1241</v>
      </c>
      <c r="AW23" s="14" t="s">
        <v>1241</v>
      </c>
      <c r="AX23" s="14" t="s">
        <v>1482</v>
      </c>
      <c r="AY23" s="14" t="s">
        <v>1273</v>
      </c>
      <c r="AZ23" s="14" t="s">
        <v>1274</v>
      </c>
      <c r="BA23" s="14" t="s">
        <v>1275</v>
      </c>
      <c r="BB23" s="43" t="s">
        <v>1290</v>
      </c>
      <c r="BC23" s="14" t="s">
        <v>1276</v>
      </c>
      <c r="BD23" s="14" t="s">
        <v>1241</v>
      </c>
      <c r="BE23" s="14" t="s">
        <v>1241</v>
      </c>
      <c r="BF23" s="14" t="s">
        <v>1250</v>
      </c>
      <c r="BG23" s="14" t="s">
        <v>1241</v>
      </c>
      <c r="BH23" s="14" t="s">
        <v>1241</v>
      </c>
      <c r="BI23" s="14" t="s">
        <v>1278</v>
      </c>
      <c r="BJ23" s="14" t="s">
        <v>1252</v>
      </c>
      <c r="BK23" s="47">
        <v>46094</v>
      </c>
      <c r="BL23" s="14" t="s">
        <v>1483</v>
      </c>
      <c r="BM23" s="14" t="s">
        <v>1368</v>
      </c>
      <c r="BN23" s="14" t="s">
        <v>1254</v>
      </c>
      <c r="BO23" s="14" t="s">
        <v>1307</v>
      </c>
      <c r="BP23" s="14" t="s">
        <v>1307</v>
      </c>
      <c r="BQ23" s="14" t="s">
        <v>1484</v>
      </c>
      <c r="BR23" s="14" t="s">
        <v>1241</v>
      </c>
      <c r="BS23" s="14" t="s">
        <v>1241</v>
      </c>
      <c r="BT23" s="14" t="s">
        <v>1485</v>
      </c>
      <c r="BU23" s="14" t="s">
        <v>1259</v>
      </c>
      <c r="BV23" s="14" t="s">
        <v>1260</v>
      </c>
      <c r="BW23" s="14" t="s">
        <v>1261</v>
      </c>
      <c r="BX23" s="43" t="s">
        <v>42</v>
      </c>
      <c r="BY23" s="43" t="s">
        <v>42</v>
      </c>
      <c r="BZ23" s="43" t="s">
        <v>42</v>
      </c>
      <c r="CA23" s="43" t="s">
        <v>42</v>
      </c>
      <c r="CB23" s="14" t="s">
        <v>1282</v>
      </c>
      <c r="CC23" s="14" t="s">
        <v>872</v>
      </c>
      <c r="CD23" s="14" t="s">
        <v>42</v>
      </c>
      <c r="CE23" s="14" t="s">
        <v>1486</v>
      </c>
      <c r="CF23" s="43" t="s">
        <v>1147</v>
      </c>
      <c r="CG23" s="43" t="s">
        <v>1155</v>
      </c>
      <c r="CH23" s="49">
        <v>1750906</v>
      </c>
      <c r="CI23" s="50">
        <f>IFERROR((CH23/30),0)</f>
        <v>58363.533333333333</v>
      </c>
      <c r="CJ23" s="14">
        <v>0</v>
      </c>
      <c r="CK23" s="14">
        <v>0</v>
      </c>
      <c r="CL23" s="14">
        <v>0</v>
      </c>
      <c r="CM23" s="14">
        <v>2</v>
      </c>
      <c r="CN23" s="14">
        <v>0</v>
      </c>
      <c r="CO23" s="50">
        <v>0</v>
      </c>
      <c r="CP23" s="14">
        <v>0</v>
      </c>
      <c r="CQ23" s="14">
        <v>0</v>
      </c>
      <c r="CR23" s="14">
        <v>0</v>
      </c>
      <c r="CS23" s="49">
        <v>0</v>
      </c>
      <c r="CT23" s="49">
        <f>IFERROR((CN23+CO23+CP23+CQ23+CR23+CS23),0)</f>
        <v>0</v>
      </c>
      <c r="CU23" s="14" t="s">
        <v>1266</v>
      </c>
      <c r="CV23" s="47">
        <v>46122</v>
      </c>
      <c r="CW23" s="14" t="s">
        <v>1487</v>
      </c>
      <c r="CX23" s="14" t="s">
        <v>42</v>
      </c>
      <c r="CY23" s="14" t="s">
        <v>42</v>
      </c>
      <c r="CZ23" s="14" t="s">
        <v>42</v>
      </c>
      <c r="DA23" s="14" t="s">
        <v>42</v>
      </c>
      <c r="DB23" s="14" t="s">
        <v>1268</v>
      </c>
      <c r="DC23" s="47">
        <v>46122</v>
      </c>
      <c r="DD23" s="14" t="s">
        <v>1269</v>
      </c>
      <c r="DE23" s="47">
        <v>46132</v>
      </c>
      <c r="DF23" s="14" t="s">
        <v>1285</v>
      </c>
      <c r="DG23" s="47">
        <v>46142</v>
      </c>
      <c r="DH23" s="14"/>
      <c r="DI23" s="14"/>
      <c r="DJ23" s="14"/>
      <c r="DK23" s="14"/>
      <c r="DL23" s="14"/>
      <c r="DM23" s="14"/>
      <c r="DN23" s="14"/>
      <c r="DO23" s="14"/>
      <c r="DP23" s="14"/>
      <c r="DQ23" s="14"/>
      <c r="DR23" s="14"/>
      <c r="DS23" s="14"/>
      <c r="DT23" s="14"/>
      <c r="DU23" s="14"/>
    </row>
    <row r="24" spans="1:125" ht="136.5" customHeight="1">
      <c r="A24" s="13">
        <v>46114.424814814804</v>
      </c>
      <c r="B24" s="13">
        <v>46114.430879629603</v>
      </c>
      <c r="C24" s="54" t="s">
        <v>76</v>
      </c>
      <c r="D24" s="54" t="s">
        <v>120</v>
      </c>
      <c r="E24" s="47">
        <v>46113</v>
      </c>
      <c r="F24" s="54" t="s">
        <v>925</v>
      </c>
      <c r="G24" s="54" t="s">
        <v>926</v>
      </c>
      <c r="H24" s="54" t="s">
        <v>66</v>
      </c>
      <c r="I24" s="54" t="s">
        <v>34</v>
      </c>
      <c r="J24" s="55" t="s">
        <v>927</v>
      </c>
      <c r="K24" s="54" t="s">
        <v>928</v>
      </c>
      <c r="L24" s="55" t="s">
        <v>373</v>
      </c>
      <c r="M24" s="55" t="s">
        <v>374</v>
      </c>
      <c r="N24" s="54" t="s">
        <v>56</v>
      </c>
      <c r="O24" s="54" t="s">
        <v>40</v>
      </c>
      <c r="P24" s="54" t="s">
        <v>58</v>
      </c>
      <c r="Q24" s="54" t="s">
        <v>42</v>
      </c>
      <c r="R24" s="55" t="s">
        <v>42</v>
      </c>
      <c r="S24" s="55" t="s">
        <v>42</v>
      </c>
      <c r="T24" s="54" t="s">
        <v>929</v>
      </c>
      <c r="U24" s="54" t="s">
        <v>44</v>
      </c>
      <c r="V24" s="54" t="s">
        <v>44</v>
      </c>
      <c r="W24" s="54" t="s">
        <v>44</v>
      </c>
      <c r="X24" s="54" t="s">
        <v>44</v>
      </c>
      <c r="Y24" s="54" t="s">
        <v>45</v>
      </c>
      <c r="Z24" s="54" t="s">
        <v>930</v>
      </c>
      <c r="AA24" s="54" t="s">
        <v>44</v>
      </c>
      <c r="AB24" s="56" t="s">
        <v>924</v>
      </c>
      <c r="AC24" s="47">
        <v>46120</v>
      </c>
      <c r="AD24" s="14" t="s">
        <v>1434</v>
      </c>
      <c r="AE24" s="43" t="s">
        <v>1240</v>
      </c>
      <c r="AF24" s="43" t="s">
        <v>1240</v>
      </c>
      <c r="AG24" s="43" t="s">
        <v>1240</v>
      </c>
      <c r="AH24" s="43" t="s">
        <v>1240</v>
      </c>
      <c r="AI24" s="43" t="s">
        <v>1241</v>
      </c>
      <c r="AJ24" s="43" t="s">
        <v>1240</v>
      </c>
      <c r="AK24" s="43" t="s">
        <v>44</v>
      </c>
      <c r="AL24" s="43" t="s">
        <v>44</v>
      </c>
      <c r="AM24" s="48" t="s">
        <v>44</v>
      </c>
      <c r="AN24" s="14" t="s">
        <v>42</v>
      </c>
      <c r="AO24" s="14">
        <v>2</v>
      </c>
      <c r="AP24" s="14" t="s">
        <v>1488</v>
      </c>
      <c r="AQ24" s="14" t="s">
        <v>1243</v>
      </c>
      <c r="AR24" s="60">
        <v>28820</v>
      </c>
      <c r="AS24" s="61">
        <v>44245</v>
      </c>
      <c r="AT24" s="14" t="s">
        <v>1241</v>
      </c>
      <c r="AU24" s="14" t="s">
        <v>1241</v>
      </c>
      <c r="AV24" s="14" t="s">
        <v>1241</v>
      </c>
      <c r="AW24" s="14" t="s">
        <v>1241</v>
      </c>
      <c r="AX24" s="14" t="s">
        <v>1241</v>
      </c>
      <c r="AY24" s="14" t="s">
        <v>1273</v>
      </c>
      <c r="AZ24" s="14" t="s">
        <v>1274</v>
      </c>
      <c r="BA24" s="14" t="s">
        <v>1275</v>
      </c>
      <c r="BB24" s="43" t="s">
        <v>1290</v>
      </c>
      <c r="BC24" s="14" t="s">
        <v>1276</v>
      </c>
      <c r="BD24" s="14" t="s">
        <v>1241</v>
      </c>
      <c r="BE24" s="14" t="s">
        <v>1241</v>
      </c>
      <c r="BF24" s="14" t="s">
        <v>1250</v>
      </c>
      <c r="BG24" s="14" t="s">
        <v>1241</v>
      </c>
      <c r="BH24" s="14" t="s">
        <v>1241</v>
      </c>
      <c r="BI24" s="14" t="s">
        <v>1489</v>
      </c>
      <c r="BJ24" s="14" t="s">
        <v>1252</v>
      </c>
      <c r="BK24" s="47">
        <v>46113</v>
      </c>
      <c r="BL24" s="14" t="s">
        <v>1490</v>
      </c>
      <c r="BM24" s="14" t="s">
        <v>1292</v>
      </c>
      <c r="BN24" s="14" t="s">
        <v>1254</v>
      </c>
      <c r="BO24" s="14" t="s">
        <v>1294</v>
      </c>
      <c r="BP24" s="14" t="s">
        <v>1294</v>
      </c>
      <c r="BQ24" s="14" t="s">
        <v>1344</v>
      </c>
      <c r="BR24" s="14" t="s">
        <v>1241</v>
      </c>
      <c r="BS24" s="14" t="s">
        <v>1241</v>
      </c>
      <c r="BT24" s="14" t="s">
        <v>1491</v>
      </c>
      <c r="BU24" s="14" t="s">
        <v>1259</v>
      </c>
      <c r="BV24" s="14" t="s">
        <v>1260</v>
      </c>
      <c r="BW24" s="14" t="s">
        <v>1261</v>
      </c>
      <c r="BX24" s="43" t="s">
        <v>42</v>
      </c>
      <c r="BY24" s="43" t="s">
        <v>42</v>
      </c>
      <c r="BZ24" s="43" t="s">
        <v>42</v>
      </c>
      <c r="CA24" s="43" t="s">
        <v>42</v>
      </c>
      <c r="CB24" s="14" t="s">
        <v>1282</v>
      </c>
      <c r="CC24" s="14" t="s">
        <v>872</v>
      </c>
      <c r="CD24" s="14" t="s">
        <v>42</v>
      </c>
      <c r="CE24" s="14" t="s">
        <v>1492</v>
      </c>
      <c r="CF24" s="43" t="s">
        <v>1147</v>
      </c>
      <c r="CG24" s="43" t="s">
        <v>42</v>
      </c>
      <c r="CH24" s="49">
        <v>2079709</v>
      </c>
      <c r="CI24" s="50">
        <f>IFERROR((CH24/30),0)</f>
        <v>69323.633333333331</v>
      </c>
      <c r="CJ24" s="14">
        <v>0</v>
      </c>
      <c r="CK24" s="14">
        <v>0</v>
      </c>
      <c r="CL24" s="14">
        <v>0</v>
      </c>
      <c r="CM24" s="14">
        <v>2</v>
      </c>
      <c r="CN24" s="14">
        <v>0</v>
      </c>
      <c r="CO24" s="50">
        <v>0</v>
      </c>
      <c r="CP24" s="14">
        <v>0</v>
      </c>
      <c r="CQ24" s="14">
        <v>0</v>
      </c>
      <c r="CR24" s="14">
        <v>0</v>
      </c>
      <c r="CS24" s="49">
        <v>0</v>
      </c>
      <c r="CT24" s="49">
        <f>IFERROR((CN24+CO24+CP24+CQ24+CR24+CS24),0)</f>
        <v>0</v>
      </c>
      <c r="CU24" s="14" t="s">
        <v>1266</v>
      </c>
      <c r="CV24" s="47">
        <v>46120</v>
      </c>
      <c r="CW24" s="14" t="s">
        <v>1493</v>
      </c>
      <c r="CX24" s="14" t="s">
        <v>42</v>
      </c>
      <c r="CY24" s="14" t="s">
        <v>42</v>
      </c>
      <c r="CZ24" s="14" t="s">
        <v>42</v>
      </c>
      <c r="DA24" s="14" t="s">
        <v>42</v>
      </c>
      <c r="DB24" s="14" t="s">
        <v>1269</v>
      </c>
      <c r="DC24" s="47">
        <v>46172</v>
      </c>
      <c r="DD24" s="14" t="s">
        <v>1458</v>
      </c>
      <c r="DE24" s="47">
        <v>46142</v>
      </c>
      <c r="DF24" s="14" t="s">
        <v>42</v>
      </c>
      <c r="DG24" s="14" t="s">
        <v>42</v>
      </c>
    </row>
    <row r="25" spans="1:125" ht="136.5" customHeight="1">
      <c r="A25" s="13">
        <v>46122.331446759301</v>
      </c>
      <c r="B25" s="13">
        <v>46122.335590277798</v>
      </c>
      <c r="C25" s="54" t="s">
        <v>76</v>
      </c>
      <c r="D25" s="54" t="s">
        <v>120</v>
      </c>
      <c r="E25" s="47">
        <v>46120</v>
      </c>
      <c r="F25" s="54" t="s">
        <v>937</v>
      </c>
      <c r="G25" s="54" t="s">
        <v>727</v>
      </c>
      <c r="H25" s="54" t="s">
        <v>363</v>
      </c>
      <c r="I25" s="54" t="s">
        <v>34</v>
      </c>
      <c r="J25" s="55" t="s">
        <v>938</v>
      </c>
      <c r="K25" s="54" t="s">
        <v>728</v>
      </c>
      <c r="L25" s="55" t="s">
        <v>729</v>
      </c>
      <c r="M25" s="55" t="s">
        <v>730</v>
      </c>
      <c r="N25" s="54" t="s">
        <v>56</v>
      </c>
      <c r="O25" s="54" t="s">
        <v>71</v>
      </c>
      <c r="P25" s="54" t="s">
        <v>41</v>
      </c>
      <c r="Q25" s="54" t="s">
        <v>42</v>
      </c>
      <c r="R25" s="55" t="s">
        <v>42</v>
      </c>
      <c r="S25" s="55" t="s">
        <v>42</v>
      </c>
      <c r="T25" s="54" t="s">
        <v>939</v>
      </c>
      <c r="U25" s="54" t="s">
        <v>44</v>
      </c>
      <c r="V25" s="54" t="s">
        <v>44</v>
      </c>
      <c r="W25" s="54" t="s">
        <v>44</v>
      </c>
      <c r="X25" s="54" t="s">
        <v>44</v>
      </c>
      <c r="Y25" s="54" t="s">
        <v>44</v>
      </c>
      <c r="Z25" s="54" t="s">
        <v>940</v>
      </c>
      <c r="AA25" s="54" t="s">
        <v>45</v>
      </c>
      <c r="AB25" s="56" t="s">
        <v>941</v>
      </c>
      <c r="AC25" s="47">
        <v>46126</v>
      </c>
      <c r="AD25" s="14" t="s">
        <v>1447</v>
      </c>
      <c r="AE25" s="43" t="s">
        <v>1240</v>
      </c>
      <c r="AF25" s="43" t="s">
        <v>1240</v>
      </c>
      <c r="AG25" s="43" t="s">
        <v>1240</v>
      </c>
      <c r="AH25" s="43" t="s">
        <v>1240</v>
      </c>
      <c r="AI25" s="43" t="s">
        <v>1241</v>
      </c>
      <c r="AJ25" s="43" t="s">
        <v>1240</v>
      </c>
      <c r="AK25" s="43" t="s">
        <v>44</v>
      </c>
      <c r="AL25" s="43" t="s">
        <v>44</v>
      </c>
      <c r="AM25" s="48" t="s">
        <v>44</v>
      </c>
      <c r="AN25" s="14" t="s">
        <v>42</v>
      </c>
      <c r="AO25" s="14">
        <v>2</v>
      </c>
      <c r="AP25" s="14" t="s">
        <v>1494</v>
      </c>
      <c r="AQ25" s="14" t="s">
        <v>1243</v>
      </c>
      <c r="AR25" s="60">
        <v>34131</v>
      </c>
      <c r="AS25" s="61">
        <v>46128</v>
      </c>
      <c r="AT25" s="14" t="s">
        <v>1241</v>
      </c>
      <c r="AU25" s="14" t="s">
        <v>1241</v>
      </c>
      <c r="AV25" s="14" t="s">
        <v>1241</v>
      </c>
      <c r="AW25" s="14" t="s">
        <v>1241</v>
      </c>
      <c r="AX25" s="14" t="s">
        <v>1495</v>
      </c>
      <c r="AY25" s="14" t="s">
        <v>1273</v>
      </c>
      <c r="AZ25" s="14" t="s">
        <v>1274</v>
      </c>
      <c r="BA25" s="14" t="s">
        <v>1275</v>
      </c>
      <c r="BB25" s="43" t="s">
        <v>1290</v>
      </c>
      <c r="BC25" s="14" t="s">
        <v>1276</v>
      </c>
      <c r="BD25" s="14" t="s">
        <v>1241</v>
      </c>
      <c r="BE25" s="14" t="s">
        <v>1241</v>
      </c>
      <c r="BF25" s="14" t="s">
        <v>1250</v>
      </c>
      <c r="BG25" s="14" t="s">
        <v>1241</v>
      </c>
      <c r="BH25" s="14" t="s">
        <v>1241</v>
      </c>
      <c r="BI25" s="14" t="s">
        <v>1278</v>
      </c>
      <c r="BJ25" s="14" t="s">
        <v>1252</v>
      </c>
      <c r="BK25" s="47">
        <v>46120</v>
      </c>
      <c r="BL25" s="14" t="s">
        <v>1496</v>
      </c>
      <c r="BM25" s="14" t="s">
        <v>1292</v>
      </c>
      <c r="BN25" s="14" t="s">
        <v>1254</v>
      </c>
      <c r="BO25" s="14" t="s">
        <v>1483</v>
      </c>
      <c r="BP25" s="14" t="s">
        <v>1483</v>
      </c>
      <c r="BQ25" s="14" t="s">
        <v>1344</v>
      </c>
      <c r="BR25" s="14" t="s">
        <v>1241</v>
      </c>
      <c r="BS25" s="14" t="s">
        <v>1241</v>
      </c>
      <c r="BT25" s="14" t="s">
        <v>1497</v>
      </c>
      <c r="BU25" s="14" t="s">
        <v>1259</v>
      </c>
      <c r="BV25" s="14" t="s">
        <v>1260</v>
      </c>
      <c r="BW25" s="14" t="s">
        <v>1261</v>
      </c>
      <c r="BX25" s="43" t="s">
        <v>42</v>
      </c>
      <c r="BY25" s="43" t="s">
        <v>42</v>
      </c>
      <c r="BZ25" s="43" t="s">
        <v>42</v>
      </c>
      <c r="CA25" s="43" t="s">
        <v>42</v>
      </c>
      <c r="CB25" s="14" t="s">
        <v>1282</v>
      </c>
      <c r="CC25" s="14" t="s">
        <v>872</v>
      </c>
      <c r="CD25" s="14" t="s">
        <v>42</v>
      </c>
      <c r="CE25" s="14" t="s">
        <v>1283</v>
      </c>
      <c r="CF25" s="43" t="s">
        <v>1147</v>
      </c>
      <c r="CG25" s="43" t="s">
        <v>1155</v>
      </c>
      <c r="CH25" s="49">
        <v>1750906</v>
      </c>
      <c r="CI25" s="50">
        <f>IFERROR((CH25/30),0)</f>
        <v>58363.533333333333</v>
      </c>
      <c r="CJ25" s="14">
        <v>0</v>
      </c>
      <c r="CK25" s="14">
        <v>0</v>
      </c>
      <c r="CL25" s="14">
        <v>0</v>
      </c>
      <c r="CM25" s="14">
        <v>2</v>
      </c>
      <c r="CN25" s="14">
        <v>0</v>
      </c>
      <c r="CO25" s="50">
        <v>200000</v>
      </c>
      <c r="CP25" s="14">
        <v>0</v>
      </c>
      <c r="CQ25" s="14">
        <v>0</v>
      </c>
      <c r="CR25" s="14">
        <v>0</v>
      </c>
      <c r="CS25" s="49">
        <v>0</v>
      </c>
      <c r="CT25" s="49">
        <f>IFERROR((CN25+CO25+CP25+CQ25+CR25+CS25),0)</f>
        <v>200000</v>
      </c>
      <c r="CU25" s="14" t="s">
        <v>1266</v>
      </c>
      <c r="CV25" s="47">
        <v>46126</v>
      </c>
      <c r="CW25" s="14" t="s">
        <v>1498</v>
      </c>
      <c r="CX25" s="14" t="s">
        <v>42</v>
      </c>
      <c r="CY25" s="14" t="s">
        <v>42</v>
      </c>
      <c r="CZ25" s="14" t="s">
        <v>42</v>
      </c>
      <c r="DA25" s="14" t="s">
        <v>42</v>
      </c>
      <c r="DB25" s="14" t="s">
        <v>1268</v>
      </c>
      <c r="DC25" s="47">
        <v>46126</v>
      </c>
      <c r="DD25" s="14" t="s">
        <v>1269</v>
      </c>
      <c r="DE25" s="47">
        <v>46164</v>
      </c>
      <c r="DF25" s="14" t="s">
        <v>1285</v>
      </c>
      <c r="DG25" s="47">
        <v>46172</v>
      </c>
    </row>
    <row r="26" spans="1:125" s="63" customFormat="1" ht="136.5" customHeight="1">
      <c r="A26" s="13">
        <v>46125.502766203703</v>
      </c>
      <c r="B26" s="13">
        <v>46125.5305324074</v>
      </c>
      <c r="C26" s="54" t="s">
        <v>76</v>
      </c>
      <c r="D26" s="54" t="s">
        <v>942</v>
      </c>
      <c r="E26" s="47">
        <v>46124</v>
      </c>
      <c r="F26" s="54" t="s">
        <v>943</v>
      </c>
      <c r="G26" s="54" t="s">
        <v>944</v>
      </c>
      <c r="H26" s="54" t="s">
        <v>274</v>
      </c>
      <c r="I26" s="54" t="s">
        <v>34</v>
      </c>
      <c r="J26" s="55" t="s">
        <v>945</v>
      </c>
      <c r="K26" s="54" t="s">
        <v>946</v>
      </c>
      <c r="L26" s="55" t="s">
        <v>947</v>
      </c>
      <c r="M26" s="55" t="s">
        <v>948</v>
      </c>
      <c r="N26" s="54" t="s">
        <v>56</v>
      </c>
      <c r="O26" s="54" t="s">
        <v>71</v>
      </c>
      <c r="P26" s="54" t="s">
        <v>58</v>
      </c>
      <c r="Q26" s="54" t="s">
        <v>42</v>
      </c>
      <c r="R26" s="55" t="s">
        <v>949</v>
      </c>
      <c r="S26" s="55" t="s">
        <v>950</v>
      </c>
      <c r="T26" s="54" t="s">
        <v>951</v>
      </c>
      <c r="U26" s="54" t="s">
        <v>45</v>
      </c>
      <c r="V26" s="54" t="s">
        <v>45</v>
      </c>
      <c r="W26" s="54" t="s">
        <v>45</v>
      </c>
      <c r="X26" s="54" t="s">
        <v>44</v>
      </c>
      <c r="Y26" s="54" t="s">
        <v>44</v>
      </c>
      <c r="Z26" s="54" t="s">
        <v>952</v>
      </c>
      <c r="AA26" s="54" t="s">
        <v>45</v>
      </c>
      <c r="AB26" s="56" t="s">
        <v>953</v>
      </c>
      <c r="AC26" s="47">
        <v>46125</v>
      </c>
      <c r="AD26" s="14" t="s">
        <v>1307</v>
      </c>
      <c r="AE26" s="43" t="s">
        <v>1240</v>
      </c>
      <c r="AF26" s="43" t="s">
        <v>1240</v>
      </c>
      <c r="AG26" s="43" t="s">
        <v>1240</v>
      </c>
      <c r="AH26" s="43" t="s">
        <v>1240</v>
      </c>
      <c r="AI26" s="43" t="s">
        <v>1241</v>
      </c>
      <c r="AJ26" s="43" t="s">
        <v>1240</v>
      </c>
      <c r="AK26" s="43" t="s">
        <v>44</v>
      </c>
      <c r="AL26" s="43" t="s">
        <v>44</v>
      </c>
      <c r="AM26" s="48" t="s">
        <v>44</v>
      </c>
      <c r="AN26" s="14" t="s">
        <v>42</v>
      </c>
      <c r="AO26" s="14">
        <v>3</v>
      </c>
      <c r="AP26" s="14" t="s">
        <v>1499</v>
      </c>
      <c r="AQ26" s="14" t="s">
        <v>1243</v>
      </c>
      <c r="AR26" s="60">
        <v>31270</v>
      </c>
      <c r="AS26" s="61">
        <v>45994</v>
      </c>
      <c r="AT26" s="14" t="s">
        <v>1241</v>
      </c>
      <c r="AU26" s="14" t="s">
        <v>1241</v>
      </c>
      <c r="AV26" s="14" t="s">
        <v>1241</v>
      </c>
      <c r="AW26" s="14" t="s">
        <v>1241</v>
      </c>
      <c r="AX26" s="14" t="s">
        <v>1500</v>
      </c>
      <c r="AY26" s="14" t="s">
        <v>1273</v>
      </c>
      <c r="AZ26" s="14" t="s">
        <v>1274</v>
      </c>
      <c r="BA26" s="14" t="s">
        <v>1275</v>
      </c>
      <c r="BB26" s="43" t="s">
        <v>1290</v>
      </c>
      <c r="BC26" s="14" t="s">
        <v>1276</v>
      </c>
      <c r="BD26" s="14" t="s">
        <v>1241</v>
      </c>
      <c r="BE26" s="14" t="s">
        <v>1241</v>
      </c>
      <c r="BF26" s="14" t="s">
        <v>1322</v>
      </c>
      <c r="BG26" s="14" t="s">
        <v>1241</v>
      </c>
      <c r="BH26" s="14" t="s">
        <v>1241</v>
      </c>
      <c r="BI26" s="14" t="s">
        <v>1278</v>
      </c>
      <c r="BJ26" s="14" t="s">
        <v>1252</v>
      </c>
      <c r="BK26" s="47">
        <v>46124</v>
      </c>
      <c r="BL26" s="14" t="s">
        <v>1501</v>
      </c>
      <c r="BM26" s="14" t="s">
        <v>1469</v>
      </c>
      <c r="BN26" s="14" t="s">
        <v>1254</v>
      </c>
      <c r="BO26" s="14" t="s">
        <v>1398</v>
      </c>
      <c r="BP26" s="14" t="s">
        <v>1335</v>
      </c>
      <c r="BQ26" s="14" t="s">
        <v>1335</v>
      </c>
      <c r="BR26" s="14" t="s">
        <v>1241</v>
      </c>
      <c r="BS26" s="14" t="s">
        <v>1241</v>
      </c>
      <c r="BT26" s="14" t="s">
        <v>1502</v>
      </c>
      <c r="BU26" s="14" t="s">
        <v>1259</v>
      </c>
      <c r="BV26" s="14" t="s">
        <v>1260</v>
      </c>
      <c r="BW26" s="14" t="s">
        <v>1261</v>
      </c>
      <c r="BX26" s="43" t="s">
        <v>42</v>
      </c>
      <c r="BY26" s="43" t="s">
        <v>42</v>
      </c>
      <c r="BZ26" s="43" t="s">
        <v>42</v>
      </c>
      <c r="CA26" s="43" t="s">
        <v>42</v>
      </c>
      <c r="CB26" s="14" t="s">
        <v>1282</v>
      </c>
      <c r="CC26" s="14" t="s">
        <v>1263</v>
      </c>
      <c r="CD26" s="14" t="s">
        <v>1503</v>
      </c>
      <c r="CE26" s="14" t="s">
        <v>1327</v>
      </c>
      <c r="CF26" s="43" t="s">
        <v>1147</v>
      </c>
      <c r="CG26" s="43" t="s">
        <v>1155</v>
      </c>
      <c r="CH26" s="49">
        <v>1750906</v>
      </c>
      <c r="CI26" s="50">
        <f>IFERROR((CH26/30),0)</f>
        <v>58363.533333333333</v>
      </c>
      <c r="CJ26" s="14">
        <v>0</v>
      </c>
      <c r="CK26" s="14">
        <v>0</v>
      </c>
      <c r="CL26" s="14">
        <v>0</v>
      </c>
      <c r="CM26" s="14">
        <v>2</v>
      </c>
      <c r="CN26" s="14">
        <v>0</v>
      </c>
      <c r="CO26" s="50">
        <v>0</v>
      </c>
      <c r="CP26" s="14">
        <v>0</v>
      </c>
      <c r="CQ26" s="14">
        <v>0</v>
      </c>
      <c r="CR26" s="14">
        <v>0</v>
      </c>
      <c r="CS26" s="49">
        <v>0</v>
      </c>
      <c r="CT26" s="49">
        <f>IFERROR((CN26+CO26+CP26+CQ26+CR26+CS26),0)</f>
        <v>0</v>
      </c>
      <c r="CU26" s="14" t="s">
        <v>1266</v>
      </c>
      <c r="CV26" s="47">
        <v>46126</v>
      </c>
      <c r="CW26" s="14" t="s">
        <v>1504</v>
      </c>
      <c r="CX26" s="14" t="s">
        <v>42</v>
      </c>
      <c r="CY26" s="14" t="s">
        <v>42</v>
      </c>
      <c r="CZ26" s="14" t="s">
        <v>42</v>
      </c>
      <c r="DA26" s="14" t="s">
        <v>42</v>
      </c>
      <c r="DB26" s="14" t="s">
        <v>1268</v>
      </c>
      <c r="DC26" s="47">
        <v>46125</v>
      </c>
      <c r="DD26" s="14" t="s">
        <v>1269</v>
      </c>
      <c r="DE26" s="47">
        <v>46164</v>
      </c>
      <c r="DF26" s="14" t="s">
        <v>1285</v>
      </c>
      <c r="DG26" s="47">
        <v>46172</v>
      </c>
      <c r="DH26" s="14"/>
      <c r="DI26" s="14"/>
      <c r="DJ26" s="14"/>
      <c r="DK26" s="14"/>
      <c r="DL26" s="14"/>
      <c r="DM26" s="14"/>
      <c r="DN26" s="14"/>
      <c r="DO26" s="14"/>
      <c r="DP26" s="14"/>
      <c r="DQ26" s="14"/>
      <c r="DR26" s="14"/>
      <c r="DS26" s="14"/>
      <c r="DT26" s="14"/>
      <c r="DU26" s="14"/>
    </row>
    <row r="27" spans="1:125" ht="136.5" customHeight="1">
      <c r="A27" s="13">
        <v>46127.602881944404</v>
      </c>
      <c r="B27" s="13">
        <v>46127.607881944401</v>
      </c>
      <c r="C27" s="54" t="s">
        <v>76</v>
      </c>
      <c r="D27" s="54" t="s">
        <v>610</v>
      </c>
      <c r="E27" s="47">
        <v>46127</v>
      </c>
      <c r="F27" s="54" t="s">
        <v>954</v>
      </c>
      <c r="G27" s="54" t="s">
        <v>955</v>
      </c>
      <c r="H27" s="54" t="s">
        <v>557</v>
      </c>
      <c r="I27" s="54" t="s">
        <v>34</v>
      </c>
      <c r="J27" s="55" t="s">
        <v>956</v>
      </c>
      <c r="K27" s="54" t="s">
        <v>957</v>
      </c>
      <c r="L27" s="55" t="s">
        <v>958</v>
      </c>
      <c r="M27" s="55" t="s">
        <v>958</v>
      </c>
      <c r="N27" s="54" t="s">
        <v>56</v>
      </c>
      <c r="O27" s="54" t="s">
        <v>71</v>
      </c>
      <c r="P27" s="54" t="s">
        <v>41</v>
      </c>
      <c r="Q27" s="54" t="s">
        <v>42</v>
      </c>
      <c r="R27" s="55" t="s">
        <v>42</v>
      </c>
      <c r="S27" s="55" t="s">
        <v>42</v>
      </c>
      <c r="T27" s="54" t="s">
        <v>959</v>
      </c>
      <c r="U27" s="54" t="s">
        <v>45</v>
      </c>
      <c r="V27" s="54" t="s">
        <v>45</v>
      </c>
      <c r="W27" s="54" t="s">
        <v>45</v>
      </c>
      <c r="X27" s="54" t="s">
        <v>45</v>
      </c>
      <c r="Y27" s="54" t="s">
        <v>45</v>
      </c>
      <c r="Z27" s="54" t="s">
        <v>960</v>
      </c>
      <c r="AA27" s="54" t="s">
        <v>45</v>
      </c>
      <c r="AB27" s="57" t="s">
        <v>969</v>
      </c>
      <c r="AC27" s="47">
        <v>46141</v>
      </c>
      <c r="AD27" s="14" t="s">
        <v>1505</v>
      </c>
      <c r="AE27" s="43" t="s">
        <v>1240</v>
      </c>
      <c r="AF27" s="43" t="s">
        <v>1240</v>
      </c>
      <c r="AG27" s="43" t="s">
        <v>1240</v>
      </c>
      <c r="AH27" s="43" t="s">
        <v>1240</v>
      </c>
      <c r="AI27" s="43" t="s">
        <v>1241</v>
      </c>
      <c r="AJ27" s="43" t="s">
        <v>1240</v>
      </c>
      <c r="AK27" s="43" t="s">
        <v>44</v>
      </c>
      <c r="AL27" s="43" t="s">
        <v>44</v>
      </c>
      <c r="AM27" s="48" t="s">
        <v>44</v>
      </c>
      <c r="AN27" s="14" t="s">
        <v>42</v>
      </c>
      <c r="AO27" s="14">
        <v>4</v>
      </c>
      <c r="AP27" s="14" t="s">
        <v>1506</v>
      </c>
      <c r="AQ27" s="14" t="s">
        <v>1243</v>
      </c>
      <c r="AR27" s="47">
        <v>38293</v>
      </c>
      <c r="AS27" s="47">
        <v>46002</v>
      </c>
      <c r="AT27" s="14" t="s">
        <v>1241</v>
      </c>
      <c r="AU27" s="14" t="s">
        <v>1241</v>
      </c>
      <c r="AV27" s="14" t="s">
        <v>1241</v>
      </c>
      <c r="AW27" s="14" t="s">
        <v>1507</v>
      </c>
      <c r="AX27" s="14" t="s">
        <v>1508</v>
      </c>
      <c r="AY27" s="14" t="s">
        <v>1509</v>
      </c>
      <c r="AZ27" s="14" t="s">
        <v>1274</v>
      </c>
      <c r="BA27" s="14" t="s">
        <v>1275</v>
      </c>
      <c r="BB27" s="14" t="s">
        <v>1290</v>
      </c>
      <c r="BC27" s="14" t="s">
        <v>1276</v>
      </c>
      <c r="BD27" s="14" t="s">
        <v>1241</v>
      </c>
      <c r="BE27" s="14" t="s">
        <v>1241</v>
      </c>
      <c r="BF27" s="14" t="s">
        <v>1322</v>
      </c>
      <c r="BG27" s="14" t="s">
        <v>1241</v>
      </c>
      <c r="BH27" s="14" t="s">
        <v>1241</v>
      </c>
      <c r="BI27" s="14" t="s">
        <v>1278</v>
      </c>
      <c r="BJ27" s="14" t="s">
        <v>1252</v>
      </c>
      <c r="BK27" s="47">
        <v>46127</v>
      </c>
      <c r="BL27" s="47" t="s">
        <v>1510</v>
      </c>
      <c r="BM27" s="14" t="s">
        <v>1292</v>
      </c>
      <c r="BN27" s="14" t="s">
        <v>1254</v>
      </c>
      <c r="BO27" s="14" t="s">
        <v>1341</v>
      </c>
      <c r="BP27" s="14" t="s">
        <v>1341</v>
      </c>
      <c r="BQ27" s="14" t="s">
        <v>1352</v>
      </c>
      <c r="BR27" s="14" t="s">
        <v>1241</v>
      </c>
      <c r="BS27" s="14" t="s">
        <v>1241</v>
      </c>
      <c r="BT27" s="14" t="s">
        <v>1511</v>
      </c>
      <c r="BU27" s="14" t="s">
        <v>1259</v>
      </c>
      <c r="BV27" s="14" t="s">
        <v>1260</v>
      </c>
      <c r="BW27" s="14" t="s">
        <v>1261</v>
      </c>
      <c r="BX27" s="43" t="s">
        <v>42</v>
      </c>
      <c r="BY27" s="43" t="s">
        <v>42</v>
      </c>
      <c r="BZ27" s="43" t="s">
        <v>42</v>
      </c>
      <c r="CA27" s="43" t="s">
        <v>42</v>
      </c>
      <c r="CB27" s="14" t="s">
        <v>1282</v>
      </c>
      <c r="CC27" s="14" t="s">
        <v>872</v>
      </c>
      <c r="CD27" s="14" t="s">
        <v>1512</v>
      </c>
      <c r="CE27" s="11" t="s">
        <v>1513</v>
      </c>
      <c r="CF27" s="43" t="s">
        <v>1147</v>
      </c>
      <c r="CG27" s="43" t="s">
        <v>1155</v>
      </c>
      <c r="CH27" s="49">
        <v>1750906</v>
      </c>
      <c r="CI27" s="50">
        <f>IFERROR((CH27/30),0)</f>
        <v>58363.533333333333</v>
      </c>
      <c r="CJ27" s="14">
        <v>0</v>
      </c>
      <c r="CK27" s="14">
        <v>0</v>
      </c>
      <c r="CL27" s="14">
        <v>0</v>
      </c>
      <c r="CM27" s="14">
        <v>2</v>
      </c>
      <c r="CN27" s="14">
        <v>0</v>
      </c>
      <c r="CO27" s="50" t="s">
        <v>1514</v>
      </c>
      <c r="CP27" s="14">
        <v>0</v>
      </c>
      <c r="CQ27" s="14">
        <v>0</v>
      </c>
      <c r="CR27" s="14">
        <v>0</v>
      </c>
      <c r="CS27" s="49">
        <v>0</v>
      </c>
      <c r="CT27" s="49">
        <f>IFERROR((CN27+CO27+CP27+CQ27+CR27+CS27),0)</f>
        <v>0</v>
      </c>
      <c r="CU27" s="14" t="s">
        <v>1266</v>
      </c>
      <c r="CV27" s="47">
        <v>46141</v>
      </c>
      <c r="CW27" s="14" t="s">
        <v>1515</v>
      </c>
      <c r="CX27" s="14" t="s">
        <v>42</v>
      </c>
      <c r="CY27" s="14" t="s">
        <v>42</v>
      </c>
      <c r="CZ27" s="14" t="s">
        <v>42</v>
      </c>
      <c r="DA27" s="14" t="s">
        <v>42</v>
      </c>
      <c r="DB27" s="14" t="s">
        <v>1268</v>
      </c>
      <c r="DC27" s="47">
        <v>46164</v>
      </c>
      <c r="DD27" s="14" t="s">
        <v>1269</v>
      </c>
      <c r="DE27" s="47">
        <v>46164</v>
      </c>
      <c r="DF27" s="14" t="s">
        <v>1285</v>
      </c>
      <c r="DG27" s="47">
        <v>46172</v>
      </c>
    </row>
    <row r="28" spans="1:125" ht="136.5" customHeight="1">
      <c r="A28" s="13">
        <v>46132.579988425903</v>
      </c>
      <c r="B28" s="13">
        <v>46132.666122685201</v>
      </c>
      <c r="C28" s="54" t="s">
        <v>76</v>
      </c>
      <c r="D28" s="54" t="s">
        <v>228</v>
      </c>
      <c r="E28" s="47">
        <v>46131</v>
      </c>
      <c r="F28" s="54" t="s">
        <v>961</v>
      </c>
      <c r="G28" s="54" t="s">
        <v>962</v>
      </c>
      <c r="H28" s="54" t="s">
        <v>51</v>
      </c>
      <c r="I28" s="54" t="s">
        <v>134</v>
      </c>
      <c r="J28" s="55" t="s">
        <v>42</v>
      </c>
      <c r="K28" s="54" t="s">
        <v>963</v>
      </c>
      <c r="L28" s="55" t="s">
        <v>964</v>
      </c>
      <c r="M28" s="55" t="s">
        <v>965</v>
      </c>
      <c r="N28" s="54" t="s">
        <v>139</v>
      </c>
      <c r="O28" s="54" t="s">
        <v>57</v>
      </c>
      <c r="P28" s="54" t="s">
        <v>41</v>
      </c>
      <c r="Q28" s="54" t="s">
        <v>59</v>
      </c>
      <c r="R28" s="55" t="s">
        <v>966</v>
      </c>
      <c r="S28" s="55" t="s">
        <v>42</v>
      </c>
      <c r="T28" s="54" t="s">
        <v>967</v>
      </c>
      <c r="U28" s="54" t="s">
        <v>44</v>
      </c>
      <c r="V28" s="54" t="s">
        <v>44</v>
      </c>
      <c r="W28" s="54" t="s">
        <v>44</v>
      </c>
      <c r="X28" s="54" t="s">
        <v>44</v>
      </c>
      <c r="Y28" s="54" t="s">
        <v>44</v>
      </c>
      <c r="Z28" s="54" t="s">
        <v>968</v>
      </c>
      <c r="AA28" s="54" t="s">
        <v>45</v>
      </c>
      <c r="AB28" s="57" t="s">
        <v>969</v>
      </c>
      <c r="AC28" s="47">
        <v>46142</v>
      </c>
      <c r="AD28" s="14" t="s">
        <v>1516</v>
      </c>
      <c r="AE28" s="43" t="s">
        <v>1240</v>
      </c>
      <c r="AF28" s="43" t="s">
        <v>1240</v>
      </c>
      <c r="AG28" s="43" t="s">
        <v>1240</v>
      </c>
      <c r="AH28" s="43" t="s">
        <v>1240</v>
      </c>
      <c r="AI28" s="43" t="s">
        <v>1241</v>
      </c>
      <c r="AJ28" s="43" t="s">
        <v>1240</v>
      </c>
      <c r="AK28" s="43" t="s">
        <v>44</v>
      </c>
      <c r="AL28" s="43" t="s">
        <v>44</v>
      </c>
      <c r="AM28" s="48" t="s">
        <v>44</v>
      </c>
      <c r="AN28" s="14" t="s">
        <v>1517</v>
      </c>
      <c r="AO28" s="14">
        <v>3</v>
      </c>
      <c r="AP28" s="14" t="s">
        <v>1518</v>
      </c>
      <c r="AQ28" s="14" t="s">
        <v>1243</v>
      </c>
      <c r="AR28" s="47">
        <v>24070</v>
      </c>
      <c r="AS28" s="47">
        <v>45951</v>
      </c>
      <c r="AT28" s="14" t="s">
        <v>1241</v>
      </c>
      <c r="AU28" s="14" t="s">
        <v>1241</v>
      </c>
      <c r="AV28" s="14" t="s">
        <v>1519</v>
      </c>
      <c r="AW28" s="14" t="s">
        <v>1241</v>
      </c>
      <c r="AX28" s="14" t="s">
        <v>1520</v>
      </c>
      <c r="AY28" s="14" t="s">
        <v>1509</v>
      </c>
      <c r="AZ28" s="14" t="s">
        <v>1274</v>
      </c>
      <c r="BA28" s="14" t="s">
        <v>1521</v>
      </c>
      <c r="BB28" s="14" t="s">
        <v>1290</v>
      </c>
      <c r="BC28" s="14" t="s">
        <v>1522</v>
      </c>
      <c r="BD28" s="14" t="s">
        <v>1241</v>
      </c>
      <c r="BE28" s="14" t="s">
        <v>1241</v>
      </c>
      <c r="BF28" s="14" t="s">
        <v>1523</v>
      </c>
      <c r="BG28" s="14" t="s">
        <v>1241</v>
      </c>
      <c r="BH28" s="14" t="s">
        <v>1241</v>
      </c>
      <c r="BI28" s="14" t="s">
        <v>1524</v>
      </c>
      <c r="BJ28" s="14" t="s">
        <v>1252</v>
      </c>
      <c r="BK28" s="47">
        <v>46131</v>
      </c>
      <c r="BL28" s="14" t="s">
        <v>1525</v>
      </c>
      <c r="BM28" s="14" t="s">
        <v>1469</v>
      </c>
      <c r="BN28" s="14" t="s">
        <v>1254</v>
      </c>
      <c r="BO28" s="14" t="s">
        <v>1334</v>
      </c>
      <c r="BP28" s="14" t="s">
        <v>1335</v>
      </c>
      <c r="BQ28" s="14" t="s">
        <v>1335</v>
      </c>
      <c r="BR28" s="14" t="s">
        <v>1241</v>
      </c>
      <c r="BS28" s="14" t="s">
        <v>1241</v>
      </c>
      <c r="BT28" s="14" t="s">
        <v>1526</v>
      </c>
      <c r="BU28" s="14" t="s">
        <v>1259</v>
      </c>
      <c r="BV28" s="14" t="s">
        <v>1260</v>
      </c>
      <c r="BW28" s="14" t="s">
        <v>1261</v>
      </c>
      <c r="BX28" s="43" t="s">
        <v>42</v>
      </c>
      <c r="BY28" s="43" t="s">
        <v>42</v>
      </c>
      <c r="BZ28" s="43" t="s">
        <v>42</v>
      </c>
      <c r="CA28" s="43" t="s">
        <v>42</v>
      </c>
      <c r="CB28" s="14" t="s">
        <v>1472</v>
      </c>
      <c r="CC28" s="14" t="s">
        <v>1263</v>
      </c>
      <c r="CD28" s="14" t="s">
        <v>1527</v>
      </c>
      <c r="CE28" s="14" t="s">
        <v>1528</v>
      </c>
      <c r="CF28" s="43" t="s">
        <v>1147</v>
      </c>
      <c r="CG28" s="43" t="s">
        <v>1529</v>
      </c>
      <c r="CH28" s="49">
        <v>1750906</v>
      </c>
      <c r="CI28" s="50">
        <f>IFERROR((CH28/30),0)</f>
        <v>58363.533333333333</v>
      </c>
      <c r="CJ28" s="14">
        <v>0</v>
      </c>
      <c r="CK28" s="14">
        <v>0</v>
      </c>
      <c r="CL28" s="14">
        <v>0</v>
      </c>
      <c r="CM28" s="14">
        <v>2</v>
      </c>
      <c r="CN28" s="14">
        <v>0</v>
      </c>
      <c r="CO28" s="50" t="s">
        <v>1514</v>
      </c>
      <c r="CP28" s="14">
        <v>0</v>
      </c>
      <c r="CQ28" s="14">
        <v>0</v>
      </c>
      <c r="CR28" s="14">
        <v>0</v>
      </c>
      <c r="CS28" s="49">
        <v>0</v>
      </c>
      <c r="CT28" s="49">
        <f>IFERROR((CN28+CO28+CP28+CQ28+CR28+CS28),0)</f>
        <v>0</v>
      </c>
      <c r="CU28" s="14" t="s">
        <v>1530</v>
      </c>
      <c r="CV28" s="47">
        <v>46142</v>
      </c>
      <c r="CW28" s="14" t="s">
        <v>1531</v>
      </c>
      <c r="CX28" s="14" t="s">
        <v>42</v>
      </c>
      <c r="CY28" s="14" t="s">
        <v>42</v>
      </c>
      <c r="CZ28" s="14" t="s">
        <v>42</v>
      </c>
      <c r="DA28" s="14" t="s">
        <v>42</v>
      </c>
      <c r="DB28" s="14" t="s">
        <v>1268</v>
      </c>
      <c r="DC28" s="47">
        <v>46142</v>
      </c>
      <c r="DD28" s="14" t="s">
        <v>1269</v>
      </c>
      <c r="DE28" s="47">
        <v>46164</v>
      </c>
      <c r="DF28" s="14" t="s">
        <v>1532</v>
      </c>
      <c r="DG28" s="47">
        <v>46172</v>
      </c>
    </row>
    <row r="29" spans="1:125" ht="136.5" customHeight="1">
      <c r="A29" s="13">
        <v>46133.653518518498</v>
      </c>
      <c r="B29" s="13">
        <v>46133.657453703701</v>
      </c>
      <c r="C29" s="54" t="s">
        <v>76</v>
      </c>
      <c r="D29" s="54" t="s">
        <v>610</v>
      </c>
      <c r="E29" s="47">
        <v>46133</v>
      </c>
      <c r="F29" s="54" t="s">
        <v>970</v>
      </c>
      <c r="G29" s="54" t="s">
        <v>156</v>
      </c>
      <c r="H29" s="54" t="s">
        <v>557</v>
      </c>
      <c r="I29" s="54" t="s">
        <v>34</v>
      </c>
      <c r="J29" s="55" t="s">
        <v>956</v>
      </c>
      <c r="K29" s="54" t="s">
        <v>971</v>
      </c>
      <c r="L29" s="55" t="s">
        <v>392</v>
      </c>
      <c r="M29" s="55" t="s">
        <v>972</v>
      </c>
      <c r="N29" s="54" t="s">
        <v>56</v>
      </c>
      <c r="O29" s="54" t="s">
        <v>71</v>
      </c>
      <c r="P29" s="54" t="s">
        <v>41</v>
      </c>
      <c r="Q29" s="54" t="s">
        <v>42</v>
      </c>
      <c r="R29" s="55" t="s">
        <v>42</v>
      </c>
      <c r="S29" s="55" t="s">
        <v>42</v>
      </c>
      <c r="T29" s="54" t="s">
        <v>973</v>
      </c>
      <c r="U29" s="54" t="s">
        <v>44</v>
      </c>
      <c r="V29" s="54" t="s">
        <v>44</v>
      </c>
      <c r="W29" s="54" t="s">
        <v>44</v>
      </c>
      <c r="X29" s="54" t="s">
        <v>44</v>
      </c>
      <c r="Y29" s="54" t="s">
        <v>45</v>
      </c>
      <c r="Z29" s="54" t="s">
        <v>42</v>
      </c>
      <c r="AA29" s="54" t="s">
        <v>45</v>
      </c>
      <c r="AB29" s="57" t="s">
        <v>969</v>
      </c>
      <c r="AC29" s="47">
        <v>46147</v>
      </c>
      <c r="AD29" s="14" t="s">
        <v>1533</v>
      </c>
      <c r="AE29" s="43" t="s">
        <v>1240</v>
      </c>
      <c r="AF29" s="43" t="s">
        <v>1240</v>
      </c>
      <c r="AG29" s="43" t="s">
        <v>1240</v>
      </c>
      <c r="AH29" s="43" t="s">
        <v>1240</v>
      </c>
      <c r="AI29" s="43" t="s">
        <v>1241</v>
      </c>
      <c r="AJ29" s="43" t="s">
        <v>1240</v>
      </c>
      <c r="AK29" s="43" t="s">
        <v>44</v>
      </c>
      <c r="AL29" s="43" t="s">
        <v>44</v>
      </c>
      <c r="AM29" s="48" t="s">
        <v>44</v>
      </c>
      <c r="AN29" s="14" t="s">
        <v>42</v>
      </c>
      <c r="AO29" s="14">
        <v>2</v>
      </c>
      <c r="AP29" s="14" t="s">
        <v>1534</v>
      </c>
      <c r="AQ29" s="14" t="s">
        <v>1243</v>
      </c>
      <c r="AR29" s="47">
        <v>24314</v>
      </c>
      <c r="AS29" s="47">
        <v>45638</v>
      </c>
      <c r="AT29" s="14" t="s">
        <v>1241</v>
      </c>
      <c r="AU29" s="14" t="s">
        <v>1241</v>
      </c>
      <c r="AV29" s="14" t="s">
        <v>1241</v>
      </c>
      <c r="AW29" s="14" t="s">
        <v>1241</v>
      </c>
      <c r="AX29" s="14" t="s">
        <v>1535</v>
      </c>
      <c r="AY29" s="14" t="s">
        <v>1273</v>
      </c>
      <c r="AZ29" s="14" t="s">
        <v>1274</v>
      </c>
      <c r="BA29" s="14" t="s">
        <v>1275</v>
      </c>
      <c r="BB29" s="14" t="s">
        <v>1290</v>
      </c>
      <c r="BC29" s="14" t="s">
        <v>1276</v>
      </c>
      <c r="BD29" s="14" t="s">
        <v>1241</v>
      </c>
      <c r="BE29" s="14" t="s">
        <v>1241</v>
      </c>
      <c r="BF29" s="14" t="s">
        <v>1523</v>
      </c>
      <c r="BG29" s="14" t="s">
        <v>1241</v>
      </c>
      <c r="BH29" s="14" t="s">
        <v>1241</v>
      </c>
      <c r="BI29" s="14" t="s">
        <v>1524</v>
      </c>
      <c r="BJ29" s="14" t="s">
        <v>1252</v>
      </c>
      <c r="BK29" s="47">
        <v>46133</v>
      </c>
      <c r="BL29" s="14" t="s">
        <v>1536</v>
      </c>
      <c r="BM29" s="14" t="s">
        <v>1280</v>
      </c>
      <c r="BN29" s="14" t="s">
        <v>1537</v>
      </c>
      <c r="BO29" s="14" t="s">
        <v>1538</v>
      </c>
      <c r="BP29" s="14" t="s">
        <v>1539</v>
      </c>
      <c r="BQ29" s="14" t="s">
        <v>1540</v>
      </c>
      <c r="BR29" s="14" t="s">
        <v>1241</v>
      </c>
      <c r="BS29" s="14" t="s">
        <v>1241</v>
      </c>
      <c r="BT29" s="14" t="s">
        <v>1541</v>
      </c>
      <c r="BU29" s="14" t="s">
        <v>1259</v>
      </c>
      <c r="BV29" s="14" t="s">
        <v>1260</v>
      </c>
      <c r="BW29" s="14" t="s">
        <v>1261</v>
      </c>
      <c r="BX29" s="43" t="s">
        <v>42</v>
      </c>
      <c r="BY29" s="43" t="s">
        <v>42</v>
      </c>
      <c r="BZ29" s="43" t="s">
        <v>42</v>
      </c>
      <c r="CA29" s="43" t="s">
        <v>42</v>
      </c>
      <c r="CB29" s="14" t="s">
        <v>1282</v>
      </c>
      <c r="CC29" s="14" t="s">
        <v>872</v>
      </c>
      <c r="CD29" s="14" t="s">
        <v>1542</v>
      </c>
      <c r="CE29" s="14" t="s">
        <v>1543</v>
      </c>
      <c r="CF29" s="14" t="s">
        <v>1147</v>
      </c>
      <c r="CG29" s="14" t="s">
        <v>1155</v>
      </c>
      <c r="CH29" s="49">
        <v>1750906</v>
      </c>
      <c r="CI29" s="50">
        <f>IFERROR((CH29/30),0)</f>
        <v>58363.533333333333</v>
      </c>
      <c r="CJ29" s="14">
        <v>0</v>
      </c>
      <c r="CK29" s="14">
        <v>0</v>
      </c>
      <c r="CL29" s="14">
        <v>0</v>
      </c>
      <c r="CM29" s="14">
        <v>2</v>
      </c>
      <c r="CN29" s="14">
        <v>0</v>
      </c>
      <c r="CO29" s="50" t="s">
        <v>1514</v>
      </c>
      <c r="CP29" s="14">
        <v>0</v>
      </c>
      <c r="CQ29" s="14">
        <v>0</v>
      </c>
      <c r="CR29" s="14">
        <v>0</v>
      </c>
      <c r="CS29" s="49">
        <v>0</v>
      </c>
      <c r="CT29" s="49">
        <f>IFERROR((CN29+CO29+CP29+CQ29+CR29+CS29),0)</f>
        <v>0</v>
      </c>
      <c r="CU29" s="14" t="s">
        <v>1266</v>
      </c>
      <c r="CV29" s="47">
        <v>46147</v>
      </c>
      <c r="CW29" s="14" t="s">
        <v>1544</v>
      </c>
      <c r="CX29" s="14" t="s">
        <v>42</v>
      </c>
      <c r="CY29" s="14" t="s">
        <v>42</v>
      </c>
      <c r="CZ29" s="14" t="s">
        <v>42</v>
      </c>
      <c r="DA29" s="14" t="s">
        <v>42</v>
      </c>
      <c r="DB29" s="14" t="s">
        <v>1268</v>
      </c>
      <c r="DC29" s="47">
        <v>46147</v>
      </c>
      <c r="DD29" s="14" t="s">
        <v>1269</v>
      </c>
      <c r="DE29" s="47">
        <v>46164</v>
      </c>
      <c r="DF29" s="14" t="s">
        <v>1285</v>
      </c>
      <c r="DG29" s="47">
        <v>46172</v>
      </c>
    </row>
    <row r="30" spans="1:125" ht="136.5" customHeight="1">
      <c r="A30" s="13">
        <v>46135</v>
      </c>
      <c r="B30" s="13">
        <v>46135</v>
      </c>
      <c r="C30" s="54" t="s">
        <v>76</v>
      </c>
      <c r="D30" s="54" t="s">
        <v>228</v>
      </c>
      <c r="E30" s="47">
        <v>46135</v>
      </c>
      <c r="F30" s="54" t="s">
        <v>1545</v>
      </c>
      <c r="G30" s="54" t="s">
        <v>1546</v>
      </c>
      <c r="H30" s="54" t="s">
        <v>51</v>
      </c>
      <c r="I30" s="54" t="s">
        <v>1547</v>
      </c>
      <c r="J30" s="55" t="s">
        <v>42</v>
      </c>
      <c r="K30" s="54" t="s">
        <v>1548</v>
      </c>
      <c r="L30" s="55" t="s">
        <v>1549</v>
      </c>
      <c r="M30" s="55" t="s">
        <v>1550</v>
      </c>
      <c r="N30" s="54" t="s">
        <v>56</v>
      </c>
      <c r="O30" s="54" t="s">
        <v>71</v>
      </c>
      <c r="P30" s="54" t="s">
        <v>41</v>
      </c>
      <c r="Q30" s="54" t="s">
        <v>42</v>
      </c>
      <c r="R30" s="55" t="s">
        <v>42</v>
      </c>
      <c r="S30" s="55" t="s">
        <v>42</v>
      </c>
      <c r="T30" s="54" t="s">
        <v>1551</v>
      </c>
      <c r="U30" s="54" t="s">
        <v>44</v>
      </c>
      <c r="V30" s="54" t="s">
        <v>44</v>
      </c>
      <c r="W30" s="54" t="s">
        <v>44</v>
      </c>
      <c r="X30" s="54" t="s">
        <v>44</v>
      </c>
      <c r="Y30" s="54" t="s">
        <v>1552</v>
      </c>
      <c r="Z30" s="54" t="s">
        <v>42</v>
      </c>
      <c r="AA30" s="54" t="s">
        <v>45</v>
      </c>
      <c r="AB30" s="57" t="s">
        <v>969</v>
      </c>
      <c r="AC30" s="47">
        <v>46135</v>
      </c>
      <c r="AD30" s="14" t="s">
        <v>1553</v>
      </c>
      <c r="AE30" s="43" t="s">
        <v>1240</v>
      </c>
      <c r="AF30" s="43" t="s">
        <v>1240</v>
      </c>
      <c r="AG30" s="43" t="s">
        <v>1240</v>
      </c>
      <c r="AH30" s="43" t="s">
        <v>1240</v>
      </c>
      <c r="AI30" s="43" t="s">
        <v>1241</v>
      </c>
      <c r="AJ30" s="43" t="s">
        <v>1240</v>
      </c>
      <c r="AK30" s="43" t="s">
        <v>44</v>
      </c>
      <c r="AL30" s="43" t="s">
        <v>44</v>
      </c>
      <c r="AM30" s="48" t="s">
        <v>44</v>
      </c>
      <c r="AN30" s="14" t="s">
        <v>42</v>
      </c>
      <c r="AO30" s="14">
        <v>2</v>
      </c>
      <c r="AP30" s="14" t="s">
        <v>1554</v>
      </c>
      <c r="AQ30" s="14" t="s">
        <v>1243</v>
      </c>
      <c r="AR30" s="47">
        <v>24965</v>
      </c>
      <c r="AS30" s="47">
        <v>45965</v>
      </c>
      <c r="AT30" s="14" t="s">
        <v>1241</v>
      </c>
      <c r="AU30" s="14" t="s">
        <v>1241</v>
      </c>
      <c r="AV30" s="14" t="s">
        <v>1241</v>
      </c>
      <c r="AW30" s="14" t="s">
        <v>1241</v>
      </c>
      <c r="AX30" s="14" t="s">
        <v>1555</v>
      </c>
      <c r="AY30" s="14" t="s">
        <v>1273</v>
      </c>
      <c r="AZ30" s="14" t="s">
        <v>1274</v>
      </c>
      <c r="BA30" s="14" t="s">
        <v>1275</v>
      </c>
      <c r="BB30" s="14" t="s">
        <v>1290</v>
      </c>
      <c r="BC30" s="14" t="s">
        <v>1276</v>
      </c>
      <c r="BD30" s="14" t="s">
        <v>1241</v>
      </c>
      <c r="BE30" s="14" t="s">
        <v>1241</v>
      </c>
      <c r="BF30" s="14" t="s">
        <v>1523</v>
      </c>
      <c r="BG30" s="14" t="s">
        <v>1241</v>
      </c>
      <c r="BH30" s="14" t="s">
        <v>1241</v>
      </c>
      <c r="BI30" s="14" t="s">
        <v>1524</v>
      </c>
      <c r="BJ30" s="14" t="s">
        <v>1252</v>
      </c>
      <c r="BK30" s="47">
        <v>46135</v>
      </c>
      <c r="BL30" s="14" t="s">
        <v>1556</v>
      </c>
      <c r="BM30" s="14" t="s">
        <v>1253</v>
      </c>
      <c r="BN30" s="14" t="s">
        <v>1254</v>
      </c>
      <c r="BO30" s="14" t="s">
        <v>1557</v>
      </c>
      <c r="BP30" s="14" t="s">
        <v>1558</v>
      </c>
      <c r="BQ30" s="14" t="s">
        <v>1559</v>
      </c>
      <c r="BR30" s="14" t="s">
        <v>1241</v>
      </c>
      <c r="BS30" s="14" t="s">
        <v>1241</v>
      </c>
      <c r="BT30" s="14" t="s">
        <v>1560</v>
      </c>
      <c r="BU30" s="14" t="s">
        <v>1259</v>
      </c>
      <c r="BV30" s="14" t="s">
        <v>1260</v>
      </c>
      <c r="BW30" s="14" t="s">
        <v>1261</v>
      </c>
      <c r="BX30" s="43" t="s">
        <v>42</v>
      </c>
      <c r="BY30" s="43" t="s">
        <v>42</v>
      </c>
      <c r="BZ30" s="43" t="s">
        <v>42</v>
      </c>
      <c r="CA30" s="43" t="s">
        <v>42</v>
      </c>
      <c r="CB30" s="14" t="s">
        <v>1472</v>
      </c>
      <c r="CC30" s="14" t="s">
        <v>1263</v>
      </c>
      <c r="CD30" s="14" t="s">
        <v>1561</v>
      </c>
      <c r="CE30" s="14" t="s">
        <v>1562</v>
      </c>
      <c r="CF30" s="14" t="s">
        <v>1147</v>
      </c>
      <c r="CG30" s="14" t="s">
        <v>1563</v>
      </c>
      <c r="CH30" s="49">
        <v>1750906</v>
      </c>
      <c r="CI30" s="50">
        <f>IFERROR((CH30/30),0)</f>
        <v>58363.533333333333</v>
      </c>
      <c r="CJ30" s="14">
        <v>0</v>
      </c>
      <c r="CK30" s="14">
        <v>0</v>
      </c>
      <c r="CL30" s="14">
        <v>0</v>
      </c>
      <c r="CM30" s="14">
        <v>2</v>
      </c>
      <c r="CN30" s="14">
        <v>0</v>
      </c>
      <c r="CO30" s="50" t="s">
        <v>1514</v>
      </c>
      <c r="CP30" s="14">
        <v>0</v>
      </c>
      <c r="CQ30" s="14">
        <v>0</v>
      </c>
      <c r="CR30" s="14">
        <v>0</v>
      </c>
      <c r="CS30" s="49">
        <v>0</v>
      </c>
      <c r="CT30" s="49">
        <f>IFERROR((CN30+CO30+CP30+CQ30+CR30+CS30),0)</f>
        <v>0</v>
      </c>
      <c r="CU30" s="14" t="s">
        <v>1266</v>
      </c>
      <c r="CV30" s="47">
        <v>46136</v>
      </c>
      <c r="CW30" s="14" t="s">
        <v>1564</v>
      </c>
      <c r="CX30" s="14" t="s">
        <v>42</v>
      </c>
      <c r="CY30" s="14" t="s">
        <v>42</v>
      </c>
      <c r="CZ30" s="14" t="s">
        <v>42</v>
      </c>
      <c r="DA30" s="14" t="s">
        <v>42</v>
      </c>
      <c r="DB30" s="14" t="s">
        <v>1268</v>
      </c>
      <c r="DC30" s="47">
        <v>46136</v>
      </c>
      <c r="DD30" s="14" t="s">
        <v>1269</v>
      </c>
      <c r="DE30" s="47">
        <v>46164</v>
      </c>
      <c r="DF30" s="14" t="s">
        <v>1285</v>
      </c>
      <c r="DG30" s="47">
        <v>46172</v>
      </c>
    </row>
    <row r="31" spans="1:125" ht="136.5" customHeight="1">
      <c r="A31" s="13">
        <v>46147.682152777801</v>
      </c>
      <c r="B31" s="13">
        <v>46147.711412037002</v>
      </c>
      <c r="C31" s="54" t="s">
        <v>76</v>
      </c>
      <c r="D31" s="54" t="s">
        <v>293</v>
      </c>
      <c r="E31" s="47">
        <v>46147</v>
      </c>
      <c r="F31" s="54" t="s">
        <v>974</v>
      </c>
      <c r="G31" s="54" t="s">
        <v>975</v>
      </c>
      <c r="H31" s="54" t="s">
        <v>51</v>
      </c>
      <c r="I31" s="54" t="s">
        <v>134</v>
      </c>
      <c r="J31" s="55" t="s">
        <v>42</v>
      </c>
      <c r="K31" s="54" t="s">
        <v>976</v>
      </c>
      <c r="L31" s="55" t="s">
        <v>357</v>
      </c>
      <c r="M31" s="55" t="s">
        <v>358</v>
      </c>
      <c r="N31" s="54" t="s">
        <v>139</v>
      </c>
      <c r="O31" s="54" t="s">
        <v>40</v>
      </c>
      <c r="P31" s="54" t="s">
        <v>41</v>
      </c>
      <c r="Q31" s="54" t="s">
        <v>42</v>
      </c>
      <c r="R31" s="55" t="s">
        <v>42</v>
      </c>
      <c r="S31" s="55" t="s">
        <v>42</v>
      </c>
      <c r="T31" s="54" t="s">
        <v>977</v>
      </c>
      <c r="U31" s="54" t="s">
        <v>44</v>
      </c>
      <c r="V31" s="54" t="s">
        <v>44</v>
      </c>
      <c r="W31" s="54" t="s">
        <v>44</v>
      </c>
      <c r="X31" s="54" t="s">
        <v>44</v>
      </c>
      <c r="Y31" s="54" t="s">
        <v>44</v>
      </c>
      <c r="Z31" s="54" t="s">
        <v>978</v>
      </c>
      <c r="AA31" s="54" t="s">
        <v>45</v>
      </c>
      <c r="AB31" s="57" t="s">
        <v>969</v>
      </c>
      <c r="AC31" s="47">
        <v>46162</v>
      </c>
      <c r="AD31" s="14" t="s">
        <v>1565</v>
      </c>
      <c r="AE31" s="43" t="s">
        <v>1240</v>
      </c>
      <c r="AF31" s="43" t="s">
        <v>1240</v>
      </c>
      <c r="AG31" s="43" t="s">
        <v>1240</v>
      </c>
      <c r="AH31" s="43" t="s">
        <v>1240</v>
      </c>
      <c r="AI31" s="43" t="s">
        <v>1241</v>
      </c>
      <c r="AJ31" s="43" t="s">
        <v>1240</v>
      </c>
      <c r="AK31" s="43" t="s">
        <v>44</v>
      </c>
      <c r="AL31" s="43" t="s">
        <v>44</v>
      </c>
      <c r="AM31" s="48" t="s">
        <v>44</v>
      </c>
      <c r="AN31" s="14" t="s">
        <v>42</v>
      </c>
      <c r="AO31" s="14">
        <v>3</v>
      </c>
      <c r="AP31" s="14" t="s">
        <v>1566</v>
      </c>
      <c r="AQ31" s="14" t="s">
        <v>1243</v>
      </c>
      <c r="AR31" s="47">
        <v>31911</v>
      </c>
      <c r="AS31" s="47">
        <v>44090</v>
      </c>
      <c r="AT31" s="14" t="s">
        <v>1241</v>
      </c>
      <c r="AU31" s="14" t="s">
        <v>1241</v>
      </c>
      <c r="AV31" s="14" t="s">
        <v>1241</v>
      </c>
      <c r="AW31" s="14" t="s">
        <v>1241</v>
      </c>
      <c r="AX31" s="14" t="s">
        <v>1567</v>
      </c>
      <c r="AY31" s="14" t="s">
        <v>1273</v>
      </c>
      <c r="AZ31" s="14" t="s">
        <v>1274</v>
      </c>
      <c r="BA31" s="14" t="s">
        <v>1275</v>
      </c>
      <c r="BB31" s="14" t="s">
        <v>1290</v>
      </c>
      <c r="BC31" s="14" t="s">
        <v>1276</v>
      </c>
      <c r="BD31" s="14" t="s">
        <v>1241</v>
      </c>
      <c r="BE31" s="14" t="s">
        <v>1241</v>
      </c>
      <c r="BF31" s="14" t="s">
        <v>1523</v>
      </c>
      <c r="BG31" s="14" t="s">
        <v>1241</v>
      </c>
      <c r="BH31" s="14" t="s">
        <v>1241</v>
      </c>
      <c r="BI31" s="14" t="s">
        <v>1524</v>
      </c>
      <c r="BJ31" s="14" t="s">
        <v>1252</v>
      </c>
      <c r="BK31" s="47">
        <v>46147</v>
      </c>
      <c r="BL31" s="14" t="s">
        <v>1568</v>
      </c>
      <c r="BM31" s="14" t="s">
        <v>1280</v>
      </c>
      <c r="BN31" s="14" t="s">
        <v>1254</v>
      </c>
      <c r="BO31" s="14" t="s">
        <v>1569</v>
      </c>
      <c r="BP31" s="14" t="s">
        <v>1398</v>
      </c>
      <c r="BQ31" s="14" t="s">
        <v>1570</v>
      </c>
      <c r="BR31" s="14" t="s">
        <v>1241</v>
      </c>
      <c r="BS31" s="14" t="s">
        <v>1241</v>
      </c>
      <c r="BT31" s="14" t="s">
        <v>1571</v>
      </c>
      <c r="BU31" s="14" t="s">
        <v>1259</v>
      </c>
      <c r="BV31" s="14" t="s">
        <v>1260</v>
      </c>
      <c r="BW31" s="14" t="s">
        <v>1261</v>
      </c>
      <c r="BX31" s="43" t="s">
        <v>42</v>
      </c>
      <c r="BY31" s="43" t="s">
        <v>42</v>
      </c>
      <c r="BZ31" s="43" t="s">
        <v>42</v>
      </c>
      <c r="CA31" s="43" t="s">
        <v>42</v>
      </c>
      <c r="CB31" s="14" t="s">
        <v>1282</v>
      </c>
      <c r="CC31" s="14" t="s">
        <v>872</v>
      </c>
      <c r="CD31" s="14" t="s">
        <v>1572</v>
      </c>
      <c r="CE31" s="14" t="s">
        <v>1573</v>
      </c>
      <c r="CF31" s="14" t="s">
        <v>1147</v>
      </c>
      <c r="CG31" s="14" t="s">
        <v>1155</v>
      </c>
      <c r="CH31" s="49">
        <v>1750906</v>
      </c>
      <c r="CI31" s="50">
        <f>IFERROR((CH31/30),0)</f>
        <v>58363.533333333333</v>
      </c>
      <c r="CJ31" s="14">
        <v>0</v>
      </c>
      <c r="CK31" s="14">
        <v>0</v>
      </c>
      <c r="CL31" s="14">
        <v>0</v>
      </c>
      <c r="CM31" s="14">
        <v>0</v>
      </c>
      <c r="CN31" s="14">
        <v>0</v>
      </c>
      <c r="CO31" s="50">
        <v>0</v>
      </c>
      <c r="CP31" s="14">
        <v>0</v>
      </c>
      <c r="CQ31" s="14">
        <v>0</v>
      </c>
      <c r="CR31" s="14">
        <v>0</v>
      </c>
      <c r="CS31" s="49">
        <v>0</v>
      </c>
      <c r="CT31" s="49">
        <f>IFERROR((CN31+CO31+CP31+CQ31+CR31+CS31),0)</f>
        <v>0</v>
      </c>
      <c r="CU31" s="14" t="s">
        <v>1266</v>
      </c>
      <c r="CV31" s="47">
        <v>46162</v>
      </c>
      <c r="CW31" s="14" t="s">
        <v>1574</v>
      </c>
      <c r="CX31" s="14" t="s">
        <v>42</v>
      </c>
      <c r="CY31" s="14" t="s">
        <v>42</v>
      </c>
      <c r="CZ31" s="14" t="s">
        <v>42</v>
      </c>
      <c r="DA31" s="14" t="s">
        <v>42</v>
      </c>
      <c r="DB31" s="14" t="s">
        <v>1268</v>
      </c>
      <c r="DC31" s="47">
        <v>46162</v>
      </c>
      <c r="DD31" s="14" t="s">
        <v>1269</v>
      </c>
      <c r="DE31" s="47">
        <v>46192</v>
      </c>
      <c r="DF31" s="11" t="s">
        <v>1575</v>
      </c>
      <c r="DG31" s="47">
        <v>46196</v>
      </c>
    </row>
    <row r="32" spans="1:125" ht="136.5" customHeight="1">
      <c r="A32" s="13">
        <v>46154.305648148104</v>
      </c>
      <c r="B32" s="13">
        <v>46154.307673611103</v>
      </c>
      <c r="C32" s="54" t="s">
        <v>76</v>
      </c>
      <c r="D32" s="54" t="s">
        <v>196</v>
      </c>
      <c r="E32" s="47">
        <v>46153</v>
      </c>
      <c r="F32" s="54" t="s">
        <v>979</v>
      </c>
      <c r="G32" s="54" t="s">
        <v>980</v>
      </c>
      <c r="H32" s="54" t="s">
        <v>363</v>
      </c>
      <c r="I32" s="54" t="s">
        <v>134</v>
      </c>
      <c r="J32" s="55" t="s">
        <v>981</v>
      </c>
      <c r="K32" s="54" t="s">
        <v>982</v>
      </c>
      <c r="L32" s="55" t="s">
        <v>983</v>
      </c>
      <c r="M32" s="55" t="s">
        <v>984</v>
      </c>
      <c r="N32" s="54" t="s">
        <v>56</v>
      </c>
      <c r="O32" s="54" t="s">
        <v>71</v>
      </c>
      <c r="P32" s="54" t="s">
        <v>41</v>
      </c>
      <c r="Q32" s="54" t="s">
        <v>42</v>
      </c>
      <c r="R32" s="55" t="s">
        <v>42</v>
      </c>
      <c r="S32" s="55" t="s">
        <v>42</v>
      </c>
      <c r="T32" s="54" t="s">
        <v>985</v>
      </c>
      <c r="U32" s="54" t="s">
        <v>44</v>
      </c>
      <c r="V32" s="54" t="s">
        <v>44</v>
      </c>
      <c r="W32" s="54" t="s">
        <v>45</v>
      </c>
      <c r="X32" s="54" t="s">
        <v>44</v>
      </c>
      <c r="Y32" s="54" t="s">
        <v>44</v>
      </c>
      <c r="Z32" s="54" t="s">
        <v>986</v>
      </c>
      <c r="AA32" s="54" t="s">
        <v>45</v>
      </c>
      <c r="AB32" s="57" t="s">
        <v>987</v>
      </c>
      <c r="AC32" s="47">
        <v>46193</v>
      </c>
      <c r="AD32" s="14" t="s">
        <v>1576</v>
      </c>
      <c r="AE32" s="43" t="s">
        <v>1240</v>
      </c>
      <c r="AF32" s="43" t="s">
        <v>1240</v>
      </c>
      <c r="AG32" s="43" t="s">
        <v>1240</v>
      </c>
      <c r="AH32" s="43" t="s">
        <v>1240</v>
      </c>
      <c r="AI32" s="43" t="s">
        <v>1241</v>
      </c>
      <c r="AJ32" s="43" t="s">
        <v>1240</v>
      </c>
      <c r="AK32" s="43" t="s">
        <v>44</v>
      </c>
      <c r="AL32" s="43" t="s">
        <v>44</v>
      </c>
      <c r="AM32" s="48" t="s">
        <v>44</v>
      </c>
      <c r="AN32" s="14" t="s">
        <v>42</v>
      </c>
      <c r="AO32" s="14">
        <v>2</v>
      </c>
      <c r="AP32" s="14" t="s">
        <v>1577</v>
      </c>
      <c r="AQ32" s="14" t="s">
        <v>1243</v>
      </c>
      <c r="AR32" s="47">
        <v>38737</v>
      </c>
      <c r="AS32" s="47">
        <v>45957</v>
      </c>
      <c r="AT32" s="14" t="s">
        <v>1241</v>
      </c>
      <c r="AU32" s="14" t="s">
        <v>1241</v>
      </c>
      <c r="AV32" s="14" t="s">
        <v>1241</v>
      </c>
      <c r="AW32" s="14" t="s">
        <v>1241</v>
      </c>
      <c r="AX32" s="14" t="s">
        <v>1578</v>
      </c>
      <c r="AY32" s="14" t="s">
        <v>1273</v>
      </c>
      <c r="AZ32" s="14" t="s">
        <v>1274</v>
      </c>
      <c r="BA32" s="14" t="s">
        <v>1275</v>
      </c>
      <c r="BB32" s="14" t="s">
        <v>1290</v>
      </c>
      <c r="BC32" s="14" t="s">
        <v>1276</v>
      </c>
      <c r="BD32" s="14" t="s">
        <v>1241</v>
      </c>
      <c r="BE32" s="14" t="s">
        <v>1241</v>
      </c>
      <c r="BF32" s="14" t="s">
        <v>1579</v>
      </c>
      <c r="BG32" s="14" t="s">
        <v>1241</v>
      </c>
      <c r="BH32" s="14" t="s">
        <v>1241</v>
      </c>
      <c r="BI32" s="14" t="s">
        <v>1524</v>
      </c>
      <c r="BJ32" s="14" t="s">
        <v>1252</v>
      </c>
      <c r="BK32" s="47">
        <v>46153</v>
      </c>
      <c r="BL32" s="14" t="s">
        <v>1580</v>
      </c>
      <c r="BM32" s="14" t="s">
        <v>1324</v>
      </c>
      <c r="BN32" s="14" t="s">
        <v>1537</v>
      </c>
      <c r="BO32" s="14" t="s">
        <v>1570</v>
      </c>
      <c r="BP32" s="14" t="s">
        <v>1570</v>
      </c>
      <c r="BQ32" s="14" t="s">
        <v>1581</v>
      </c>
      <c r="BR32" s="14" t="s">
        <v>1241</v>
      </c>
      <c r="BS32" s="14" t="s">
        <v>1241</v>
      </c>
      <c r="BT32" s="14" t="s">
        <v>1582</v>
      </c>
      <c r="BU32" s="14" t="s">
        <v>1259</v>
      </c>
      <c r="BV32" s="14" t="s">
        <v>1260</v>
      </c>
      <c r="BW32" s="14" t="s">
        <v>1261</v>
      </c>
      <c r="BX32" s="43" t="s">
        <v>42</v>
      </c>
      <c r="BY32" s="43" t="s">
        <v>42</v>
      </c>
      <c r="BZ32" s="43" t="s">
        <v>42</v>
      </c>
      <c r="CA32" s="43" t="s">
        <v>42</v>
      </c>
      <c r="CB32" s="14" t="s">
        <v>1282</v>
      </c>
      <c r="CC32" s="14" t="s">
        <v>872</v>
      </c>
      <c r="CD32" s="14" t="s">
        <v>1583</v>
      </c>
      <c r="CE32" s="14" t="s">
        <v>1584</v>
      </c>
      <c r="CF32" s="14" t="s">
        <v>1147</v>
      </c>
      <c r="CG32" s="14" t="s">
        <v>1155</v>
      </c>
      <c r="CH32" s="49">
        <v>1750906</v>
      </c>
      <c r="CI32" s="50">
        <f>IFERROR((CH32/30),0)</f>
        <v>58363.533333333333</v>
      </c>
      <c r="CJ32" s="14">
        <v>0</v>
      </c>
      <c r="CK32" s="14">
        <v>0</v>
      </c>
      <c r="CL32" s="14">
        <v>0</v>
      </c>
      <c r="CM32" s="14">
        <v>0</v>
      </c>
      <c r="CN32" s="14">
        <v>0</v>
      </c>
      <c r="CO32" s="50">
        <v>0</v>
      </c>
      <c r="CP32" s="14">
        <v>0</v>
      </c>
      <c r="CQ32" s="14">
        <v>0</v>
      </c>
      <c r="CR32" s="14">
        <v>0</v>
      </c>
      <c r="CS32" s="49">
        <v>0</v>
      </c>
      <c r="CT32" s="49">
        <f>IFERROR((CN32+CO32+CP32+CQ32+CR32+CS32),0)</f>
        <v>0</v>
      </c>
      <c r="CU32" s="14" t="s">
        <v>1266</v>
      </c>
      <c r="CV32" s="47">
        <v>46195</v>
      </c>
      <c r="CW32" s="14" t="s">
        <v>1585</v>
      </c>
      <c r="CX32" s="14" t="s">
        <v>42</v>
      </c>
      <c r="CY32" s="14" t="s">
        <v>42</v>
      </c>
      <c r="CZ32" s="14" t="s">
        <v>42</v>
      </c>
      <c r="DA32" s="14" t="s">
        <v>42</v>
      </c>
      <c r="DB32" s="14" t="s">
        <v>1268</v>
      </c>
      <c r="DC32" s="47">
        <v>46193</v>
      </c>
      <c r="DD32" s="14" t="s">
        <v>1586</v>
      </c>
      <c r="DE32" s="47">
        <v>46225</v>
      </c>
      <c r="DF32" s="14" t="s">
        <v>1587</v>
      </c>
      <c r="DG32" s="47">
        <v>46203</v>
      </c>
    </row>
    <row r="33" spans="1:111" ht="136.5" customHeight="1">
      <c r="A33" s="13">
        <v>46156.323842592603</v>
      </c>
      <c r="B33" s="13">
        <v>46156.340405092596</v>
      </c>
      <c r="C33" s="54" t="s">
        <v>76</v>
      </c>
      <c r="D33" s="54" t="s">
        <v>988</v>
      </c>
      <c r="E33" s="47">
        <v>46156</v>
      </c>
      <c r="F33" s="54" t="s">
        <v>989</v>
      </c>
      <c r="G33" s="54" t="s">
        <v>990</v>
      </c>
      <c r="H33" s="54" t="s">
        <v>168</v>
      </c>
      <c r="I33" s="54" t="s">
        <v>134</v>
      </c>
      <c r="J33" s="55" t="s">
        <v>88</v>
      </c>
      <c r="K33" s="54" t="s">
        <v>991</v>
      </c>
      <c r="L33" s="55" t="s">
        <v>992</v>
      </c>
      <c r="M33" s="55" t="s">
        <v>993</v>
      </c>
      <c r="N33" s="54" t="s">
        <v>139</v>
      </c>
      <c r="O33" s="54" t="s">
        <v>71</v>
      </c>
      <c r="P33" s="54" t="s">
        <v>58</v>
      </c>
      <c r="Q33" s="54" t="s">
        <v>42</v>
      </c>
      <c r="R33" s="55" t="s">
        <v>42</v>
      </c>
      <c r="S33" s="55" t="s">
        <v>42</v>
      </c>
      <c r="T33" s="54" t="s">
        <v>994</v>
      </c>
      <c r="U33" s="54" t="s">
        <v>45</v>
      </c>
      <c r="V33" s="54" t="s">
        <v>45</v>
      </c>
      <c r="W33" s="54" t="s">
        <v>44</v>
      </c>
      <c r="X33" s="54" t="s">
        <v>44</v>
      </c>
      <c r="Y33" s="54" t="s">
        <v>45</v>
      </c>
      <c r="Z33" s="54" t="s">
        <v>995</v>
      </c>
      <c r="AA33" s="54" t="s">
        <v>45</v>
      </c>
      <c r="AB33" s="56" t="s">
        <v>996</v>
      </c>
      <c r="AC33" s="47">
        <v>46167</v>
      </c>
      <c r="AD33" s="14" t="s">
        <v>1588</v>
      </c>
      <c r="AE33" s="43" t="s">
        <v>1240</v>
      </c>
      <c r="AF33" s="43" t="s">
        <v>1240</v>
      </c>
      <c r="AG33" s="43" t="s">
        <v>1240</v>
      </c>
      <c r="AH33" s="43" t="s">
        <v>1240</v>
      </c>
      <c r="AI33" s="43" t="s">
        <v>1241</v>
      </c>
      <c r="AJ33" s="43" t="s">
        <v>1240</v>
      </c>
      <c r="AK33" s="43" t="s">
        <v>44</v>
      </c>
      <c r="AL33" s="43" t="s">
        <v>44</v>
      </c>
      <c r="AM33" s="48" t="s">
        <v>44</v>
      </c>
      <c r="AN33" s="14" t="s">
        <v>42</v>
      </c>
      <c r="AO33" s="14">
        <v>1</v>
      </c>
      <c r="AP33" s="14" t="s">
        <v>1589</v>
      </c>
      <c r="AQ33" s="14" t="s">
        <v>1243</v>
      </c>
      <c r="AR33" s="14" t="s">
        <v>1590</v>
      </c>
      <c r="AS33" s="47">
        <v>45988</v>
      </c>
      <c r="AT33" s="14" t="s">
        <v>1241</v>
      </c>
      <c r="AU33" s="14" t="s">
        <v>1241</v>
      </c>
      <c r="AV33" s="14" t="s">
        <v>1241</v>
      </c>
      <c r="AW33" s="14" t="s">
        <v>1241</v>
      </c>
      <c r="AX33" s="14" t="s">
        <v>1591</v>
      </c>
      <c r="AY33" s="14" t="s">
        <v>1273</v>
      </c>
      <c r="AZ33" s="14" t="s">
        <v>1274</v>
      </c>
      <c r="BA33" s="14" t="s">
        <v>1275</v>
      </c>
      <c r="BB33" s="14" t="s">
        <v>1290</v>
      </c>
      <c r="BC33" s="14" t="s">
        <v>1276</v>
      </c>
      <c r="BD33" s="14" t="s">
        <v>1241</v>
      </c>
      <c r="BE33" s="14" t="s">
        <v>1241</v>
      </c>
      <c r="BF33" s="14" t="s">
        <v>1523</v>
      </c>
      <c r="BG33" s="14" t="s">
        <v>1241</v>
      </c>
      <c r="BH33" s="14" t="s">
        <v>1241</v>
      </c>
      <c r="BI33" s="14" t="s">
        <v>1422</v>
      </c>
      <c r="BJ33" s="14" t="s">
        <v>1376</v>
      </c>
      <c r="BK33" s="47">
        <v>46156</v>
      </c>
      <c r="BL33" s="14" t="s">
        <v>1592</v>
      </c>
      <c r="BM33" s="14" t="s">
        <v>1253</v>
      </c>
      <c r="BN33" s="14" t="s">
        <v>1537</v>
      </c>
      <c r="BO33" s="14" t="s">
        <v>1398</v>
      </c>
      <c r="BP33" s="14" t="s">
        <v>1558</v>
      </c>
      <c r="BQ33" s="14" t="s">
        <v>1297</v>
      </c>
      <c r="BR33" s="14" t="s">
        <v>1241</v>
      </c>
      <c r="BS33" s="14" t="s">
        <v>1241</v>
      </c>
      <c r="BT33" s="14" t="s">
        <v>1593</v>
      </c>
      <c r="BU33" s="14" t="s">
        <v>1259</v>
      </c>
      <c r="BV33" s="14" t="s">
        <v>1260</v>
      </c>
      <c r="BW33" s="14" t="s">
        <v>1261</v>
      </c>
      <c r="BX33" s="43" t="s">
        <v>42</v>
      </c>
      <c r="BY33" s="43" t="s">
        <v>42</v>
      </c>
      <c r="BZ33" s="43" t="s">
        <v>42</v>
      </c>
      <c r="CA33" s="43" t="s">
        <v>42</v>
      </c>
      <c r="CB33" s="14" t="s">
        <v>1472</v>
      </c>
      <c r="CC33" s="14" t="s">
        <v>1263</v>
      </c>
      <c r="CD33" s="14" t="s">
        <v>1594</v>
      </c>
      <c r="CE33" s="14" t="s">
        <v>1595</v>
      </c>
      <c r="CF33" s="14" t="s">
        <v>1147</v>
      </c>
      <c r="CG33" s="14" t="s">
        <v>1156</v>
      </c>
      <c r="CH33" s="49">
        <v>1750906</v>
      </c>
      <c r="CI33" s="50">
        <f>IFERROR((CH33/30),0)</f>
        <v>58363.533333333333</v>
      </c>
      <c r="CJ33" s="14">
        <v>0</v>
      </c>
      <c r="CK33" s="14">
        <v>0</v>
      </c>
      <c r="CL33" s="14">
        <v>0</v>
      </c>
      <c r="CM33" s="14">
        <v>0</v>
      </c>
      <c r="CN33" s="14">
        <v>0</v>
      </c>
      <c r="CO33" s="50">
        <v>0</v>
      </c>
      <c r="CP33" s="14">
        <v>0</v>
      </c>
      <c r="CQ33" s="49">
        <v>2000000</v>
      </c>
      <c r="CR33" s="14">
        <v>0</v>
      </c>
      <c r="CS33" s="49">
        <v>0</v>
      </c>
      <c r="CT33" s="49">
        <f>IFERROR((CN33+CO33+CP33+CQ33+CR33+CS33),0)</f>
        <v>2000000</v>
      </c>
      <c r="CU33" s="14" t="s">
        <v>1266</v>
      </c>
      <c r="CV33" s="47">
        <v>46168</v>
      </c>
      <c r="CW33" s="14" t="s">
        <v>1596</v>
      </c>
      <c r="CX33" s="14" t="s">
        <v>42</v>
      </c>
      <c r="CY33" s="14" t="s">
        <v>42</v>
      </c>
      <c r="CZ33" s="14" t="s">
        <v>42</v>
      </c>
      <c r="DA33" s="14" t="s">
        <v>42</v>
      </c>
      <c r="DB33" s="14" t="s">
        <v>1268</v>
      </c>
      <c r="DC33" s="47">
        <v>46167</v>
      </c>
      <c r="DD33" s="14" t="s">
        <v>1586</v>
      </c>
      <c r="DE33" s="47">
        <v>46192</v>
      </c>
      <c r="DF33" s="14" t="s">
        <v>1587</v>
      </c>
      <c r="DG33" s="47">
        <v>46192</v>
      </c>
    </row>
    <row r="34" spans="1:111" ht="136.5" customHeight="1">
      <c r="A34" s="13">
        <v>46161.6323611111</v>
      </c>
      <c r="B34" s="13">
        <v>46162.547939814802</v>
      </c>
      <c r="C34" s="54" t="s">
        <v>76</v>
      </c>
      <c r="D34" s="54" t="s">
        <v>271</v>
      </c>
      <c r="E34" s="47">
        <v>46158</v>
      </c>
      <c r="F34" s="54" t="s">
        <v>997</v>
      </c>
      <c r="G34" s="54" t="s">
        <v>998</v>
      </c>
      <c r="H34" s="54" t="s">
        <v>465</v>
      </c>
      <c r="I34" s="54" t="s">
        <v>134</v>
      </c>
      <c r="J34" s="55" t="s">
        <v>42</v>
      </c>
      <c r="K34" s="54" t="s">
        <v>999</v>
      </c>
      <c r="L34" s="55" t="s">
        <v>1000</v>
      </c>
      <c r="M34" s="55" t="s">
        <v>1001</v>
      </c>
      <c r="N34" s="54" t="s">
        <v>139</v>
      </c>
      <c r="O34" s="54" t="s">
        <v>71</v>
      </c>
      <c r="P34" s="54" t="s">
        <v>41</v>
      </c>
      <c r="Q34" s="54" t="s">
        <v>42</v>
      </c>
      <c r="R34" s="55" t="s">
        <v>42</v>
      </c>
      <c r="S34" s="55" t="s">
        <v>42</v>
      </c>
      <c r="T34" s="54" t="s">
        <v>1002</v>
      </c>
      <c r="U34" s="54" t="s">
        <v>44</v>
      </c>
      <c r="V34" s="54" t="s">
        <v>44</v>
      </c>
      <c r="W34" s="54" t="s">
        <v>45</v>
      </c>
      <c r="X34" s="54" t="s">
        <v>44</v>
      </c>
      <c r="Y34" s="54" t="s">
        <v>44</v>
      </c>
      <c r="Z34" s="54" t="s">
        <v>1003</v>
      </c>
      <c r="AA34" s="54" t="s">
        <v>45</v>
      </c>
      <c r="AB34" s="56" t="s">
        <v>1004</v>
      </c>
      <c r="AC34" s="47">
        <v>46168</v>
      </c>
      <c r="AD34" s="14" t="s">
        <v>1597</v>
      </c>
      <c r="AE34" s="43" t="s">
        <v>1240</v>
      </c>
      <c r="AF34" s="43" t="s">
        <v>1240</v>
      </c>
      <c r="AG34" s="43" t="s">
        <v>1240</v>
      </c>
      <c r="AH34" s="43" t="s">
        <v>1240</v>
      </c>
      <c r="AI34" s="43" t="s">
        <v>1241</v>
      </c>
      <c r="AJ34" s="43" t="s">
        <v>1240</v>
      </c>
      <c r="AK34" s="43" t="s">
        <v>44</v>
      </c>
      <c r="AL34" s="43" t="s">
        <v>44</v>
      </c>
      <c r="AM34" s="48" t="s">
        <v>44</v>
      </c>
      <c r="AN34" s="14" t="s">
        <v>42</v>
      </c>
      <c r="AO34" s="14">
        <v>2</v>
      </c>
      <c r="AP34" s="14" t="s">
        <v>1598</v>
      </c>
      <c r="AQ34" s="14" t="s">
        <v>1243</v>
      </c>
      <c r="AR34" s="47">
        <v>30802</v>
      </c>
      <c r="AS34" s="47">
        <v>45950</v>
      </c>
      <c r="AT34" s="14" t="s">
        <v>1241</v>
      </c>
      <c r="AU34" s="14" t="s">
        <v>1241</v>
      </c>
      <c r="AV34" s="14" t="s">
        <v>1241</v>
      </c>
      <c r="AW34" s="14" t="s">
        <v>1241</v>
      </c>
      <c r="AX34" s="14" t="s">
        <v>1599</v>
      </c>
      <c r="AY34" s="14" t="s">
        <v>1273</v>
      </c>
      <c r="AZ34" s="14" t="s">
        <v>1274</v>
      </c>
      <c r="BA34" s="14" t="s">
        <v>1275</v>
      </c>
      <c r="BB34" s="14" t="s">
        <v>1290</v>
      </c>
      <c r="BC34" s="14" t="s">
        <v>1276</v>
      </c>
      <c r="BD34" s="14" t="s">
        <v>1241</v>
      </c>
      <c r="BE34" s="14" t="s">
        <v>1241</v>
      </c>
      <c r="BF34" s="14" t="s">
        <v>1523</v>
      </c>
      <c r="BG34" s="14" t="s">
        <v>1241</v>
      </c>
      <c r="BH34" s="14" t="s">
        <v>1241</v>
      </c>
      <c r="BI34" s="14" t="s">
        <v>1600</v>
      </c>
      <c r="BJ34" s="14" t="s">
        <v>1279</v>
      </c>
      <c r="BK34" s="47">
        <v>46158</v>
      </c>
      <c r="BL34" s="14" t="s">
        <v>1601</v>
      </c>
      <c r="BM34" s="14" t="s">
        <v>1429</v>
      </c>
      <c r="BN34" s="14" t="s">
        <v>1254</v>
      </c>
      <c r="BO34" s="14" t="s">
        <v>1602</v>
      </c>
      <c r="BP34" s="14" t="s">
        <v>1603</v>
      </c>
      <c r="BQ34" s="14" t="s">
        <v>1378</v>
      </c>
      <c r="BR34" s="14" t="s">
        <v>1241</v>
      </c>
      <c r="BS34" s="14" t="s">
        <v>1241</v>
      </c>
      <c r="BT34" s="14" t="s">
        <v>1604</v>
      </c>
      <c r="BU34" s="14" t="s">
        <v>1259</v>
      </c>
      <c r="BV34" s="14" t="s">
        <v>1260</v>
      </c>
      <c r="BW34" s="14" t="s">
        <v>1261</v>
      </c>
      <c r="BX34" s="43" t="s">
        <v>42</v>
      </c>
      <c r="BY34" s="43" t="s">
        <v>42</v>
      </c>
      <c r="BZ34" s="43" t="s">
        <v>42</v>
      </c>
      <c r="CA34" s="43" t="s">
        <v>42</v>
      </c>
      <c r="CB34" s="14" t="s">
        <v>1282</v>
      </c>
      <c r="CC34" s="14" t="s">
        <v>872</v>
      </c>
      <c r="CD34" s="14" t="s">
        <v>1605</v>
      </c>
      <c r="CE34" s="14" t="s">
        <v>1606</v>
      </c>
      <c r="CF34" s="14" t="s">
        <v>1147</v>
      </c>
      <c r="CG34" s="14" t="s">
        <v>1155</v>
      </c>
      <c r="CH34" s="49">
        <v>1750906</v>
      </c>
      <c r="CI34" s="50">
        <f>IFERROR((CH34/30),0)</f>
        <v>58363.533333333333</v>
      </c>
      <c r="CJ34" s="14">
        <v>0</v>
      </c>
      <c r="CK34" s="14">
        <v>0</v>
      </c>
      <c r="CL34" s="14">
        <v>0</v>
      </c>
      <c r="CM34" s="14">
        <v>0</v>
      </c>
      <c r="CN34" s="14">
        <v>0</v>
      </c>
      <c r="CO34" s="50">
        <v>0</v>
      </c>
      <c r="CP34" s="14">
        <v>0</v>
      </c>
      <c r="CQ34" s="14" t="s">
        <v>1607</v>
      </c>
      <c r="CR34" s="14">
        <v>0</v>
      </c>
      <c r="CS34" s="49">
        <v>0</v>
      </c>
      <c r="CT34" s="14" t="s">
        <v>1607</v>
      </c>
      <c r="CU34" s="14" t="s">
        <v>1266</v>
      </c>
      <c r="CV34" s="47">
        <v>46168</v>
      </c>
      <c r="CW34" s="14" t="s">
        <v>1608</v>
      </c>
      <c r="CX34" s="14" t="s">
        <v>42</v>
      </c>
      <c r="CY34" s="14" t="s">
        <v>42</v>
      </c>
      <c r="CZ34" s="14" t="s">
        <v>42</v>
      </c>
      <c r="DA34" s="14" t="s">
        <v>42</v>
      </c>
      <c r="DB34" s="14" t="s">
        <v>1268</v>
      </c>
      <c r="DC34" s="47">
        <v>46148</v>
      </c>
      <c r="DD34" s="14" t="s">
        <v>1586</v>
      </c>
      <c r="DE34" s="47">
        <v>46193</v>
      </c>
      <c r="DF34" s="14" t="s">
        <v>1587</v>
      </c>
      <c r="DG34" s="47">
        <v>46203</v>
      </c>
    </row>
    <row r="35" spans="1:111" ht="136.5" customHeight="1">
      <c r="A35" s="13">
        <v>46162.644872685203</v>
      </c>
      <c r="B35" s="13">
        <v>46163.319155092599</v>
      </c>
      <c r="C35" s="54" t="s">
        <v>76</v>
      </c>
      <c r="D35" s="54" t="s">
        <v>271</v>
      </c>
      <c r="E35" s="47">
        <v>46161</v>
      </c>
      <c r="F35" s="54" t="s">
        <v>1005</v>
      </c>
      <c r="G35" s="54" t="s">
        <v>284</v>
      </c>
      <c r="H35" s="54" t="s">
        <v>1006</v>
      </c>
      <c r="I35" s="54" t="s">
        <v>34</v>
      </c>
      <c r="J35" s="55" t="s">
        <v>42</v>
      </c>
      <c r="K35" s="54" t="s">
        <v>1007</v>
      </c>
      <c r="L35" s="55" t="s">
        <v>1008</v>
      </c>
      <c r="M35" s="55" t="s">
        <v>1009</v>
      </c>
      <c r="N35" s="54" t="s">
        <v>39</v>
      </c>
      <c r="O35" s="54" t="s">
        <v>71</v>
      </c>
      <c r="P35" s="54" t="s">
        <v>41</v>
      </c>
      <c r="Q35" s="54" t="s">
        <v>42</v>
      </c>
      <c r="R35" s="55" t="s">
        <v>42</v>
      </c>
      <c r="S35" s="55" t="s">
        <v>42</v>
      </c>
      <c r="T35" s="54" t="s">
        <v>1010</v>
      </c>
      <c r="U35" s="54" t="s">
        <v>44</v>
      </c>
      <c r="V35" s="54" t="s">
        <v>45</v>
      </c>
      <c r="W35" s="54" t="s">
        <v>45</v>
      </c>
      <c r="X35" s="54" t="s">
        <v>44</v>
      </c>
      <c r="Y35" s="54" t="s">
        <v>45</v>
      </c>
      <c r="Z35" s="54" t="s">
        <v>1011</v>
      </c>
      <c r="AA35" s="54" t="s">
        <v>45</v>
      </c>
      <c r="AB35" s="56" t="s">
        <v>1012</v>
      </c>
      <c r="AC35" s="47">
        <v>46168</v>
      </c>
      <c r="AD35" s="14" t="s">
        <v>1609</v>
      </c>
      <c r="AE35" s="43" t="s">
        <v>1240</v>
      </c>
      <c r="AF35" s="43" t="s">
        <v>1240</v>
      </c>
      <c r="AG35" s="43" t="s">
        <v>1240</v>
      </c>
      <c r="AH35" s="43" t="s">
        <v>1240</v>
      </c>
      <c r="AI35" s="43" t="s">
        <v>1241</v>
      </c>
      <c r="AJ35" s="43" t="s">
        <v>1240</v>
      </c>
      <c r="AK35" s="43" t="s">
        <v>44</v>
      </c>
      <c r="AL35" s="43" t="s">
        <v>44</v>
      </c>
      <c r="AM35" s="48" t="s">
        <v>44</v>
      </c>
      <c r="AN35" s="14" t="s">
        <v>42</v>
      </c>
      <c r="AO35" s="14">
        <v>2</v>
      </c>
      <c r="AP35" s="14" t="s">
        <v>1610</v>
      </c>
      <c r="AQ35" s="14" t="s">
        <v>1243</v>
      </c>
      <c r="AR35" s="47">
        <v>29958</v>
      </c>
      <c r="AS35" s="47">
        <v>45628</v>
      </c>
      <c r="AT35" s="14" t="s">
        <v>1241</v>
      </c>
      <c r="AU35" s="14" t="s">
        <v>1241</v>
      </c>
      <c r="AV35" s="14" t="s">
        <v>1241</v>
      </c>
      <c r="AW35" s="14" t="s">
        <v>1241</v>
      </c>
      <c r="AX35" s="14" t="s">
        <v>1611</v>
      </c>
      <c r="AY35" s="14" t="s">
        <v>1273</v>
      </c>
      <c r="AZ35" s="14" t="s">
        <v>1274</v>
      </c>
      <c r="BA35" s="14" t="s">
        <v>1275</v>
      </c>
      <c r="BB35" s="14" t="s">
        <v>1290</v>
      </c>
      <c r="BC35" s="14" t="s">
        <v>1276</v>
      </c>
      <c r="BD35" s="14" t="s">
        <v>1241</v>
      </c>
      <c r="BE35" s="14" t="s">
        <v>1241</v>
      </c>
      <c r="BF35" s="14" t="s">
        <v>1523</v>
      </c>
      <c r="BG35" s="14" t="s">
        <v>1241</v>
      </c>
      <c r="BH35" s="14" t="s">
        <v>1241</v>
      </c>
      <c r="BI35" s="14" t="s">
        <v>1524</v>
      </c>
      <c r="BJ35" s="14" t="s">
        <v>1252</v>
      </c>
      <c r="BK35" s="47">
        <v>46162</v>
      </c>
      <c r="BL35" s="14" t="s">
        <v>1612</v>
      </c>
      <c r="BM35" s="14" t="s">
        <v>1292</v>
      </c>
      <c r="BN35" s="14" t="s">
        <v>1254</v>
      </c>
      <c r="BO35" s="14" t="s">
        <v>1603</v>
      </c>
      <c r="BP35" s="14" t="s">
        <v>1603</v>
      </c>
      <c r="BQ35" s="14" t="s">
        <v>1613</v>
      </c>
      <c r="BR35" s="14" t="s">
        <v>1241</v>
      </c>
      <c r="BS35" s="14" t="s">
        <v>1241</v>
      </c>
      <c r="BT35" s="14" t="s">
        <v>1614</v>
      </c>
      <c r="BU35" s="14" t="s">
        <v>1259</v>
      </c>
      <c r="BV35" s="14" t="s">
        <v>1260</v>
      </c>
      <c r="BW35" s="14" t="s">
        <v>1261</v>
      </c>
      <c r="BX35" s="43" t="s">
        <v>42</v>
      </c>
      <c r="BY35" s="43" t="s">
        <v>42</v>
      </c>
      <c r="BZ35" s="43" t="s">
        <v>42</v>
      </c>
      <c r="CA35" s="43" t="s">
        <v>42</v>
      </c>
      <c r="CB35" s="14" t="s">
        <v>1282</v>
      </c>
      <c r="CC35" s="14" t="s">
        <v>872</v>
      </c>
      <c r="CD35" s="14" t="s">
        <v>1615</v>
      </c>
      <c r="CE35" s="14" t="s">
        <v>1616</v>
      </c>
      <c r="CF35" s="14" t="s">
        <v>1147</v>
      </c>
      <c r="CG35" s="14" t="s">
        <v>1155</v>
      </c>
      <c r="CH35" s="49">
        <v>1750906</v>
      </c>
      <c r="CI35" s="50">
        <f>IFERROR((CH35/30),0)</f>
        <v>58363.533333333333</v>
      </c>
      <c r="CJ35" s="14">
        <v>0</v>
      </c>
      <c r="CK35" s="14">
        <v>0</v>
      </c>
      <c r="CL35" s="14">
        <v>0</v>
      </c>
      <c r="CM35" s="14">
        <v>0</v>
      </c>
      <c r="CN35" s="14">
        <v>0</v>
      </c>
      <c r="CO35" s="50">
        <v>0</v>
      </c>
      <c r="CP35" s="14">
        <v>0</v>
      </c>
      <c r="CQ35" s="14">
        <v>0</v>
      </c>
      <c r="CR35" s="14">
        <v>0</v>
      </c>
      <c r="CS35" s="49">
        <v>0</v>
      </c>
      <c r="CT35" s="14">
        <v>0</v>
      </c>
      <c r="CU35" s="14" t="s">
        <v>1266</v>
      </c>
      <c r="CV35" s="47">
        <v>46168</v>
      </c>
      <c r="CW35" s="14" t="s">
        <v>1617</v>
      </c>
      <c r="CX35" s="14" t="s">
        <v>42</v>
      </c>
      <c r="CY35" s="14" t="s">
        <v>42</v>
      </c>
      <c r="CZ35" s="14" t="s">
        <v>42</v>
      </c>
      <c r="DA35" s="14" t="s">
        <v>42</v>
      </c>
      <c r="DB35" s="14" t="s">
        <v>1268</v>
      </c>
      <c r="DC35" s="47">
        <v>46168</v>
      </c>
      <c r="DD35" s="14" t="s">
        <v>1618</v>
      </c>
      <c r="DE35" s="47">
        <v>46193</v>
      </c>
      <c r="DF35" s="14" t="s">
        <v>42</v>
      </c>
      <c r="DG35" s="14" t="s">
        <v>42</v>
      </c>
    </row>
    <row r="36" spans="1:111" ht="136.5" customHeight="1">
      <c r="A36" s="13">
        <v>46163.350578703699</v>
      </c>
      <c r="B36" s="13">
        <v>46163.377372685201</v>
      </c>
      <c r="C36" s="54" t="s">
        <v>76</v>
      </c>
      <c r="D36" s="54" t="s">
        <v>1013</v>
      </c>
      <c r="E36" s="47">
        <v>46161</v>
      </c>
      <c r="F36" s="54" t="s">
        <v>1014</v>
      </c>
      <c r="G36" s="54" t="s">
        <v>926</v>
      </c>
      <c r="H36" s="54" t="s">
        <v>66</v>
      </c>
      <c r="I36" s="54" t="s">
        <v>34</v>
      </c>
      <c r="J36" s="55" t="s">
        <v>67</v>
      </c>
      <c r="K36" s="54" t="s">
        <v>372</v>
      </c>
      <c r="L36" s="55" t="s">
        <v>373</v>
      </c>
      <c r="M36" s="55" t="s">
        <v>374</v>
      </c>
      <c r="N36" s="54" t="s">
        <v>56</v>
      </c>
      <c r="O36" s="54" t="s">
        <v>71</v>
      </c>
      <c r="P36" s="54" t="s">
        <v>41</v>
      </c>
      <c r="Q36" s="54" t="s">
        <v>42</v>
      </c>
      <c r="R36" s="55" t="s">
        <v>67</v>
      </c>
      <c r="S36" s="55" t="s">
        <v>1015</v>
      </c>
      <c r="T36" s="54" t="s">
        <v>1016</v>
      </c>
      <c r="U36" s="54" t="s">
        <v>44</v>
      </c>
      <c r="V36" s="54" t="s">
        <v>45</v>
      </c>
      <c r="W36" s="54" t="s">
        <v>45</v>
      </c>
      <c r="X36" s="54" t="s">
        <v>44</v>
      </c>
      <c r="Y36" s="54" t="s">
        <v>45</v>
      </c>
      <c r="Z36" s="54" t="s">
        <v>1017</v>
      </c>
      <c r="AA36" s="54" t="s">
        <v>45</v>
      </c>
      <c r="AB36" s="56" t="s">
        <v>1018</v>
      </c>
      <c r="AC36" s="47">
        <v>46167</v>
      </c>
      <c r="AD36" s="14" t="s">
        <v>1619</v>
      </c>
      <c r="AE36" s="43" t="s">
        <v>1240</v>
      </c>
      <c r="AF36" s="43" t="s">
        <v>1240</v>
      </c>
      <c r="AG36" s="43" t="s">
        <v>1240</v>
      </c>
      <c r="AH36" s="43" t="s">
        <v>1240</v>
      </c>
      <c r="AI36" s="43" t="s">
        <v>1241</v>
      </c>
      <c r="AJ36" s="43" t="s">
        <v>1240</v>
      </c>
      <c r="AK36" s="43" t="s">
        <v>44</v>
      </c>
      <c r="AL36" s="43" t="s">
        <v>44</v>
      </c>
      <c r="AM36" s="48" t="s">
        <v>44</v>
      </c>
      <c r="AN36" s="14" t="s">
        <v>42</v>
      </c>
      <c r="AO36" s="14">
        <v>3</v>
      </c>
      <c r="AP36" s="14" t="s">
        <v>1620</v>
      </c>
      <c r="AQ36" s="14" t="s">
        <v>1243</v>
      </c>
      <c r="AR36" s="47">
        <v>28820</v>
      </c>
      <c r="AS36" s="47">
        <v>44245</v>
      </c>
      <c r="AT36" s="14" t="s">
        <v>1241</v>
      </c>
      <c r="AU36" s="14" t="s">
        <v>1241</v>
      </c>
      <c r="AV36" s="14" t="s">
        <v>1241</v>
      </c>
      <c r="AW36" s="14" t="s">
        <v>1241</v>
      </c>
      <c r="AX36" s="14" t="s">
        <v>1621</v>
      </c>
      <c r="AY36" s="14" t="s">
        <v>1273</v>
      </c>
      <c r="AZ36" s="14" t="s">
        <v>1274</v>
      </c>
      <c r="BA36" s="14" t="s">
        <v>1275</v>
      </c>
      <c r="BB36" s="14" t="s">
        <v>1290</v>
      </c>
      <c r="BC36" s="14" t="s">
        <v>1276</v>
      </c>
      <c r="BD36" s="14" t="s">
        <v>1241</v>
      </c>
      <c r="BE36" s="14" t="s">
        <v>1241</v>
      </c>
      <c r="BF36" s="14" t="s">
        <v>1523</v>
      </c>
      <c r="BG36" s="14" t="s">
        <v>1241</v>
      </c>
      <c r="BH36" s="14" t="s">
        <v>1241</v>
      </c>
      <c r="BI36" s="14" t="s">
        <v>1622</v>
      </c>
      <c r="BJ36" s="14" t="s">
        <v>1623</v>
      </c>
      <c r="BK36" s="47">
        <v>46161</v>
      </c>
      <c r="BL36" s="14" t="s">
        <v>743</v>
      </c>
      <c r="BM36" s="14" t="s">
        <v>1280</v>
      </c>
      <c r="BN36" s="14" t="s">
        <v>1254</v>
      </c>
      <c r="BO36" s="14" t="s">
        <v>1624</v>
      </c>
      <c r="BP36" s="14" t="s">
        <v>1625</v>
      </c>
      <c r="BQ36" s="14" t="s">
        <v>1625</v>
      </c>
      <c r="BR36" s="14" t="s">
        <v>1241</v>
      </c>
      <c r="BS36" s="14" t="s">
        <v>1241</v>
      </c>
      <c r="BT36" s="14" t="s">
        <v>1626</v>
      </c>
      <c r="BU36" s="14" t="s">
        <v>1259</v>
      </c>
      <c r="BV36" s="14" t="s">
        <v>1260</v>
      </c>
      <c r="BW36" s="14" t="s">
        <v>1261</v>
      </c>
      <c r="BX36" s="43" t="s">
        <v>42</v>
      </c>
      <c r="BY36" s="43" t="s">
        <v>42</v>
      </c>
      <c r="BZ36" s="43" t="s">
        <v>42</v>
      </c>
      <c r="CA36" s="43" t="s">
        <v>42</v>
      </c>
      <c r="CB36" s="14" t="s">
        <v>1282</v>
      </c>
      <c r="CC36" s="14" t="s">
        <v>872</v>
      </c>
      <c r="CD36" s="14" t="s">
        <v>1627</v>
      </c>
      <c r="CE36" s="14" t="s">
        <v>1628</v>
      </c>
      <c r="CF36" s="14" t="s">
        <v>1147</v>
      </c>
      <c r="CG36" s="14" t="s">
        <v>1155</v>
      </c>
      <c r="CH36" s="49">
        <v>2079709</v>
      </c>
      <c r="CI36" s="50">
        <f>IFERROR((CH36/30),0)</f>
        <v>69323.633333333331</v>
      </c>
      <c r="CJ36" s="14">
        <v>0</v>
      </c>
      <c r="CK36" s="14">
        <v>0</v>
      </c>
      <c r="CL36" s="14">
        <v>0</v>
      </c>
      <c r="CM36" s="14">
        <v>0</v>
      </c>
      <c r="CN36" s="43">
        <v>0</v>
      </c>
      <c r="CO36" s="50">
        <v>0</v>
      </c>
      <c r="CP36" s="14">
        <v>0</v>
      </c>
      <c r="CQ36" s="14">
        <v>0</v>
      </c>
      <c r="CR36" s="14">
        <v>0</v>
      </c>
      <c r="CS36" s="49">
        <v>0</v>
      </c>
      <c r="CT36" s="14">
        <v>0</v>
      </c>
      <c r="CU36" s="14" t="s">
        <v>1266</v>
      </c>
      <c r="CV36" s="47">
        <v>46199</v>
      </c>
      <c r="CW36" s="14" t="s">
        <v>1629</v>
      </c>
      <c r="CX36" s="14" t="s">
        <v>42</v>
      </c>
      <c r="CY36" s="14" t="s">
        <v>42</v>
      </c>
      <c r="CZ36" s="14" t="s">
        <v>42</v>
      </c>
      <c r="DA36" s="14" t="s">
        <v>42</v>
      </c>
      <c r="DB36" s="14" t="s">
        <v>1630</v>
      </c>
      <c r="DC36" s="47">
        <v>46161</v>
      </c>
      <c r="DD36" s="14" t="s">
        <v>1631</v>
      </c>
      <c r="DE36" s="47">
        <v>46192</v>
      </c>
      <c r="DF36" s="14" t="s">
        <v>1632</v>
      </c>
      <c r="DG36" s="47">
        <v>46189</v>
      </c>
    </row>
    <row r="37" spans="1:111" ht="136.5" customHeight="1">
      <c r="A37" s="13">
        <v>46163.412835648203</v>
      </c>
      <c r="B37" s="13">
        <v>46163.468310185199</v>
      </c>
      <c r="C37" s="54" t="s">
        <v>76</v>
      </c>
      <c r="D37" s="54" t="s">
        <v>63</v>
      </c>
      <c r="E37" s="47">
        <v>46161</v>
      </c>
      <c r="F37" s="54" t="s">
        <v>1029</v>
      </c>
      <c r="G37" s="54" t="s">
        <v>1030</v>
      </c>
      <c r="H37" s="54" t="s">
        <v>66</v>
      </c>
      <c r="I37" s="54" t="s">
        <v>34</v>
      </c>
      <c r="J37" s="55" t="s">
        <v>67</v>
      </c>
      <c r="K37" s="54" t="s">
        <v>68</v>
      </c>
      <c r="L37" s="55" t="s">
        <v>69</v>
      </c>
      <c r="M37" s="55" t="s">
        <v>70</v>
      </c>
      <c r="N37" s="54" t="s">
        <v>39</v>
      </c>
      <c r="O37" s="54" t="s">
        <v>71</v>
      </c>
      <c r="P37" s="54" t="s">
        <v>58</v>
      </c>
      <c r="Q37" s="54" t="s">
        <v>42</v>
      </c>
      <c r="R37" s="55" t="s">
        <v>67</v>
      </c>
      <c r="S37" s="55" t="s">
        <v>67</v>
      </c>
      <c r="T37" s="54" t="s">
        <v>1031</v>
      </c>
      <c r="U37" s="54" t="s">
        <v>44</v>
      </c>
      <c r="V37" s="54" t="s">
        <v>45</v>
      </c>
      <c r="W37" s="54" t="s">
        <v>44</v>
      </c>
      <c r="X37" s="54" t="s">
        <v>44</v>
      </c>
      <c r="Y37" s="54" t="s">
        <v>45</v>
      </c>
      <c r="Z37" s="54" t="s">
        <v>1032</v>
      </c>
      <c r="AA37" s="54" t="s">
        <v>45</v>
      </c>
      <c r="AB37" s="57" t="s">
        <v>1033</v>
      </c>
      <c r="AC37" s="47">
        <v>46167</v>
      </c>
      <c r="AD37" s="14" t="s">
        <v>1633</v>
      </c>
      <c r="AE37" s="43" t="s">
        <v>1240</v>
      </c>
      <c r="AF37" s="43" t="s">
        <v>1240</v>
      </c>
      <c r="AG37" s="43" t="s">
        <v>1240</v>
      </c>
      <c r="AH37" s="43" t="s">
        <v>1240</v>
      </c>
      <c r="AI37" s="43" t="s">
        <v>1241</v>
      </c>
      <c r="AJ37" s="43" t="s">
        <v>1240</v>
      </c>
      <c r="AK37" s="43" t="s">
        <v>44</v>
      </c>
      <c r="AL37" s="43" t="s">
        <v>44</v>
      </c>
      <c r="AM37" s="48" t="s">
        <v>44</v>
      </c>
      <c r="AN37" s="14" t="s">
        <v>42</v>
      </c>
      <c r="AO37" s="14">
        <v>1</v>
      </c>
      <c r="AP37" s="14" t="s">
        <v>1634</v>
      </c>
      <c r="AQ37" s="14" t="s">
        <v>1243</v>
      </c>
      <c r="AR37" s="47">
        <v>26069</v>
      </c>
      <c r="AS37" s="47">
        <v>44245</v>
      </c>
      <c r="AT37" s="14" t="s">
        <v>1241</v>
      </c>
      <c r="AU37" s="14" t="s">
        <v>1241</v>
      </c>
      <c r="AV37" s="14" t="s">
        <v>1241</v>
      </c>
      <c r="AW37" s="14" t="s">
        <v>1241</v>
      </c>
      <c r="AX37" s="14" t="s">
        <v>1635</v>
      </c>
      <c r="AY37" s="14" t="s">
        <v>1273</v>
      </c>
      <c r="AZ37" s="14" t="s">
        <v>1274</v>
      </c>
      <c r="BA37" s="14" t="s">
        <v>1275</v>
      </c>
      <c r="BB37" s="14" t="s">
        <v>1290</v>
      </c>
      <c r="BC37" s="14" t="s">
        <v>1276</v>
      </c>
      <c r="BD37" s="14" t="s">
        <v>1241</v>
      </c>
      <c r="BE37" s="14" t="s">
        <v>1241</v>
      </c>
      <c r="BF37" s="14" t="s">
        <v>1636</v>
      </c>
      <c r="BG37" s="14" t="s">
        <v>1241</v>
      </c>
      <c r="BH37" s="14" t="s">
        <v>1241</v>
      </c>
      <c r="BI37" s="14" t="s">
        <v>1622</v>
      </c>
      <c r="BJ37" s="14" t="s">
        <v>1623</v>
      </c>
      <c r="BK37" s="47">
        <v>46161</v>
      </c>
      <c r="BL37" s="14" t="s">
        <v>1637</v>
      </c>
      <c r="BM37" s="14" t="s">
        <v>1280</v>
      </c>
      <c r="BN37" s="14" t="s">
        <v>1254</v>
      </c>
      <c r="BO37" s="14" t="s">
        <v>1638</v>
      </c>
      <c r="BP37" s="14" t="s">
        <v>1625</v>
      </c>
      <c r="BQ37" s="14" t="s">
        <v>1639</v>
      </c>
      <c r="BR37" s="14" t="s">
        <v>1241</v>
      </c>
      <c r="BS37" s="14" t="s">
        <v>1241</v>
      </c>
      <c r="BT37" s="14" t="s">
        <v>1640</v>
      </c>
      <c r="BU37" s="14" t="s">
        <v>1259</v>
      </c>
      <c r="BV37" s="14" t="s">
        <v>1260</v>
      </c>
      <c r="BW37" s="14" t="s">
        <v>1261</v>
      </c>
      <c r="BX37" s="43" t="s">
        <v>42</v>
      </c>
      <c r="BY37" s="43" t="s">
        <v>42</v>
      </c>
      <c r="BZ37" s="43" t="s">
        <v>42</v>
      </c>
      <c r="CA37" s="43" t="s">
        <v>42</v>
      </c>
      <c r="CB37" s="14" t="s">
        <v>1282</v>
      </c>
      <c r="CC37" s="14" t="s">
        <v>872</v>
      </c>
      <c r="CD37" s="14" t="s">
        <v>1641</v>
      </c>
      <c r="CE37" s="14" t="s">
        <v>1642</v>
      </c>
      <c r="CF37" s="14" t="s">
        <v>1147</v>
      </c>
      <c r="CG37" s="14" t="s">
        <v>1155</v>
      </c>
      <c r="CH37" s="49">
        <v>2079709</v>
      </c>
      <c r="CI37" s="50">
        <f>IFERROR((CH37/30),0)</f>
        <v>69323.633333333331</v>
      </c>
      <c r="CJ37" s="14">
        <v>0</v>
      </c>
      <c r="CK37" s="14">
        <v>0</v>
      </c>
      <c r="CL37" s="14">
        <v>0</v>
      </c>
      <c r="CM37" s="14">
        <v>0</v>
      </c>
      <c r="CN37" s="43">
        <v>0</v>
      </c>
      <c r="CO37" s="50">
        <v>0</v>
      </c>
      <c r="CP37" s="14">
        <v>0</v>
      </c>
      <c r="CQ37" s="14">
        <v>0</v>
      </c>
      <c r="CR37" s="14">
        <v>0</v>
      </c>
      <c r="CS37" s="49">
        <v>0</v>
      </c>
      <c r="CT37" s="14">
        <v>0</v>
      </c>
      <c r="CU37" s="14" t="s">
        <v>1266</v>
      </c>
      <c r="CW37" s="14" t="s">
        <v>1643</v>
      </c>
      <c r="CX37" s="14" t="s">
        <v>42</v>
      </c>
      <c r="CY37" s="14" t="s">
        <v>42</v>
      </c>
      <c r="CZ37" s="14" t="s">
        <v>42</v>
      </c>
      <c r="DA37" s="14" t="s">
        <v>42</v>
      </c>
      <c r="DB37" s="14" t="s">
        <v>1644</v>
      </c>
      <c r="DC37" s="47">
        <v>46161</v>
      </c>
      <c r="DD37" s="14" t="s">
        <v>1645</v>
      </c>
      <c r="DE37" s="47">
        <v>46192</v>
      </c>
      <c r="DF37" s="14" t="s">
        <v>1646</v>
      </c>
      <c r="DG37" s="47">
        <v>46189</v>
      </c>
    </row>
    <row r="38" spans="1:111" ht="136.5" customHeight="1">
      <c r="A38" s="13">
        <v>46163.382187499999</v>
      </c>
      <c r="B38" s="13">
        <v>46163.386435185203</v>
      </c>
      <c r="C38" s="54" t="s">
        <v>76</v>
      </c>
      <c r="D38" s="54" t="s">
        <v>1019</v>
      </c>
      <c r="E38" s="47">
        <v>46162</v>
      </c>
      <c r="F38" s="54" t="s">
        <v>1020</v>
      </c>
      <c r="G38" s="54" t="s">
        <v>1021</v>
      </c>
      <c r="H38" s="54" t="s">
        <v>66</v>
      </c>
      <c r="I38" s="54" t="s">
        <v>34</v>
      </c>
      <c r="J38" s="55" t="s">
        <v>1022</v>
      </c>
      <c r="K38" s="54" t="s">
        <v>1023</v>
      </c>
      <c r="L38" s="55" t="s">
        <v>1024</v>
      </c>
      <c r="M38" s="55" t="s">
        <v>1025</v>
      </c>
      <c r="N38" s="54" t="s">
        <v>1026</v>
      </c>
      <c r="O38" s="54" t="s">
        <v>71</v>
      </c>
      <c r="P38" s="54" t="s">
        <v>72</v>
      </c>
      <c r="Q38" s="54" t="s">
        <v>42</v>
      </c>
      <c r="R38" s="55" t="s">
        <v>243</v>
      </c>
      <c r="S38" s="55" t="s">
        <v>243</v>
      </c>
      <c r="T38" s="54" t="s">
        <v>1027</v>
      </c>
      <c r="U38" s="54" t="s">
        <v>44</v>
      </c>
      <c r="V38" s="54" t="s">
        <v>44</v>
      </c>
      <c r="W38" s="54" t="s">
        <v>44</v>
      </c>
      <c r="X38" s="54" t="s">
        <v>44</v>
      </c>
      <c r="Y38" s="54" t="s">
        <v>45</v>
      </c>
      <c r="Z38" s="54" t="s">
        <v>243</v>
      </c>
      <c r="AA38" s="54" t="s">
        <v>45</v>
      </c>
      <c r="AB38" s="57" t="s">
        <v>1028</v>
      </c>
      <c r="AC38" s="47">
        <v>46167</v>
      </c>
      <c r="AD38" s="14" t="s">
        <v>1533</v>
      </c>
      <c r="AE38" s="43" t="s">
        <v>1240</v>
      </c>
      <c r="AF38" s="43" t="s">
        <v>1240</v>
      </c>
      <c r="AG38" s="43" t="s">
        <v>1240</v>
      </c>
      <c r="AH38" s="43" t="s">
        <v>1240</v>
      </c>
      <c r="AI38" s="43" t="s">
        <v>1241</v>
      </c>
      <c r="AJ38" s="43" t="s">
        <v>1240</v>
      </c>
      <c r="AK38" s="43" t="s">
        <v>44</v>
      </c>
      <c r="AL38" s="43" t="s">
        <v>44</v>
      </c>
      <c r="AM38" s="48" t="s">
        <v>44</v>
      </c>
      <c r="AN38" s="14" t="s">
        <v>42</v>
      </c>
      <c r="AO38" s="14">
        <v>1</v>
      </c>
      <c r="AP38" s="14" t="s">
        <v>1647</v>
      </c>
      <c r="AQ38" s="14" t="s">
        <v>1243</v>
      </c>
      <c r="AR38" s="47">
        <v>32218</v>
      </c>
      <c r="AS38" s="47">
        <v>44254</v>
      </c>
      <c r="AT38" s="14" t="s">
        <v>1241</v>
      </c>
      <c r="AU38" s="14" t="s">
        <v>1241</v>
      </c>
      <c r="AV38" s="14" t="s">
        <v>1648</v>
      </c>
      <c r="AW38" s="14" t="s">
        <v>1241</v>
      </c>
      <c r="AX38" s="14" t="s">
        <v>1649</v>
      </c>
      <c r="AY38" s="14" t="s">
        <v>1273</v>
      </c>
      <c r="AZ38" s="14" t="s">
        <v>1274</v>
      </c>
      <c r="BA38" s="14" t="s">
        <v>1275</v>
      </c>
      <c r="BB38" s="14" t="s">
        <v>1290</v>
      </c>
      <c r="BC38" s="14" t="s">
        <v>1276</v>
      </c>
      <c r="BD38" s="14" t="s">
        <v>1241</v>
      </c>
      <c r="BE38" s="14" t="s">
        <v>1241</v>
      </c>
      <c r="BF38" s="14" t="s">
        <v>1523</v>
      </c>
      <c r="BG38" s="14" t="s">
        <v>1241</v>
      </c>
      <c r="BH38" s="14" t="s">
        <v>1241</v>
      </c>
      <c r="BI38" s="14" t="s">
        <v>1650</v>
      </c>
      <c r="BJ38" s="14" t="s">
        <v>1279</v>
      </c>
      <c r="BK38" s="47">
        <v>46163</v>
      </c>
      <c r="BL38" s="14" t="s">
        <v>1651</v>
      </c>
      <c r="BM38" s="14" t="s">
        <v>1253</v>
      </c>
      <c r="BN38" s="14" t="s">
        <v>1254</v>
      </c>
      <c r="BO38" s="15" t="s">
        <v>1652</v>
      </c>
      <c r="BP38" s="15" t="s">
        <v>1255</v>
      </c>
      <c r="BQ38" s="14" t="s">
        <v>1619</v>
      </c>
      <c r="BR38" s="14" t="s">
        <v>1241</v>
      </c>
      <c r="BS38" s="14" t="s">
        <v>1241</v>
      </c>
      <c r="BT38" s="14" t="s">
        <v>1653</v>
      </c>
      <c r="BU38" s="14" t="s">
        <v>1259</v>
      </c>
      <c r="BV38" s="14" t="s">
        <v>1260</v>
      </c>
      <c r="BW38" s="14" t="s">
        <v>1261</v>
      </c>
      <c r="BX38" s="43" t="s">
        <v>42</v>
      </c>
      <c r="BY38" s="43" t="s">
        <v>42</v>
      </c>
      <c r="BZ38" s="43" t="s">
        <v>42</v>
      </c>
      <c r="CA38" s="43" t="s">
        <v>42</v>
      </c>
      <c r="CB38" s="14" t="s">
        <v>1282</v>
      </c>
      <c r="CC38" s="14" t="s">
        <v>872</v>
      </c>
      <c r="CD38" s="14" t="s">
        <v>1654</v>
      </c>
      <c r="CE38" s="14" t="s">
        <v>1655</v>
      </c>
      <c r="CF38" s="14" t="s">
        <v>1147</v>
      </c>
      <c r="CG38" s="14" t="s">
        <v>1155</v>
      </c>
      <c r="CH38" s="49">
        <v>2079709</v>
      </c>
      <c r="CI38" s="50">
        <f>IFERROR((CH38/30),0)</f>
        <v>69323.633333333331</v>
      </c>
      <c r="CJ38" s="14">
        <v>0</v>
      </c>
      <c r="CK38" s="14">
        <v>0</v>
      </c>
      <c r="CL38" s="14">
        <v>0</v>
      </c>
      <c r="CM38" s="14">
        <v>0</v>
      </c>
      <c r="CN38" s="43">
        <v>0</v>
      </c>
      <c r="CO38" s="50">
        <v>0</v>
      </c>
      <c r="CP38" s="14">
        <v>0</v>
      </c>
      <c r="CQ38" s="14">
        <v>0</v>
      </c>
      <c r="CR38" s="14">
        <v>0</v>
      </c>
      <c r="CS38" s="49">
        <v>0</v>
      </c>
      <c r="CT38" s="14">
        <v>0</v>
      </c>
      <c r="CU38" s="14" t="s">
        <v>1266</v>
      </c>
      <c r="CV38" s="47">
        <v>46199</v>
      </c>
      <c r="CW38" s="14" t="s">
        <v>1656</v>
      </c>
      <c r="CX38" s="14" t="s">
        <v>42</v>
      </c>
      <c r="CY38" s="14" t="s">
        <v>42</v>
      </c>
      <c r="CZ38" s="14" t="s">
        <v>42</v>
      </c>
      <c r="DA38" s="14" t="s">
        <v>42</v>
      </c>
      <c r="DB38" s="14" t="s">
        <v>1657</v>
      </c>
      <c r="DC38" s="47">
        <v>46161</v>
      </c>
      <c r="DD38" s="14" t="s">
        <v>1658</v>
      </c>
      <c r="DE38" s="42">
        <v>46192</v>
      </c>
      <c r="DF38" s="14" t="s">
        <v>1659</v>
      </c>
      <c r="DG38" s="47">
        <v>46192</v>
      </c>
    </row>
    <row r="39" spans="1:111" ht="136.5" customHeight="1">
      <c r="A39" s="13">
        <v>46183.519085648099</v>
      </c>
      <c r="B39" s="13">
        <v>46183.647928240702</v>
      </c>
      <c r="C39" s="54" t="s">
        <v>76</v>
      </c>
      <c r="D39" s="54" t="s">
        <v>271</v>
      </c>
      <c r="E39" s="47">
        <v>46167</v>
      </c>
      <c r="F39" s="54" t="s">
        <v>1078</v>
      </c>
      <c r="G39" s="54" t="s">
        <v>65</v>
      </c>
      <c r="H39" s="54" t="s">
        <v>1079</v>
      </c>
      <c r="I39" s="54" t="s">
        <v>134</v>
      </c>
      <c r="J39" s="55" t="s">
        <v>42</v>
      </c>
      <c r="K39" s="54" t="s">
        <v>1080</v>
      </c>
      <c r="L39" s="55" t="s">
        <v>1081</v>
      </c>
      <c r="M39" s="55" t="s">
        <v>1082</v>
      </c>
      <c r="N39" s="54" t="s">
        <v>1083</v>
      </c>
      <c r="O39" s="54" t="s">
        <v>40</v>
      </c>
      <c r="P39" s="54" t="s">
        <v>58</v>
      </c>
      <c r="Q39" s="54" t="s">
        <v>42</v>
      </c>
      <c r="R39" s="55" t="s">
        <v>42</v>
      </c>
      <c r="S39" s="55" t="s">
        <v>42</v>
      </c>
      <c r="T39" s="54" t="s">
        <v>1084</v>
      </c>
      <c r="U39" s="54" t="s">
        <v>44</v>
      </c>
      <c r="V39" s="54" t="s">
        <v>44</v>
      </c>
      <c r="W39" s="54" t="s">
        <v>45</v>
      </c>
      <c r="X39" s="54" t="s">
        <v>45</v>
      </c>
      <c r="Y39" s="54" t="s">
        <v>44</v>
      </c>
      <c r="Z39" s="54" t="s">
        <v>1085</v>
      </c>
      <c r="AA39" s="54" t="s">
        <v>44</v>
      </c>
      <c r="AB39" s="56" t="s">
        <v>1086</v>
      </c>
      <c r="AC39" s="47">
        <v>46195</v>
      </c>
      <c r="AD39" s="14" t="s">
        <v>1660</v>
      </c>
      <c r="AE39" s="43" t="s">
        <v>1240</v>
      </c>
      <c r="AF39" s="43" t="s">
        <v>1240</v>
      </c>
      <c r="AG39" s="43" t="s">
        <v>1240</v>
      </c>
      <c r="AH39" s="43" t="s">
        <v>1240</v>
      </c>
      <c r="AI39" s="43" t="s">
        <v>1241</v>
      </c>
      <c r="AJ39" s="43" t="s">
        <v>1241</v>
      </c>
      <c r="AK39" s="43" t="s">
        <v>44</v>
      </c>
      <c r="AL39" s="43" t="s">
        <v>44</v>
      </c>
      <c r="AM39" s="48" t="s">
        <v>44</v>
      </c>
      <c r="AN39" s="14" t="s">
        <v>42</v>
      </c>
      <c r="AO39" s="14">
        <v>2</v>
      </c>
      <c r="AP39" s="14" t="s">
        <v>1661</v>
      </c>
      <c r="AQ39" s="43" t="s">
        <v>1243</v>
      </c>
      <c r="AR39" s="47">
        <v>26667</v>
      </c>
      <c r="AS39" s="47">
        <v>45866</v>
      </c>
      <c r="AT39" s="14" t="s">
        <v>1241</v>
      </c>
      <c r="AU39" s="14" t="s">
        <v>42</v>
      </c>
      <c r="AV39" s="14" t="s">
        <v>42</v>
      </c>
      <c r="AW39" s="14" t="s">
        <v>42</v>
      </c>
      <c r="AX39" s="14" t="s">
        <v>1662</v>
      </c>
      <c r="AY39" s="14" t="s">
        <v>1273</v>
      </c>
      <c r="AZ39" s="14" t="s">
        <v>1274</v>
      </c>
      <c r="BA39" s="14" t="s">
        <v>1275</v>
      </c>
      <c r="BB39" s="14" t="s">
        <v>1290</v>
      </c>
      <c r="BC39" s="14" t="s">
        <v>1276</v>
      </c>
      <c r="BD39" s="14" t="s">
        <v>1273</v>
      </c>
      <c r="BE39" s="14" t="s">
        <v>1241</v>
      </c>
      <c r="BF39" s="14" t="s">
        <v>1250</v>
      </c>
      <c r="BG39" s="14" t="s">
        <v>1241</v>
      </c>
      <c r="BH39" s="14" t="s">
        <v>1241</v>
      </c>
      <c r="BI39" s="14" t="s">
        <v>1524</v>
      </c>
      <c r="BJ39" s="14" t="s">
        <v>1252</v>
      </c>
      <c r="BK39" s="47">
        <v>46167</v>
      </c>
      <c r="BL39" s="15" t="s">
        <v>1663</v>
      </c>
      <c r="BM39" s="14" t="s">
        <v>1664</v>
      </c>
      <c r="BN39" s="14" t="s">
        <v>1254</v>
      </c>
      <c r="BO39" s="14" t="s">
        <v>1665</v>
      </c>
      <c r="BP39" s="14" t="s">
        <v>1625</v>
      </c>
      <c r="BQ39" s="14" t="s">
        <v>1625</v>
      </c>
      <c r="BR39" s="14" t="s">
        <v>1241</v>
      </c>
      <c r="BS39" s="14" t="s">
        <v>42</v>
      </c>
      <c r="BT39" s="14" t="s">
        <v>1666</v>
      </c>
      <c r="BU39" s="14" t="s">
        <v>1259</v>
      </c>
      <c r="BV39" s="14" t="s">
        <v>1260</v>
      </c>
      <c r="BW39" s="14" t="s">
        <v>1261</v>
      </c>
      <c r="BX39" s="43" t="s">
        <v>42</v>
      </c>
      <c r="BY39" s="43" t="s">
        <v>42</v>
      </c>
      <c r="BZ39" s="43" t="s">
        <v>42</v>
      </c>
      <c r="CA39" s="43" t="s">
        <v>42</v>
      </c>
      <c r="CB39" s="14" t="s">
        <v>1282</v>
      </c>
      <c r="CC39" s="14" t="s">
        <v>872</v>
      </c>
      <c r="CD39" s="14" t="s">
        <v>1667</v>
      </c>
      <c r="CE39" s="14" t="s">
        <v>1668</v>
      </c>
      <c r="CF39" s="14" t="s">
        <v>1147</v>
      </c>
      <c r="CG39" s="14" t="s">
        <v>1155</v>
      </c>
      <c r="CH39" s="49">
        <v>2079709</v>
      </c>
      <c r="CI39" s="50">
        <f>IFERROR((CH39/30),0)</f>
        <v>69323.633333333331</v>
      </c>
      <c r="CJ39" s="14">
        <v>0</v>
      </c>
      <c r="CK39" s="14">
        <v>0</v>
      </c>
      <c r="CL39" s="14">
        <v>0</v>
      </c>
      <c r="CM39" s="14">
        <v>2</v>
      </c>
      <c r="CN39" s="43">
        <v>0</v>
      </c>
      <c r="CO39" s="50">
        <v>0</v>
      </c>
      <c r="CP39" s="14">
        <v>0</v>
      </c>
      <c r="CQ39" s="14">
        <v>0</v>
      </c>
      <c r="CR39" s="14">
        <v>0</v>
      </c>
      <c r="CS39" s="49" t="s">
        <v>1669</v>
      </c>
      <c r="CT39" s="49">
        <f>IFERROR((CN39+CO39+CP39+CQ39+CR39+CS39),0)</f>
        <v>0</v>
      </c>
      <c r="CU39" s="43" t="s">
        <v>1266</v>
      </c>
      <c r="CV39" s="47">
        <v>46199</v>
      </c>
      <c r="CW39" s="14" t="s">
        <v>1670</v>
      </c>
      <c r="CX39" s="14" t="s">
        <v>42</v>
      </c>
      <c r="CY39" s="14" t="s">
        <v>42</v>
      </c>
      <c r="CZ39" s="14" t="s">
        <v>42</v>
      </c>
      <c r="DA39" s="14" t="s">
        <v>42</v>
      </c>
      <c r="DB39" s="14" t="s">
        <v>1671</v>
      </c>
      <c r="DC39" s="47">
        <v>46218</v>
      </c>
      <c r="DD39" s="14" t="s">
        <v>1672</v>
      </c>
      <c r="DE39" s="47">
        <v>46233</v>
      </c>
      <c r="DF39" s="14" t="s">
        <v>42</v>
      </c>
      <c r="DG39" s="14" t="s">
        <v>42</v>
      </c>
    </row>
    <row r="40" spans="1:111" ht="136.5" customHeight="1">
      <c r="A40" s="13">
        <v>46184.348229166702</v>
      </c>
      <c r="B40" s="13">
        <v>46184.408587963</v>
      </c>
      <c r="C40" s="54" t="s">
        <v>76</v>
      </c>
      <c r="D40" s="54" t="s">
        <v>271</v>
      </c>
      <c r="E40" s="47">
        <v>46168</v>
      </c>
      <c r="F40" s="54" t="s">
        <v>1087</v>
      </c>
      <c r="G40" s="54" t="s">
        <v>872</v>
      </c>
      <c r="H40" s="54" t="s">
        <v>51</v>
      </c>
      <c r="I40" s="54" t="s">
        <v>34</v>
      </c>
      <c r="J40" s="55" t="s">
        <v>42</v>
      </c>
      <c r="K40" s="54" t="s">
        <v>1088</v>
      </c>
      <c r="L40" s="55" t="s">
        <v>1089</v>
      </c>
      <c r="M40" s="55" t="s">
        <v>1090</v>
      </c>
      <c r="N40" s="54" t="s">
        <v>39</v>
      </c>
      <c r="O40" s="54" t="s">
        <v>71</v>
      </c>
      <c r="P40" s="54" t="s">
        <v>41</v>
      </c>
      <c r="Q40" s="54" t="s">
        <v>42</v>
      </c>
      <c r="R40" s="55" t="s">
        <v>42</v>
      </c>
      <c r="S40" s="55" t="s">
        <v>42</v>
      </c>
      <c r="T40" s="54" t="s">
        <v>1091</v>
      </c>
      <c r="U40" s="54" t="s">
        <v>44</v>
      </c>
      <c r="V40" s="54" t="s">
        <v>44</v>
      </c>
      <c r="W40" s="54" t="s">
        <v>44</v>
      </c>
      <c r="X40" s="54" t="s">
        <v>44</v>
      </c>
      <c r="Y40" s="54" t="s">
        <v>44</v>
      </c>
      <c r="Z40" s="54" t="s">
        <v>1092</v>
      </c>
      <c r="AA40" s="54" t="s">
        <v>45</v>
      </c>
      <c r="AB40" s="57" t="s">
        <v>1093</v>
      </c>
      <c r="AC40" s="47">
        <v>46189</v>
      </c>
      <c r="AD40" s="14" t="s">
        <v>1588</v>
      </c>
      <c r="AE40" s="43" t="s">
        <v>1240</v>
      </c>
      <c r="AF40" s="43" t="s">
        <v>1240</v>
      </c>
      <c r="AG40" s="43" t="s">
        <v>1240</v>
      </c>
      <c r="AH40" s="43" t="s">
        <v>1240</v>
      </c>
      <c r="AI40" s="43" t="s">
        <v>1241</v>
      </c>
      <c r="AJ40" s="43" t="s">
        <v>1241</v>
      </c>
      <c r="AK40" s="43" t="s">
        <v>44</v>
      </c>
      <c r="AL40" s="43" t="s">
        <v>44</v>
      </c>
      <c r="AM40" s="48" t="s">
        <v>44</v>
      </c>
      <c r="AN40" s="14" t="s">
        <v>42</v>
      </c>
      <c r="AO40" s="14">
        <v>3</v>
      </c>
      <c r="AP40" s="14" t="s">
        <v>1673</v>
      </c>
      <c r="AQ40" s="43" t="s">
        <v>1243</v>
      </c>
      <c r="AR40" s="47">
        <v>36438</v>
      </c>
      <c r="AS40" s="47">
        <v>46033</v>
      </c>
      <c r="AT40" s="14" t="s">
        <v>1241</v>
      </c>
      <c r="AU40" s="14" t="s">
        <v>42</v>
      </c>
      <c r="AV40" s="14" t="s">
        <v>42</v>
      </c>
      <c r="AW40" s="14" t="s">
        <v>42</v>
      </c>
      <c r="AX40" s="14" t="s">
        <v>1674</v>
      </c>
      <c r="AY40" s="14" t="s">
        <v>1273</v>
      </c>
      <c r="AZ40" s="14" t="s">
        <v>1274</v>
      </c>
      <c r="BA40" s="14" t="s">
        <v>1275</v>
      </c>
      <c r="BB40" s="43" t="s">
        <v>1248</v>
      </c>
      <c r="BC40" s="14" t="s">
        <v>1276</v>
      </c>
      <c r="BD40" s="14" t="s">
        <v>1241</v>
      </c>
      <c r="BE40" s="14" t="s">
        <v>1241</v>
      </c>
      <c r="BF40" s="15" t="s">
        <v>1675</v>
      </c>
      <c r="BG40" s="14" t="s">
        <v>1241</v>
      </c>
      <c r="BH40" s="14" t="s">
        <v>1241</v>
      </c>
      <c r="BI40" s="14" t="s">
        <v>1676</v>
      </c>
      <c r="BJ40" s="14" t="s">
        <v>1252</v>
      </c>
      <c r="BK40" s="47">
        <v>46168</v>
      </c>
      <c r="BL40" s="14" t="s">
        <v>1677</v>
      </c>
      <c r="BM40" s="14" t="s">
        <v>1280</v>
      </c>
      <c r="BN40" s="14" t="s">
        <v>1254</v>
      </c>
      <c r="BO40" s="14" t="s">
        <v>1678</v>
      </c>
      <c r="BP40" s="14" t="s">
        <v>1679</v>
      </c>
      <c r="BQ40" s="14" t="s">
        <v>1680</v>
      </c>
      <c r="BR40" s="14" t="s">
        <v>1241</v>
      </c>
      <c r="BS40" s="14" t="s">
        <v>42</v>
      </c>
      <c r="BT40" s="14" t="s">
        <v>1681</v>
      </c>
      <c r="BU40" s="14" t="s">
        <v>1259</v>
      </c>
      <c r="BV40" s="14" t="s">
        <v>1260</v>
      </c>
      <c r="BW40" s="14" t="s">
        <v>1261</v>
      </c>
      <c r="BX40" s="43" t="s">
        <v>42</v>
      </c>
      <c r="BY40" s="43" t="s">
        <v>42</v>
      </c>
      <c r="BZ40" s="43" t="s">
        <v>42</v>
      </c>
      <c r="CA40" s="43" t="s">
        <v>42</v>
      </c>
      <c r="CB40" s="14" t="s">
        <v>1282</v>
      </c>
      <c r="CC40" s="14" t="s">
        <v>872</v>
      </c>
      <c r="CD40" s="14" t="s">
        <v>1682</v>
      </c>
      <c r="CE40" s="14" t="s">
        <v>1683</v>
      </c>
      <c r="CF40" s="14" t="s">
        <v>1147</v>
      </c>
      <c r="CG40" s="14" t="s">
        <v>1155</v>
      </c>
      <c r="CH40" s="49">
        <v>1750905</v>
      </c>
      <c r="CI40" s="50">
        <f>IFERROR((CH40/30),0)</f>
        <v>58363.5</v>
      </c>
      <c r="CJ40" s="14">
        <v>0</v>
      </c>
      <c r="CK40" s="14">
        <v>0</v>
      </c>
      <c r="CL40" s="14">
        <f>CJ40+CK40</f>
        <v>0</v>
      </c>
      <c r="CM40" s="14">
        <v>0</v>
      </c>
      <c r="CN40" s="43">
        <f>CI40*CL40</f>
        <v>0</v>
      </c>
      <c r="CO40" s="50">
        <v>0</v>
      </c>
      <c r="CP40" s="14">
        <v>0</v>
      </c>
      <c r="CQ40" s="14">
        <v>0</v>
      </c>
      <c r="CR40" s="14">
        <v>0</v>
      </c>
      <c r="CS40" s="49">
        <v>0</v>
      </c>
      <c r="CT40" s="49">
        <v>0</v>
      </c>
      <c r="CU40" s="43" t="s">
        <v>1266</v>
      </c>
      <c r="CV40" s="47">
        <v>46189</v>
      </c>
      <c r="CW40" s="14" t="s">
        <v>1684</v>
      </c>
      <c r="CX40" s="14" t="s">
        <v>42</v>
      </c>
      <c r="CY40" s="14" t="s">
        <v>42</v>
      </c>
      <c r="CZ40" s="14" t="s">
        <v>42</v>
      </c>
      <c r="DA40" s="14" t="s">
        <v>42</v>
      </c>
      <c r="DB40" s="14" t="s">
        <v>1268</v>
      </c>
      <c r="DC40" s="47">
        <v>46193</v>
      </c>
      <c r="DD40" s="14" t="s">
        <v>1685</v>
      </c>
      <c r="DE40" s="47">
        <v>46203</v>
      </c>
      <c r="DF40" s="14" t="s">
        <v>1686</v>
      </c>
      <c r="DG40" s="42">
        <v>46203</v>
      </c>
    </row>
    <row r="41" spans="1:111" s="63" customFormat="1" ht="136.5" customHeight="1">
      <c r="A41" s="13">
        <v>46185.682939814797</v>
      </c>
      <c r="B41" s="13">
        <v>46185.704305555599</v>
      </c>
      <c r="C41" s="54" t="s">
        <v>76</v>
      </c>
      <c r="D41" s="54" t="s">
        <v>271</v>
      </c>
      <c r="E41" s="47">
        <v>46169</v>
      </c>
      <c r="F41" s="54" t="s">
        <v>1112</v>
      </c>
      <c r="G41" s="54" t="s">
        <v>872</v>
      </c>
      <c r="H41" s="54" t="s">
        <v>157</v>
      </c>
      <c r="I41" s="54" t="s">
        <v>34</v>
      </c>
      <c r="J41" s="55" t="s">
        <v>42</v>
      </c>
      <c r="K41" s="54" t="s">
        <v>1113</v>
      </c>
      <c r="L41" s="55" t="s">
        <v>1114</v>
      </c>
      <c r="M41" s="55" t="s">
        <v>1115</v>
      </c>
      <c r="N41" s="54" t="s">
        <v>56</v>
      </c>
      <c r="O41" s="54" t="s">
        <v>71</v>
      </c>
      <c r="P41" s="54" t="s">
        <v>41</v>
      </c>
      <c r="Q41" s="54" t="s">
        <v>42</v>
      </c>
      <c r="R41" s="55" t="s">
        <v>42</v>
      </c>
      <c r="S41" s="55" t="s">
        <v>42</v>
      </c>
      <c r="T41" s="54" t="s">
        <v>1116</v>
      </c>
      <c r="U41" s="54" t="s">
        <v>44</v>
      </c>
      <c r="V41" s="54" t="s">
        <v>44</v>
      </c>
      <c r="W41" s="54" t="s">
        <v>44</v>
      </c>
      <c r="X41" s="54" t="s">
        <v>44</v>
      </c>
      <c r="Y41" s="54" t="s">
        <v>44</v>
      </c>
      <c r="Z41" s="54" t="s">
        <v>1117</v>
      </c>
      <c r="AA41" s="54" t="s">
        <v>45</v>
      </c>
      <c r="AB41" s="56" t="s">
        <v>1118</v>
      </c>
      <c r="AC41" s="47">
        <v>46191</v>
      </c>
      <c r="AD41" s="14" t="s">
        <v>743</v>
      </c>
      <c r="AE41" s="43" t="s">
        <v>1240</v>
      </c>
      <c r="AF41" s="43" t="s">
        <v>1240</v>
      </c>
      <c r="AG41" s="43" t="s">
        <v>1240</v>
      </c>
      <c r="AH41" s="43" t="s">
        <v>1240</v>
      </c>
      <c r="AI41" s="43" t="s">
        <v>1241</v>
      </c>
      <c r="AJ41" s="43" t="s">
        <v>1241</v>
      </c>
      <c r="AK41" s="43" t="s">
        <v>44</v>
      </c>
      <c r="AL41" s="43" t="s">
        <v>44</v>
      </c>
      <c r="AM41" s="48" t="s">
        <v>44</v>
      </c>
      <c r="AN41" s="14" t="s">
        <v>42</v>
      </c>
      <c r="AO41" s="14">
        <v>2</v>
      </c>
      <c r="AP41" s="14" t="s">
        <v>1687</v>
      </c>
      <c r="AQ41" s="43" t="s">
        <v>1243</v>
      </c>
      <c r="AR41" s="47">
        <v>24228</v>
      </c>
      <c r="AS41" s="47">
        <v>44558</v>
      </c>
      <c r="AT41" s="14" t="s">
        <v>42</v>
      </c>
      <c r="AU41" s="14" t="s">
        <v>42</v>
      </c>
      <c r="AV41" s="14" t="s">
        <v>42</v>
      </c>
      <c r="AW41" s="14" t="s">
        <v>42</v>
      </c>
      <c r="AX41" s="14" t="s">
        <v>1688</v>
      </c>
      <c r="AY41" s="14" t="s">
        <v>1273</v>
      </c>
      <c r="AZ41" s="14" t="s">
        <v>1274</v>
      </c>
      <c r="BA41" s="14" t="s">
        <v>1275</v>
      </c>
      <c r="BB41" s="43" t="s">
        <v>1248</v>
      </c>
      <c r="BC41" s="14" t="s">
        <v>1276</v>
      </c>
      <c r="BD41" s="14" t="s">
        <v>1241</v>
      </c>
      <c r="BE41" s="14" t="s">
        <v>1241</v>
      </c>
      <c r="BF41" s="14" t="s">
        <v>1250</v>
      </c>
      <c r="BG41" s="14" t="s">
        <v>1241</v>
      </c>
      <c r="BH41" s="14" t="s">
        <v>1241</v>
      </c>
      <c r="BI41" s="14" t="s">
        <v>1524</v>
      </c>
      <c r="BJ41" s="14" t="s">
        <v>1252</v>
      </c>
      <c r="BK41" s="47">
        <v>46169</v>
      </c>
      <c r="BL41" s="14" t="s">
        <v>1689</v>
      </c>
      <c r="BM41" s="14" t="s">
        <v>1690</v>
      </c>
      <c r="BN41" s="14" t="s">
        <v>1537</v>
      </c>
      <c r="BO41" s="14" t="s">
        <v>1691</v>
      </c>
      <c r="BP41" s="14" t="s">
        <v>1691</v>
      </c>
      <c r="BQ41" s="14" t="s">
        <v>1692</v>
      </c>
      <c r="BR41" s="14" t="s">
        <v>1241</v>
      </c>
      <c r="BS41" s="14" t="s">
        <v>42</v>
      </c>
      <c r="BT41" s="14" t="s">
        <v>1693</v>
      </c>
      <c r="BU41" s="14" t="s">
        <v>1259</v>
      </c>
      <c r="BV41" s="14" t="s">
        <v>1260</v>
      </c>
      <c r="BW41" s="14" t="s">
        <v>1261</v>
      </c>
      <c r="BX41" s="43" t="s">
        <v>42</v>
      </c>
      <c r="BY41" s="43" t="s">
        <v>42</v>
      </c>
      <c r="BZ41" s="43" t="s">
        <v>42</v>
      </c>
      <c r="CA41" s="43" t="s">
        <v>42</v>
      </c>
      <c r="CB41" s="14" t="s">
        <v>1282</v>
      </c>
      <c r="CC41" s="14" t="s">
        <v>872</v>
      </c>
      <c r="CD41" s="14" t="s">
        <v>1694</v>
      </c>
      <c r="CE41" s="14" t="s">
        <v>1695</v>
      </c>
      <c r="CF41" s="14" t="s">
        <v>1147</v>
      </c>
      <c r="CG41" s="14" t="s">
        <v>1155</v>
      </c>
      <c r="CH41" s="49">
        <v>1750905</v>
      </c>
      <c r="CI41" s="50">
        <f>IFERROR((CH41/30),0)</f>
        <v>58363.5</v>
      </c>
      <c r="CJ41" s="14">
        <v>0</v>
      </c>
      <c r="CK41" s="14">
        <v>0</v>
      </c>
      <c r="CL41" s="14">
        <f>CJ41+CK41</f>
        <v>0</v>
      </c>
      <c r="CM41" s="14">
        <v>0</v>
      </c>
      <c r="CN41" s="43">
        <f>CI41*CL41</f>
        <v>0</v>
      </c>
      <c r="CO41" s="50">
        <v>0</v>
      </c>
      <c r="CP41" s="14">
        <v>0</v>
      </c>
      <c r="CQ41" s="14">
        <v>0</v>
      </c>
      <c r="CR41" s="14">
        <v>0</v>
      </c>
      <c r="CS41" s="49">
        <v>0</v>
      </c>
      <c r="CT41" s="49">
        <v>0</v>
      </c>
      <c r="CU41" s="43" t="s">
        <v>1266</v>
      </c>
      <c r="CV41" s="47">
        <v>46192</v>
      </c>
      <c r="CW41" s="14" t="s">
        <v>1696</v>
      </c>
      <c r="CX41" s="14" t="s">
        <v>42</v>
      </c>
      <c r="CY41" s="14" t="s">
        <v>42</v>
      </c>
      <c r="CZ41" s="14" t="s">
        <v>42</v>
      </c>
      <c r="DA41" s="14" t="s">
        <v>42</v>
      </c>
      <c r="DB41" s="14" t="s">
        <v>1268</v>
      </c>
      <c r="DC41" s="47">
        <v>46191</v>
      </c>
      <c r="DD41" s="14" t="s">
        <v>1697</v>
      </c>
      <c r="DE41" s="47">
        <v>46227</v>
      </c>
      <c r="DF41" s="14" t="s">
        <v>1698</v>
      </c>
      <c r="DG41" s="47">
        <v>46230</v>
      </c>
    </row>
    <row r="42" spans="1:111" ht="136.5" customHeight="1">
      <c r="A42" s="68">
        <v>46184.526168981502</v>
      </c>
      <c r="B42" s="68">
        <v>46184.6386921296</v>
      </c>
      <c r="C42" s="69" t="s">
        <v>76</v>
      </c>
      <c r="D42" s="69" t="s">
        <v>293</v>
      </c>
      <c r="E42" s="70">
        <v>46174</v>
      </c>
      <c r="F42" s="69" t="s">
        <v>1104</v>
      </c>
      <c r="G42" s="69" t="s">
        <v>1105</v>
      </c>
      <c r="H42" s="69" t="s">
        <v>51</v>
      </c>
      <c r="I42" s="69" t="s">
        <v>134</v>
      </c>
      <c r="J42" s="71" t="s">
        <v>42</v>
      </c>
      <c r="K42" s="69" t="s">
        <v>1106</v>
      </c>
      <c r="L42" s="71" t="s">
        <v>1107</v>
      </c>
      <c r="M42" s="71" t="s">
        <v>1108</v>
      </c>
      <c r="N42" s="69" t="s">
        <v>139</v>
      </c>
      <c r="O42" s="69" t="s">
        <v>71</v>
      </c>
      <c r="P42" s="69" t="s">
        <v>41</v>
      </c>
      <c r="Q42" s="69" t="s">
        <v>42</v>
      </c>
      <c r="R42" s="71" t="s">
        <v>42</v>
      </c>
      <c r="S42" s="71" t="s">
        <v>42</v>
      </c>
      <c r="T42" s="69" t="s">
        <v>1109</v>
      </c>
      <c r="U42" s="69" t="s">
        <v>44</v>
      </c>
      <c r="V42" s="69" t="s">
        <v>44</v>
      </c>
      <c r="W42" s="69" t="s">
        <v>44</v>
      </c>
      <c r="X42" s="69" t="s">
        <v>44</v>
      </c>
      <c r="Y42" s="69" t="s">
        <v>44</v>
      </c>
      <c r="Z42" s="69" t="s">
        <v>1110</v>
      </c>
      <c r="AA42" s="69" t="s">
        <v>45</v>
      </c>
      <c r="AB42" s="72" t="s">
        <v>1111</v>
      </c>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row>
    <row r="43" spans="1:111" ht="136.5" customHeight="1">
      <c r="A43" s="68">
        <v>46184.422407407401</v>
      </c>
      <c r="B43" s="68">
        <v>46184.526087963</v>
      </c>
      <c r="C43" s="69" t="s">
        <v>76</v>
      </c>
      <c r="D43" s="69" t="s">
        <v>271</v>
      </c>
      <c r="E43" s="70">
        <v>46175</v>
      </c>
      <c r="F43" s="69" t="s">
        <v>1099</v>
      </c>
      <c r="G43" s="69" t="s">
        <v>872</v>
      </c>
      <c r="H43" s="69" t="s">
        <v>157</v>
      </c>
      <c r="I43" s="69" t="s">
        <v>34</v>
      </c>
      <c r="J43" s="71" t="s">
        <v>88</v>
      </c>
      <c r="K43" s="69" t="s">
        <v>728</v>
      </c>
      <c r="L43" s="71" t="s">
        <v>1100</v>
      </c>
      <c r="M43" s="71" t="s">
        <v>730</v>
      </c>
      <c r="N43" s="69" t="s">
        <v>56</v>
      </c>
      <c r="O43" s="69" t="s">
        <v>40</v>
      </c>
      <c r="P43" s="69" t="s">
        <v>41</v>
      </c>
      <c r="Q43" s="69" t="s">
        <v>42</v>
      </c>
      <c r="R43" s="71" t="s">
        <v>88</v>
      </c>
      <c r="S43" s="71" t="s">
        <v>88</v>
      </c>
      <c r="T43" s="69" t="s">
        <v>1101</v>
      </c>
      <c r="U43" s="69" t="s">
        <v>44</v>
      </c>
      <c r="V43" s="69" t="s">
        <v>44</v>
      </c>
      <c r="W43" s="69" t="s">
        <v>45</v>
      </c>
      <c r="X43" s="69" t="s">
        <v>44</v>
      </c>
      <c r="Y43" s="69" t="s">
        <v>44</v>
      </c>
      <c r="Z43" s="69" t="s">
        <v>1102</v>
      </c>
      <c r="AA43" s="69" t="s">
        <v>45</v>
      </c>
      <c r="AB43" s="72" t="s">
        <v>1103</v>
      </c>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c r="DB43" s="63"/>
      <c r="DC43" s="63"/>
      <c r="DD43" s="63"/>
      <c r="DE43" s="63"/>
      <c r="DF43" s="63"/>
      <c r="DG43" s="63"/>
    </row>
    <row r="44" spans="1:111" s="63" customFormat="1" ht="136.5" customHeight="1">
      <c r="A44" s="13">
        <v>46167</v>
      </c>
      <c r="B44" s="13">
        <v>46167</v>
      </c>
      <c r="C44" s="54" t="s">
        <v>76</v>
      </c>
      <c r="D44" s="54" t="s">
        <v>1699</v>
      </c>
      <c r="E44" s="47">
        <v>46176</v>
      </c>
      <c r="F44" s="54" t="s">
        <v>1390</v>
      </c>
      <c r="G44" s="54" t="s">
        <v>793</v>
      </c>
      <c r="H44" s="54" t="s">
        <v>51</v>
      </c>
      <c r="I44" s="54" t="s">
        <v>34</v>
      </c>
      <c r="J44" s="55" t="s">
        <v>42</v>
      </c>
      <c r="K44" s="54" t="s">
        <v>1700</v>
      </c>
      <c r="L44" s="55" t="s">
        <v>795</v>
      </c>
      <c r="M44" s="55" t="s">
        <v>796</v>
      </c>
      <c r="N44" s="54" t="s">
        <v>1701</v>
      </c>
      <c r="O44" s="54" t="s">
        <v>1702</v>
      </c>
      <c r="P44" s="54" t="s">
        <v>41</v>
      </c>
      <c r="Q44" s="54" t="s">
        <v>1703</v>
      </c>
      <c r="R44" s="55" t="s">
        <v>88</v>
      </c>
      <c r="S44" s="55" t="s">
        <v>88</v>
      </c>
      <c r="T44" s="54" t="s">
        <v>1066</v>
      </c>
      <c r="U44" s="54" t="s">
        <v>44</v>
      </c>
      <c r="V44" s="54" t="s">
        <v>45</v>
      </c>
      <c r="W44" s="54" t="s">
        <v>44</v>
      </c>
      <c r="X44" s="54" t="s">
        <v>44</v>
      </c>
      <c r="Y44" s="54" t="s">
        <v>44</v>
      </c>
      <c r="Z44" s="54" t="s">
        <v>1067</v>
      </c>
      <c r="AA44" s="54" t="s">
        <v>45</v>
      </c>
      <c r="AB44" s="57" t="s">
        <v>1068</v>
      </c>
      <c r="AC44" s="47">
        <v>46189</v>
      </c>
      <c r="AD44" s="14" t="s">
        <v>1704</v>
      </c>
      <c r="AE44" s="43" t="s">
        <v>1240</v>
      </c>
      <c r="AF44" s="43" t="s">
        <v>1240</v>
      </c>
      <c r="AG44" s="43" t="s">
        <v>1240</v>
      </c>
      <c r="AH44" s="43" t="s">
        <v>1240</v>
      </c>
      <c r="AI44" s="43" t="s">
        <v>1241</v>
      </c>
      <c r="AJ44" s="43" t="s">
        <v>1240</v>
      </c>
      <c r="AK44" s="43" t="s">
        <v>44</v>
      </c>
      <c r="AL44" s="43" t="s">
        <v>44</v>
      </c>
      <c r="AM44" s="48" t="s">
        <v>44</v>
      </c>
      <c r="AN44" s="14" t="s">
        <v>42</v>
      </c>
      <c r="AO44" s="14">
        <v>1</v>
      </c>
      <c r="AP44" s="14" t="s">
        <v>1705</v>
      </c>
      <c r="AQ44" s="14" t="s">
        <v>1243</v>
      </c>
      <c r="AR44" s="47">
        <v>27536</v>
      </c>
      <c r="AS44" s="47">
        <v>45627</v>
      </c>
      <c r="AT44" s="14" t="s">
        <v>1241</v>
      </c>
      <c r="AU44" s="14" t="s">
        <v>1241</v>
      </c>
      <c r="AV44" s="14" t="s">
        <v>1706</v>
      </c>
      <c r="AW44" s="14" t="s">
        <v>1241</v>
      </c>
      <c r="AX44" s="14" t="s">
        <v>1241</v>
      </c>
      <c r="AY44" s="14" t="s">
        <v>1300</v>
      </c>
      <c r="AZ44" s="14" t="s">
        <v>1274</v>
      </c>
      <c r="BA44" s="14" t="s">
        <v>1275</v>
      </c>
      <c r="BB44" s="14" t="s">
        <v>1301</v>
      </c>
      <c r="BC44" s="14" t="s">
        <v>1707</v>
      </c>
      <c r="BD44" s="47">
        <v>46167</v>
      </c>
      <c r="BE44" s="47">
        <v>46168</v>
      </c>
      <c r="BF44" s="14" t="s">
        <v>1250</v>
      </c>
      <c r="BG44" s="14" t="s">
        <v>1241</v>
      </c>
      <c r="BH44" s="14" t="s">
        <v>1241</v>
      </c>
      <c r="BI44" s="14" t="s">
        <v>1708</v>
      </c>
      <c r="BJ44" s="14" t="s">
        <v>1709</v>
      </c>
      <c r="BK44" s="47">
        <v>46167</v>
      </c>
      <c r="BL44" s="14" t="s">
        <v>1710</v>
      </c>
      <c r="BM44" s="14" t="s">
        <v>1664</v>
      </c>
      <c r="BN44" s="14" t="s">
        <v>1711</v>
      </c>
      <c r="BO44" s="14" t="s">
        <v>1712</v>
      </c>
      <c r="BP44" s="14" t="s">
        <v>1335</v>
      </c>
      <c r="BQ44" s="14" t="s">
        <v>1335</v>
      </c>
      <c r="BR44" s="14" t="s">
        <v>1241</v>
      </c>
      <c r="BS44" s="14" t="s">
        <v>1241</v>
      </c>
      <c r="BT44" s="14" t="s">
        <v>1713</v>
      </c>
      <c r="BU44" s="14" t="s">
        <v>1259</v>
      </c>
      <c r="BV44" s="14" t="s">
        <v>1310</v>
      </c>
      <c r="BW44" s="14" t="s">
        <v>1261</v>
      </c>
      <c r="BX44" s="43" t="s">
        <v>1311</v>
      </c>
      <c r="BY44" s="43" t="s">
        <v>1714</v>
      </c>
      <c r="BZ44" s="43" t="s">
        <v>1715</v>
      </c>
      <c r="CA44" s="43" t="s">
        <v>1716</v>
      </c>
      <c r="CB44" s="14" t="s">
        <v>1472</v>
      </c>
      <c r="CC44" s="14" t="s">
        <v>1263</v>
      </c>
      <c r="CD44" s="14" t="s">
        <v>1717</v>
      </c>
      <c r="CE44" s="14" t="s">
        <v>1718</v>
      </c>
      <c r="CF44" s="14" t="s">
        <v>1147</v>
      </c>
      <c r="CG44" s="14" t="s">
        <v>1152</v>
      </c>
      <c r="CH44" s="49">
        <v>1750906</v>
      </c>
      <c r="CI44" s="50">
        <f>IFERROR((CH44/30),0)</f>
        <v>58363.533333333333</v>
      </c>
      <c r="CJ44" s="14">
        <v>5</v>
      </c>
      <c r="CK44" s="14">
        <v>0</v>
      </c>
      <c r="CL44" s="14">
        <v>5</v>
      </c>
      <c r="CM44" s="14">
        <v>0</v>
      </c>
      <c r="CN44" s="43" t="s">
        <v>1719</v>
      </c>
      <c r="CO44" s="50">
        <v>0</v>
      </c>
      <c r="CP44" s="14">
        <v>0</v>
      </c>
      <c r="CQ44" s="14">
        <v>0</v>
      </c>
      <c r="CR44" s="14">
        <v>0</v>
      </c>
      <c r="CS44" s="49">
        <v>0</v>
      </c>
      <c r="CT44" s="14">
        <v>0</v>
      </c>
      <c r="CU44" s="14" t="s">
        <v>1266</v>
      </c>
      <c r="CV44" s="47">
        <v>46189</v>
      </c>
      <c r="CW44" s="14" t="s">
        <v>1720</v>
      </c>
      <c r="CX44" s="14" t="s">
        <v>42</v>
      </c>
      <c r="CY44" s="14" t="s">
        <v>42</v>
      </c>
      <c r="CZ44" s="14" t="s">
        <v>42</v>
      </c>
      <c r="DA44" s="14" t="s">
        <v>42</v>
      </c>
      <c r="DB44" s="14" t="s">
        <v>1721</v>
      </c>
      <c r="DC44" s="47">
        <v>46191</v>
      </c>
      <c r="DD44" s="14" t="s">
        <v>1722</v>
      </c>
      <c r="DE44" s="47">
        <v>46192</v>
      </c>
      <c r="DF44" s="14" t="s">
        <v>1723</v>
      </c>
      <c r="DG44" s="47">
        <v>46192</v>
      </c>
    </row>
    <row r="45" spans="1:111" s="63" customFormat="1" ht="136.5" customHeight="1">
      <c r="A45" s="68">
        <v>46176.471504629597</v>
      </c>
      <c r="B45" s="68">
        <v>46176.478692129604</v>
      </c>
      <c r="C45" s="69" t="s">
        <v>76</v>
      </c>
      <c r="D45" s="69" t="s">
        <v>988</v>
      </c>
      <c r="E45" s="70">
        <v>46176</v>
      </c>
      <c r="F45" s="69" t="s">
        <v>1059</v>
      </c>
      <c r="G45" s="69" t="s">
        <v>1060</v>
      </c>
      <c r="H45" s="69" t="s">
        <v>168</v>
      </c>
      <c r="I45" s="69" t="s">
        <v>34</v>
      </c>
      <c r="J45" s="71" t="s">
        <v>1061</v>
      </c>
      <c r="K45" s="69" t="s">
        <v>1062</v>
      </c>
      <c r="L45" s="71" t="s">
        <v>1063</v>
      </c>
      <c r="M45" s="71" t="s">
        <v>1064</v>
      </c>
      <c r="N45" s="69" t="s">
        <v>39</v>
      </c>
      <c r="O45" s="69" t="s">
        <v>1065</v>
      </c>
      <c r="P45" s="69" t="s">
        <v>41</v>
      </c>
      <c r="Q45" s="69" t="s">
        <v>59</v>
      </c>
      <c r="R45" s="71" t="s">
        <v>88</v>
      </c>
      <c r="S45" s="71" t="s">
        <v>88</v>
      </c>
      <c r="T45" s="69" t="s">
        <v>1066</v>
      </c>
      <c r="U45" s="69" t="s">
        <v>44</v>
      </c>
      <c r="V45" s="69" t="s">
        <v>45</v>
      </c>
      <c r="W45" s="69" t="s">
        <v>44</v>
      </c>
      <c r="X45" s="69" t="s">
        <v>44</v>
      </c>
      <c r="Y45" s="69" t="s">
        <v>44</v>
      </c>
      <c r="Z45" s="69" t="s">
        <v>1067</v>
      </c>
      <c r="AA45" s="69" t="s">
        <v>45</v>
      </c>
      <c r="AB45" s="73" t="s">
        <v>1068</v>
      </c>
      <c r="AE45" s="63" t="s">
        <v>1240</v>
      </c>
      <c r="AF45" s="63" t="s">
        <v>1240</v>
      </c>
      <c r="AG45" s="63" t="s">
        <v>1240</v>
      </c>
      <c r="AH45" s="63" t="s">
        <v>1240</v>
      </c>
      <c r="AI45" s="63" t="s">
        <v>1241</v>
      </c>
      <c r="AJ45" s="63" t="s">
        <v>1240</v>
      </c>
      <c r="AK45" s="63" t="s">
        <v>44</v>
      </c>
      <c r="AL45" s="63" t="s">
        <v>44</v>
      </c>
      <c r="AM45" s="74" t="s">
        <v>44</v>
      </c>
      <c r="AN45" s="63" t="s">
        <v>42</v>
      </c>
      <c r="AO45" s="63">
        <v>4</v>
      </c>
      <c r="CG45" s="63" t="s">
        <v>1155</v>
      </c>
      <c r="CH45" s="75">
        <v>2079709</v>
      </c>
      <c r="CI45" s="75">
        <f>IFERROR((CH45/30),0)</f>
        <v>69323.633333333331</v>
      </c>
      <c r="CJ45" s="63">
        <v>0</v>
      </c>
      <c r="CK45" s="63">
        <v>0</v>
      </c>
      <c r="CL45" s="63">
        <v>0</v>
      </c>
      <c r="CM45" s="63">
        <v>0</v>
      </c>
      <c r="CN45" s="63">
        <v>0</v>
      </c>
      <c r="CO45" s="75">
        <v>0</v>
      </c>
    </row>
    <row r="46" spans="1:111" s="63" customFormat="1" ht="136.5" customHeight="1">
      <c r="A46" s="68">
        <v>46184.419768518499</v>
      </c>
      <c r="B46" s="68">
        <v>46184.422083333302</v>
      </c>
      <c r="C46" s="69" t="s">
        <v>76</v>
      </c>
      <c r="D46" s="69" t="s">
        <v>293</v>
      </c>
      <c r="E46" s="70">
        <v>46177</v>
      </c>
      <c r="F46" s="69" t="s">
        <v>665</v>
      </c>
      <c r="G46" s="69" t="s">
        <v>872</v>
      </c>
      <c r="H46" s="69" t="s">
        <v>157</v>
      </c>
      <c r="I46" s="69" t="s">
        <v>34</v>
      </c>
      <c r="J46" s="71" t="s">
        <v>88</v>
      </c>
      <c r="K46" s="69" t="s">
        <v>1094</v>
      </c>
      <c r="L46" s="71" t="s">
        <v>1095</v>
      </c>
      <c r="M46" s="71" t="s">
        <v>984</v>
      </c>
      <c r="N46" s="69" t="s">
        <v>39</v>
      </c>
      <c r="O46" s="69" t="s">
        <v>71</v>
      </c>
      <c r="P46" s="69" t="s">
        <v>58</v>
      </c>
      <c r="Q46" s="69" t="s">
        <v>42</v>
      </c>
      <c r="R46" s="71" t="s">
        <v>42</v>
      </c>
      <c r="S46" s="71" t="s">
        <v>42</v>
      </c>
      <c r="T46" s="69" t="s">
        <v>1096</v>
      </c>
      <c r="U46" s="69" t="s">
        <v>44</v>
      </c>
      <c r="V46" s="69" t="s">
        <v>44</v>
      </c>
      <c r="W46" s="69" t="s">
        <v>44</v>
      </c>
      <c r="X46" s="69" t="s">
        <v>44</v>
      </c>
      <c r="Y46" s="69" t="s">
        <v>44</v>
      </c>
      <c r="Z46" s="69" t="s">
        <v>1097</v>
      </c>
      <c r="AA46" s="69" t="s">
        <v>45</v>
      </c>
      <c r="AB46" s="72" t="s">
        <v>1098</v>
      </c>
    </row>
    <row r="47" spans="1:111" ht="136.5" customHeight="1">
      <c r="A47" s="68">
        <v>46182.599756944401</v>
      </c>
      <c r="B47" s="68">
        <v>46182.6073958333</v>
      </c>
      <c r="C47" s="69" t="s">
        <v>76</v>
      </c>
      <c r="D47" s="69" t="s">
        <v>1069</v>
      </c>
      <c r="E47" s="70">
        <v>46181</v>
      </c>
      <c r="F47" s="69" t="s">
        <v>1070</v>
      </c>
      <c r="G47" s="69" t="s">
        <v>1071</v>
      </c>
      <c r="H47" s="69" t="s">
        <v>753</v>
      </c>
      <c r="I47" s="69" t="s">
        <v>34</v>
      </c>
      <c r="J47" s="71" t="s">
        <v>1072</v>
      </c>
      <c r="K47" s="69" t="s">
        <v>1073</v>
      </c>
      <c r="L47" s="71" t="s">
        <v>1074</v>
      </c>
      <c r="M47" s="71" t="s">
        <v>1075</v>
      </c>
      <c r="N47" s="69" t="s">
        <v>56</v>
      </c>
      <c r="O47" s="69" t="s">
        <v>71</v>
      </c>
      <c r="P47" s="69" t="s">
        <v>72</v>
      </c>
      <c r="Q47" s="69" t="s">
        <v>42</v>
      </c>
      <c r="R47" s="71" t="s">
        <v>42</v>
      </c>
      <c r="S47" s="71" t="s">
        <v>42</v>
      </c>
      <c r="T47" s="69" t="s">
        <v>1076</v>
      </c>
      <c r="U47" s="69" t="s">
        <v>45</v>
      </c>
      <c r="V47" s="69" t="s">
        <v>45</v>
      </c>
      <c r="W47" s="69" t="s">
        <v>45</v>
      </c>
      <c r="X47" s="69" t="s">
        <v>44</v>
      </c>
      <c r="Y47" s="69" t="s">
        <v>45</v>
      </c>
      <c r="Z47" s="69" t="s">
        <v>42</v>
      </c>
      <c r="AA47" s="69" t="s">
        <v>45</v>
      </c>
      <c r="AB47" s="72" t="s">
        <v>1077</v>
      </c>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row>
    <row r="48" spans="1:111" s="63" customFormat="1" ht="136.5" customHeight="1">
      <c r="A48" s="68">
        <v>46191.426030092603</v>
      </c>
      <c r="B48" s="68">
        <v>46191.471412036997</v>
      </c>
      <c r="C48" s="69" t="s">
        <v>76</v>
      </c>
      <c r="D48" s="69" t="s">
        <v>101</v>
      </c>
      <c r="E48" s="70">
        <v>46191</v>
      </c>
      <c r="F48" s="69" t="s">
        <v>1119</v>
      </c>
      <c r="G48" s="69" t="s">
        <v>1120</v>
      </c>
      <c r="H48" s="69" t="s">
        <v>66</v>
      </c>
      <c r="I48" s="69" t="s">
        <v>34</v>
      </c>
      <c r="J48" s="71" t="s">
        <v>42</v>
      </c>
      <c r="K48" s="69" t="s">
        <v>1121</v>
      </c>
      <c r="L48" s="71" t="s">
        <v>1122</v>
      </c>
      <c r="M48" s="71" t="s">
        <v>1123</v>
      </c>
      <c r="N48" s="69" t="s">
        <v>1124</v>
      </c>
      <c r="O48" s="69" t="s">
        <v>71</v>
      </c>
      <c r="P48" s="69" t="s">
        <v>41</v>
      </c>
      <c r="Q48" s="69" t="s">
        <v>42</v>
      </c>
      <c r="R48" s="71" t="s">
        <v>88</v>
      </c>
      <c r="S48" s="71" t="s">
        <v>88</v>
      </c>
      <c r="T48" s="69" t="s">
        <v>1125</v>
      </c>
      <c r="U48" s="69" t="s">
        <v>44</v>
      </c>
      <c r="V48" s="69" t="s">
        <v>45</v>
      </c>
      <c r="W48" s="69" t="s">
        <v>45</v>
      </c>
      <c r="X48" s="69" t="s">
        <v>44</v>
      </c>
      <c r="Y48" s="69" t="s">
        <v>45</v>
      </c>
      <c r="Z48" s="69" t="s">
        <v>1126</v>
      </c>
      <c r="AA48" s="69" t="s">
        <v>45</v>
      </c>
      <c r="AB48" s="72"/>
    </row>
    <row r="49" spans="97:111" ht="136.5" customHeight="1">
      <c r="CS49" s="14"/>
      <c r="CT49" s="14"/>
      <c r="DG49" s="14"/>
    </row>
    <row r="50" spans="97:111" ht="136.5" customHeight="1"/>
    <row r="51" spans="97:111" ht="136.5" customHeight="1"/>
    <row r="52" spans="97:111" ht="136.5" customHeight="1"/>
    <row r="53" spans="97:111" ht="136.5" customHeight="1"/>
    <row r="54" spans="97:111" ht="136.5" customHeight="1"/>
    <row r="55" spans="97:111" ht="136.5" customHeight="1"/>
    <row r="56" spans="97:111" ht="136.5" customHeight="1"/>
    <row r="57" spans="97:111" ht="136.5" customHeight="1"/>
    <row r="58" spans="97:111" ht="136.5" customHeight="1"/>
    <row r="59" spans="97:111" ht="136.5" customHeight="1"/>
    <row r="60" spans="97:111" ht="136.5" customHeight="1"/>
    <row r="61" spans="97:111" ht="136.5" customHeight="1"/>
    <row r="62" spans="97:111" ht="136.5" customHeight="1"/>
    <row r="63" spans="97:111" ht="136.5" customHeight="1"/>
    <row r="64" spans="97:111" ht="136.5" customHeight="1"/>
    <row r="65" ht="136.5" customHeight="1"/>
    <row r="66" ht="136.5" customHeight="1"/>
    <row r="67" ht="136.5" customHeight="1"/>
    <row r="68" ht="136.5" customHeight="1"/>
  </sheetData>
  <sortState xmlns:xlrd2="http://schemas.microsoft.com/office/spreadsheetml/2017/richdata2" ref="A2:DG68">
    <sortCondition ref="E2:E68"/>
  </sortState>
  <conditionalFormatting sqref="CU2:CU36">
    <cfRule type="cellIs" dxfId="34" priority="35" operator="equal">
      <formula>"BAJA"</formula>
    </cfRule>
  </conditionalFormatting>
  <conditionalFormatting sqref="CU2:CU36">
    <cfRule type="cellIs" dxfId="33" priority="34" operator="equal">
      <formula>"MEDIA"</formula>
    </cfRule>
  </conditionalFormatting>
  <conditionalFormatting sqref="CU2:CU36">
    <cfRule type="cellIs" dxfId="32" priority="33" operator="equal">
      <formula>"ALTO"</formula>
    </cfRule>
  </conditionalFormatting>
  <conditionalFormatting sqref="CU2:CU36">
    <cfRule type="cellIs" dxfId="31" priority="32" operator="equal">
      <formula>"BAJO"</formula>
    </cfRule>
  </conditionalFormatting>
  <conditionalFormatting sqref="CU2:CU36">
    <cfRule type="cellIs" dxfId="30" priority="31" operator="equal">
      <formula>"MEDIO"</formula>
    </cfRule>
  </conditionalFormatting>
  <conditionalFormatting sqref="CU37:CU38">
    <cfRule type="cellIs" dxfId="29" priority="30" operator="equal">
      <formula>"BAJA"</formula>
    </cfRule>
  </conditionalFormatting>
  <conditionalFormatting sqref="CU37:CU38">
    <cfRule type="cellIs" dxfId="28" priority="29" operator="equal">
      <formula>"MEDIA"</formula>
    </cfRule>
  </conditionalFormatting>
  <conditionalFormatting sqref="CU37:CU38">
    <cfRule type="cellIs" dxfId="27" priority="28" operator="equal">
      <formula>"ALTO"</formula>
    </cfRule>
  </conditionalFormatting>
  <conditionalFormatting sqref="CU37:CU38">
    <cfRule type="cellIs" dxfId="26" priority="27" operator="equal">
      <formula>"BAJO"</formula>
    </cfRule>
  </conditionalFormatting>
  <conditionalFormatting sqref="CU37:CU38">
    <cfRule type="cellIs" dxfId="25" priority="26" operator="equal">
      <formula>"MEDIO"</formula>
    </cfRule>
  </conditionalFormatting>
  <conditionalFormatting sqref="CU39">
    <cfRule type="cellIs" dxfId="24" priority="25" operator="equal">
      <formula>"BAJA"</formula>
    </cfRule>
  </conditionalFormatting>
  <conditionalFormatting sqref="CU39">
    <cfRule type="cellIs" dxfId="23" priority="24" operator="equal">
      <formula>"MEDIA"</formula>
    </cfRule>
  </conditionalFormatting>
  <conditionalFormatting sqref="CU39">
    <cfRule type="cellIs" dxfId="22" priority="23" operator="equal">
      <formula>"ALTO"</formula>
    </cfRule>
  </conditionalFormatting>
  <conditionalFormatting sqref="CU39">
    <cfRule type="cellIs" dxfId="21" priority="22" operator="equal">
      <formula>"BAJO"</formula>
    </cfRule>
  </conditionalFormatting>
  <conditionalFormatting sqref="CU39">
    <cfRule type="cellIs" dxfId="20" priority="21" operator="equal">
      <formula>"MEDIO"</formula>
    </cfRule>
  </conditionalFormatting>
  <conditionalFormatting sqref="CU41">
    <cfRule type="cellIs" dxfId="19" priority="20" operator="equal">
      <formula>"BAJA"</formula>
    </cfRule>
  </conditionalFormatting>
  <conditionalFormatting sqref="CU41">
    <cfRule type="cellIs" dxfId="18" priority="19" operator="equal">
      <formula>"MEDIA"</formula>
    </cfRule>
  </conditionalFormatting>
  <conditionalFormatting sqref="CU41">
    <cfRule type="cellIs" dxfId="17" priority="18" operator="equal">
      <formula>"ALTO"</formula>
    </cfRule>
  </conditionalFormatting>
  <conditionalFormatting sqref="CU41">
    <cfRule type="cellIs" dxfId="16" priority="17" operator="equal">
      <formula>"BAJO"</formula>
    </cfRule>
  </conditionalFormatting>
  <conditionalFormatting sqref="CU41">
    <cfRule type="cellIs" dxfId="15" priority="16" operator="equal">
      <formula>"MEDIO"</formula>
    </cfRule>
  </conditionalFormatting>
  <conditionalFormatting sqref="CU42">
    <cfRule type="cellIs" dxfId="14" priority="15" operator="equal">
      <formula>"BAJA"</formula>
    </cfRule>
  </conditionalFormatting>
  <conditionalFormatting sqref="CU42">
    <cfRule type="cellIs" dxfId="13" priority="14" operator="equal">
      <formula>"MEDIA"</formula>
    </cfRule>
  </conditionalFormatting>
  <conditionalFormatting sqref="CU42">
    <cfRule type="cellIs" dxfId="12" priority="13" operator="equal">
      <formula>"ALTO"</formula>
    </cfRule>
  </conditionalFormatting>
  <conditionalFormatting sqref="CU42">
    <cfRule type="cellIs" dxfId="11" priority="12" operator="equal">
      <formula>"BAJO"</formula>
    </cfRule>
  </conditionalFormatting>
  <conditionalFormatting sqref="CU42">
    <cfRule type="cellIs" dxfId="10" priority="11" operator="equal">
      <formula>"MEDIO"</formula>
    </cfRule>
  </conditionalFormatting>
  <conditionalFormatting sqref="CU43">
    <cfRule type="cellIs" dxfId="9" priority="10" operator="equal">
      <formula>"BAJA"</formula>
    </cfRule>
  </conditionalFormatting>
  <conditionalFormatting sqref="CU43">
    <cfRule type="cellIs" dxfId="8" priority="9" operator="equal">
      <formula>"MEDIA"</formula>
    </cfRule>
  </conditionalFormatting>
  <conditionalFormatting sqref="CU43">
    <cfRule type="cellIs" dxfId="7" priority="8" operator="equal">
      <formula>"ALTO"</formula>
    </cfRule>
  </conditionalFormatting>
  <conditionalFormatting sqref="CU43">
    <cfRule type="cellIs" dxfId="6" priority="7" operator="equal">
      <formula>"BAJO"</formula>
    </cfRule>
  </conditionalFormatting>
  <conditionalFormatting sqref="CU43">
    <cfRule type="cellIs" dxfId="5" priority="6" operator="equal">
      <formula>"MEDIO"</formula>
    </cfRule>
  </conditionalFormatting>
  <conditionalFormatting sqref="CU47">
    <cfRule type="cellIs" dxfId="4" priority="5" operator="equal">
      <formula>"BAJA"</formula>
    </cfRule>
  </conditionalFormatting>
  <conditionalFormatting sqref="CU47">
    <cfRule type="cellIs" dxfId="3" priority="4" operator="equal">
      <formula>"MEDIA"</formula>
    </cfRule>
  </conditionalFormatting>
  <conditionalFormatting sqref="CU47">
    <cfRule type="cellIs" dxfId="2" priority="3" operator="equal">
      <formula>"ALTO"</formula>
    </cfRule>
  </conditionalFormatting>
  <conditionalFormatting sqref="CU47">
    <cfRule type="cellIs" dxfId="1" priority="2" operator="equal">
      <formula>"BAJO"</formula>
    </cfRule>
  </conditionalFormatting>
  <conditionalFormatting sqref="CU47">
    <cfRule type="cellIs" dxfId="0" priority="1" operator="equal">
      <formula>"MEDIO"</formula>
    </cfRule>
  </conditionalFormatting>
  <dataValidations count="4">
    <dataValidation type="list" allowBlank="1" showInputMessage="1" showErrorMessage="1" sqref="AJ5:AJ9 AK3:AL9 AE2:AH25 AJ2:AL2 AJ10:AL25 AY2:AY39 AE26:AL41 AE42:AH43 AJ42:AL43 AY42:AY43 AE47:AH47 AJ47:AL47 AY47" xr:uid="{57606525-1E4E-4151-B35A-020EE3BD58E8}">
      <formula1>"AT,IT,SVS,SVL,SVG,SVF,SVA,FM"</formula1>
    </dataValidation>
    <dataValidation type="list" allowBlank="1" showInputMessage="1" showErrorMessage="1" sqref="AZ2:AZ39 AZ42:AZ43 AZ47" xr:uid="{D483097F-6DE1-4066-AEFC-0DCB5866C592}">
      <formula1>"GRAVE,MODERADO,LEVE"</formula1>
    </dataValidation>
    <dataValidation type="list" allowBlank="1" showInputMessage="1" showErrorMessage="1" sqref="CU2:CU39 CU41:CU43 CU47" xr:uid="{28014F8C-EBEF-4488-B238-7D0F15FAB911}">
      <formula1>"ALTO,MEDIO,BAJO"</formula1>
    </dataValidation>
    <dataValidation type="list" allowBlank="1" showInputMessage="1" showErrorMessage="1" sqref="AQ41:AQ43 AQ2:AQ39 AQ47" xr:uid="{31E016BB-4472-49B8-B33A-F95B22D530CE}">
      <formula1>"MASCULINO,FEMENINO,NO ESPECIFICADO"</formula1>
    </dataValidation>
  </dataValidations>
  <hyperlinks>
    <hyperlink ref="AB20" r:id="rId1" display="https://emprestur-my.sharepoint.com/personal/alejandra_betancur_emprestur_com/Documents/Aplicaciones/Microsoft%20Forms/INFORMACI%C3%93N%20NOVEDAD%20_%20ACCIDENTES%2026042022%20(2)/SOPORTES%20PARA%20ANEXAR/WhatsApp%20Image%202026-03-16%20at%2011.19.31_anonymous.jpeg" xr:uid="{4BC8451B-313E-4C84-BCE2-91C3AA602EC0}"/>
    <hyperlink ref="AB10" r:id="rId2" display="https://emprestur-my.sharepoint.com/personal/alejandra_betancur_emprestur_com/Documents/Aplicaciones/Microsoft%20Forms/INFORMACI%C3%93N%20NOVEDAD%20_%20ACCIDENTES%2026042022%20(2)/SOPORTES%20PARA%20ANEXAR/WhatsApp%20Video%202026-02-16%20at%2007.31.16_anonymous.mp4" xr:uid="{36BBE38B-93E8-4F79-8CD3-D2A3F46A5602}"/>
    <hyperlink ref="AB22" r:id="rId3" display="https://emprestur-my.sharepoint.com/personal/alejandra_betancur_emprestur_com/Documents/Aplicaciones/Microsoft%20Forms/INFORMACI%C3%93N%20NOVEDAD%20_%20ACCIDENTES%2026042022%20(2)/SOPORTES%20PARA%20ANEXAR/WhatsApp%20Image%202026-03-24%20at%2015.14.35_anonymous.jpeg; https://emprestur-my.sharepoint.com/personal/alejandra_betancur_emprestur_com/Documents/Aplicaciones/Microsoft%20Forms/INFORMACI%C3%93N%20NOVEDAD%20_%20ACCIDENTES%2026042022%20(2)/SOPORTES%20PARA%20ANEXAR/WhatsApp%20Image%202026-03-24%20at%2015.14.35%20(1)_anonymous.jpeg; https://emprestur-my.sharepoint.com/personal/alejandra_betancur_emprestur_com/Documents/Aplicaciones/Microsoft%20Forms/INFORMACI%C3%93N%20NOVEDAD%20_%20ACCIDENTES%2026042022%20(2)/SOPORTES%20PARA%20ANEXAR/WhatsApp%20Image%202026-03-24%20at%2015.14.35%20(2)_anonymous.jpeg; https://emprestur-my.sharepoint.com/personal/alejandra_betancur_emprestur_com/Documents/Aplicaciones/Microsoft%20Forms/INFORMACI%C3%93N%20NOVEDAD%20_%20ACCIDENTES%2026042022%20(2)/SOPORTES%20PARA%20ANEXAR/WhatsApp%20Image%202026-03-24%20at%2015.14.35%20(3)_anonymous.jpeg" xr:uid="{D83ADCC9-0A7F-4448-B06C-7B9162C0387E}"/>
    <hyperlink ref="AB28" r:id="rId4" display="https://emprestur-my.sharepoint.com/personal/alejandra_betancur_emprestur_com/Documents/Aplicaciones/Microsoft%20Forms/INFORMACI%C3%93N%20NOVEDAD%20_%20ACCIDENTES%2026042022%20(2)/SOPORTES%20PARA%20ANEXAR/WhatsApp%20Image%202026-04-20%20at%2013.26.31_anonymous.jpeg" xr:uid="{48F7F910-A6AA-48A6-8CF9-9AE820E25A77}"/>
    <hyperlink ref="AB7" r:id="rId5" display="https://emprestur-my.sharepoint.com/personal/alejandra_betancur_emprestur_com/Documents/Aplicaciones/Microsoft%20Forms/INFORMACI%C3%93N%20NOVEDAD%20_%20ACCIDENTES%2026042022%20(2)/SOPORTES%20PARA%20ANEXAR/REGISTRO%20FOTOGR%C3%81FICO%20PXK221_anonymous.pdf; https://emprestur-my.sharepoint.com/personal/alejandra_betancur_emprestur_com/Documents/Aplicaciones/Microsoft%20Forms/INFORMACI%C3%93N%20NOVEDAD%20_%20ACCIDENTES%2026042022%20(2)/SOPORTES%20PARA%20ANEXAR/RECORRIDO%20PXK221%20desde%20las%2013_anonymous.pdf" xr:uid="{7F849197-5980-42BD-ACB1-8545F60D99BF}"/>
    <hyperlink ref="AB32" r:id="rId6" xr:uid="{3D34849E-20D8-4C1B-8A4B-E7DD5F79F6FC}"/>
    <hyperlink ref="AB38" r:id="rId7" display="https://emprestur-my.sharepoint.com/personal/alejandra_betancur_emprestur_com/Documents/Aplicaciones/Microsoft%20Forms/INFORMACI%C3%93N%20NOVEDAD%20_%20ACCIDENTES%2026042022%20(2)/SOPORTES%20PARA%20ANEXAR/WhatsApp%20Image%202026-05-21%20at%208.51.16%20AM%20(3)_anonymous.jpeg; https://emprestur-my.sharepoint.com/personal/alejandra_betancur_emprestur_com/Documents/Aplicaciones/Microsoft%20Forms/INFORMACI%C3%93N%20NOVEDAD%20_%20ACCIDENTES%2026042022%20(2)/SOPORTES%20PARA%20ANEXAR/WhatsApp%20Image%202026-05-21%20at%208.51.16%20AM%20(2)_anonymous.jpeg; https://emprestur-my.sharepoint.com/personal/alejandra_betancur_emprestur_com/Documents/Aplicaciones/Microsoft%20Forms/INFORMACI%C3%93N%20NOVEDAD%20_%20ACCIDENTES%2026042022%20(2)/SOPORTES%20PARA%20ANEXAR/WhatsApp%20Image%202026-05-21%20at%208.51.16%20AM%20(1)_anonymous.jpeg; https://emprestur-my.sharepoint.com/personal/alejandra_betancur_emprestur_com/Documents/Aplicaciones/Microsoft%20Forms/INFORMACI%C3%93N%20NOVEDAD%20_%20ACCIDENTES%2026042022%20(2)/SOPORTES%20PARA%20ANEXAR/WhatsApp%20Image%202026-05-21%20at%208.51.16%20AM_anonymous.jpeg; https://emprestur-my.sharepoint.com/personal/alejandra_betancur_emprestur_com/Documents/Aplicaciones/Microsoft%20Forms/INFORMACI%C3%93N%20NOVEDAD%20_%20ACCIDENTES%2026042022%20(2)/SOPORTES%20PARA%20ANEXAR/WhatsApp%20Image%202026-05-21%20at%208.51.15%20AM_anonymous.jpeg" xr:uid="{07890578-3444-4642-AAA5-4C0A2D0E9755}"/>
    <hyperlink ref="AB37" r:id="rId8" display="https://emprestur-my.sharepoint.com/personal/alejandra_betancur_emprestur_com/Documents/Aplicaciones/Microsoft%20Forms/INFORMACI%C3%93N%20NOVEDAD%20_%20ACCIDENTES%2026042022%20(2)/SOPORTES%20PARA%20ANEXAR/WhatsApp%20Image%202026-05-21%20at%2010.53.05%20AM_anonymous.jpeg; https://emprestur-my.sharepoint.com/personal/alejandra_betancur_emprestur_com/Documents/Aplicaciones/Microsoft%20Forms/INFORMACI%C3%93N%20NOVEDAD%20_%20ACCIDENTES%2026042022%20(2)/SOPORTES%20PARA%20ANEXAR/WhatsApp%20Video%202026-05-20%20at%206.00.21%20AM_anonymous.mp4; https://emprestur-my.sharepoint.com/personal/alejandra_betancur_emprestur_com/Documents/Aplicaciones/Microsoft%20Forms/INFORMACI%C3%93N%20NOVEDAD%20_%20ACCIDENTES%2026042022%20(2)/SOPORTES%20PARA%20ANEXAR/WhatsApp%20Video%202026-05-21%20at%2010.53.05%20AM_anonymous.mp4; https://emprestur-my.sharepoint.com/personal/alejandra_betancur_emprestur_com/Documents/Aplicaciones/Microsoft%20Forms/INFORMACI%C3%93N%20NOVEDAD%20_%20ACCIDENTES%2026042022%20(2)/SOPORTES%20PARA%20ANEXAR/WhatsApp%20Image%202026-05-21%20at%2011.11.54%20AM_anonymous.jpeg; https://emprestur-my.sharepoint.com/personal/alejandra_betancur_emprestur_com/Documents/Aplicaciones/Microsoft%20Forms/INFORMACI%C3%93N%20NOVEDAD%20_%20ACCIDENTES%2026042022%20(2)/SOPORTES%20PARA%20ANEXAR/WhatsApp%20Image%202026-05-21%20at%2011.11.55%20AM%20(1)_anonymous.jpeg; https://emprestur-my.sharepoint.com/personal/alejandra_betancur_emprestur_com/Documents/Aplicaciones/Microsoft%20Forms/INFORMACI%C3%93N%20NOVEDAD%20_%20ACCIDENTES%2026042022%20(2)/SOPORTES%20PARA%20ANEXAR/WhatsApp%20Image%202026-05-21%20at%2011.11.55%20AM_anonymous.jpeg" xr:uid="{4AFC3F4D-E168-47EA-8903-75BE12CDE0CA}"/>
    <hyperlink ref="AB40" r:id="rId9" xr:uid="{F9D7A474-6B89-4950-8BB4-E979F3634641}"/>
    <hyperlink ref="AB45" r:id="rId10" display="https://emprestur-my.sharepoint.com/personal/alejandra_betancur_emprestur_com/Documents/Aplicaciones/Microsoft%20Forms/INFORMACI%C3%93N%20NOVEDAD%20_%20ACCIDENTES%2026042022%20(2)/SOPORTES%20PARA%20ANEXAR/WhatsApp%20Image%202026-06-03%20at%2010.06.10%20AM_anonymous.jpeg; https://emprestur-my.sharepoint.com/personal/alejandra_betancur_emprestur_com/Documents/Aplicaciones/Microsoft%20Forms/INFORMACI%C3%93N%20NOVEDAD%20_%20ACCIDENTES%2026042022%20(2)/SOPORTES%20PARA%20ANEXAR/WhatsApp%20Image%202026-06-03%20at%2010.07.00%20AM_anonymous.jpeg" xr:uid="{03F32ECF-1DA0-484D-8276-369ABCB5EBEB}"/>
    <hyperlink ref="AB27" r:id="rId11" display="https://emprestur-my.sharepoint.com/personal/alejandra_betancur_emprestur_com/Documents/Aplicaciones/Microsoft%20Forms/INFORMACI%C3%93N%20NOVEDAD%20_%20ACCIDENTES%2026042022%20(2)/SOPORTES%20PARA%20ANEXAR/WhatsApp%20Image%202026-04-20%20at%2013.26.31_anonymous.jpeg" xr:uid="{432D5D5A-A0AC-4D04-8B7E-B65B56FA3907}"/>
    <hyperlink ref="AB29" r:id="rId12" display="https://emprestur-my.sharepoint.com/personal/alejandra_betancur_emprestur_com/Documents/Aplicaciones/Microsoft%20Forms/INFORMACI%C3%93N%20NOVEDAD%20_%20ACCIDENTES%2026042022%20(2)/SOPORTES%20PARA%20ANEXAR/WhatsApp%20Image%202026-04-20%20at%2013.26.31_anonymous.jpeg" xr:uid="{C47E35E9-E15C-42A8-8E3E-B20E6664C119}"/>
    <hyperlink ref="AB31" r:id="rId13" display="https://emprestur-my.sharepoint.com/personal/alejandra_betancur_emprestur_com/Documents/Aplicaciones/Microsoft%20Forms/INFORMACI%C3%93N%20NOVEDAD%20_%20ACCIDENTES%2026042022%20(2)/SOPORTES%20PARA%20ANEXAR/WhatsApp%20Image%202026-04-20%20at%2013.26.31_anonymous.jpeg" xr:uid="{5D7A852C-FE79-44DF-AEFE-41F835EA0281}"/>
    <hyperlink ref="AB30" r:id="rId14" display="https://emprestur-my.sharepoint.com/personal/alejandra_betancur_emprestur_com/Documents/Aplicaciones/Microsoft%20Forms/INFORMACI%C3%93N%20NOVEDAD%20_%20ACCIDENTES%2026042022%20(2)/SOPORTES%20PARA%20ANEXAR/WhatsApp%20Image%202026-04-20%20at%2013.26.31_anonymous.jpeg" xr:uid="{31E973BB-A03F-4525-A65B-5F0087C2C3EE}"/>
    <hyperlink ref="AB44" r:id="rId15" display="https://emprestur-my.sharepoint.com/personal/alejandra_betancur_emprestur_com/Documents/Aplicaciones/Microsoft%20Forms/INFORMACI%C3%93N%20NOVEDAD%20_%20ACCIDENTES%2026042022%20(2)/SOPORTES%20PARA%20ANEXAR/WhatsApp%20Image%202026-06-03%20at%2010.06.10%20AM_anonymous.jpeg; https://emprestur-my.sharepoint.com/personal/alejandra_betancur_emprestur_com/Documents/Aplicaciones/Microsoft%20Forms/INFORMACI%C3%93N%20NOVEDAD%20_%20ACCIDENTES%2026042022%20(2)/SOPORTES%20PARA%20ANEXAR/WhatsApp%20Image%202026-06-03%20at%2010.07.00%20AM_anonymous.jpeg" xr:uid="{64DAC3C9-B35E-4888-AF4B-EB1A9C427199}"/>
  </hyperlinks>
  <pageMargins left="0.7" right="0.7" top="0.75" bottom="0.75" header="0.3" footer="0.3"/>
  <extLst>
    <ext xmlns:x14="http://schemas.microsoft.com/office/spreadsheetml/2009/9/main" uri="{CCE6A557-97BC-4b89-ADB6-D9C93CAAB3DF}">
      <x14:dataValidations xmlns:xm="http://schemas.microsoft.com/office/excel/2006/main" count="13">
        <x14:dataValidation type="list" allowBlank="1" showInputMessage="1" showErrorMessage="1" xr:uid="{0A7C3397-6858-4884-9153-C64295C2F3C6}">
          <x14:formula1>
            <xm:f>Datos!$F$2:$F$17</xm:f>
          </x14:formula1>
          <xm:sqref>BX15 BX2:BX6 BX26:BX39 BX41:BX43 BX47</xm:sqref>
        </x14:dataValidation>
        <x14:dataValidation type="list" allowBlank="1" showInputMessage="1" showErrorMessage="1" xr:uid="{C1D946E8-5588-4982-B574-DD94DF08B52F}">
          <x14:formula1>
            <xm:f>Datos!$G$2:$G$13</xm:f>
          </x14:formula1>
          <xm:sqref>BY15 BY2:BY6 BY26:BY39 BY41:BY43 BY47</xm:sqref>
        </x14:dataValidation>
        <x14:dataValidation type="list" allowBlank="1" showInputMessage="1" showErrorMessage="1" xr:uid="{FB73B1DD-A26C-41BC-9F8A-49E7B26C555E}">
          <x14:formula1>
            <xm:f>Datos!$H$2:$H$11</xm:f>
          </x14:formula1>
          <xm:sqref>BZ15 BZ2:BZ6 BZ26:BZ39 BZ41:BZ43 BZ47</xm:sqref>
        </x14:dataValidation>
        <x14:dataValidation type="list" allowBlank="1" showInputMessage="1" showErrorMessage="1" xr:uid="{6A7FD525-EE5D-4D06-BEA7-9150FBEE97B2}">
          <x14:formula1>
            <xm:f>Datos!$I$2:$I$10</xm:f>
          </x14:formula1>
          <xm:sqref>CA15 CA2:CA6 CA26:CA39 CA41:CA43 CA47</xm:sqref>
        </x14:dataValidation>
        <x14:dataValidation type="list" allowBlank="1" showInputMessage="1" showErrorMessage="1" xr:uid="{21726397-0750-4E44-9E9F-57B5EA6FEEAA}">
          <x14:formula1>
            <xm:f>Datos!$J$2:$J$6</xm:f>
          </x14:formula1>
          <xm:sqref>CB2:CB39 CB41:CB43 CB47</xm:sqref>
        </x14:dataValidation>
        <x14:dataValidation type="list" allowBlank="1" showInputMessage="1" showErrorMessage="1" xr:uid="{2A061317-5AAA-4C25-905B-CE9BE730D427}">
          <x14:formula1>
            <xm:f>Datos!$A$2:$A$8</xm:f>
          </x14:formula1>
          <xm:sqref>BB2:BB39 BB41:BB43 BB47</xm:sqref>
        </x14:dataValidation>
        <x14:dataValidation type="list" allowBlank="1" showInputMessage="1" showErrorMessage="1" xr:uid="{BF5AB27F-5528-4425-8481-CEDBD644BA95}">
          <x14:formula1>
            <xm:f>Datos!$B$2:$B$8</xm:f>
          </x14:formula1>
          <xm:sqref>BM2:BM39 BM43</xm:sqref>
        </x14:dataValidation>
        <x14:dataValidation type="list" allowBlank="1" showInputMessage="1" showErrorMessage="1" xr:uid="{66281440-1196-4F1E-9F3A-6C1122EEBE86}">
          <x14:formula1>
            <xm:f>Datos!$C$2:$C$5</xm:f>
          </x14:formula1>
          <xm:sqref>BN42:BN43 BN39 BN2:BN36</xm:sqref>
        </x14:dataValidation>
        <x14:dataValidation type="list" allowBlank="1" showInputMessage="1" showErrorMessage="1" xr:uid="{91A1CEE8-5C84-4745-9576-54D182C59EC7}">
          <x14:formula1>
            <xm:f>Datos!$D$2:$D$5</xm:f>
          </x14:formula1>
          <xm:sqref>BV2:BV39 BV41:BV43 BV47</xm:sqref>
        </x14:dataValidation>
        <x14:dataValidation type="list" allowBlank="1" showInputMessage="1" showErrorMessage="1" xr:uid="{3EA7931F-2B7A-4C09-B82F-60EBEF2E13B8}">
          <x14:formula1>
            <xm:f>Datos!$E$2:$E$10</xm:f>
          </x14:formula1>
          <xm:sqref>BW2:BW39 BW41:BW43 BW47</xm:sqref>
        </x14:dataValidation>
        <x14:dataValidation type="list" allowBlank="1" showInputMessage="1" showErrorMessage="1" xr:uid="{4BFC1F02-9BED-4544-A268-31FFA29AE98D}">
          <x14:formula1>
            <xm:f>Datos!$K$2:$K$4</xm:f>
          </x14:formula1>
          <xm:sqref>CC2:CC39 CC41:CC43 CC47</xm:sqref>
        </x14:dataValidation>
        <x14:dataValidation type="list" allowBlank="1" showInputMessage="1" showErrorMessage="1" xr:uid="{34382F99-BB3A-4048-B796-1EC84ACFF68E}">
          <x14:formula1>
            <xm:f>Datos!$M$2:$M$7</xm:f>
          </x14:formula1>
          <xm:sqref>CG2:CG28 CG30 CG32:CG43 CG47</xm:sqref>
        </x14:dataValidation>
        <x14:dataValidation type="list" allowBlank="1" showInputMessage="1" showErrorMessage="1" xr:uid="{CEEC1866-D201-4D77-AD4D-21A71A0DA75C}">
          <x14:formula1>
            <xm:f>Datos!$L$2:$L$5</xm:f>
          </x14:formula1>
          <xm:sqref>CF2:CF39 CF41:CF43 CF47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AB909-4811-4088-ABD8-7CCFE5A31535}">
  <dimension ref="A1:M17"/>
  <sheetViews>
    <sheetView topLeftCell="A6" workbookViewId="0">
      <selection activeCell="A8" sqref="A8"/>
    </sheetView>
  </sheetViews>
  <sheetFormatPr defaultRowHeight="15"/>
  <cols>
    <col min="1" max="1" width="34.5703125" style="12" customWidth="1"/>
    <col min="2" max="2" width="18.140625" style="12" bestFit="1" customWidth="1"/>
    <col min="3" max="3" width="26.5703125" style="12" bestFit="1" customWidth="1"/>
    <col min="4" max="4" width="33" style="12" customWidth="1"/>
    <col min="5" max="5" width="40.5703125" style="1" customWidth="1"/>
    <col min="6" max="6" width="30.85546875" style="1" customWidth="1"/>
    <col min="7" max="7" width="26.42578125" style="1" customWidth="1"/>
    <col min="8" max="8" width="29.7109375" style="1" customWidth="1"/>
    <col min="9" max="9" width="23.140625" style="1" customWidth="1"/>
    <col min="10" max="10" width="16.7109375" style="1" customWidth="1"/>
    <col min="11" max="11" width="14.85546875" style="12" customWidth="1"/>
    <col min="12" max="12" width="24.42578125" style="12" customWidth="1"/>
    <col min="13" max="13" width="34.140625" style="12" customWidth="1"/>
    <col min="14" max="16384" width="9.140625" style="12"/>
  </cols>
  <sheetData>
    <row r="1" spans="1:13" ht="45.75" customHeight="1">
      <c r="A1" s="17" t="s">
        <v>1724</v>
      </c>
      <c r="B1" s="17" t="s">
        <v>1725</v>
      </c>
      <c r="C1" s="17" t="s">
        <v>1726</v>
      </c>
      <c r="D1" s="17" t="s">
        <v>1727</v>
      </c>
      <c r="E1" s="16" t="s">
        <v>1728</v>
      </c>
      <c r="F1" s="16" t="s">
        <v>1729</v>
      </c>
      <c r="G1" s="16" t="s">
        <v>1730</v>
      </c>
      <c r="H1" s="16" t="s">
        <v>1731</v>
      </c>
      <c r="I1" s="16" t="s">
        <v>1732</v>
      </c>
      <c r="J1" s="16" t="s">
        <v>1733</v>
      </c>
      <c r="K1" s="16" t="s">
        <v>1734</v>
      </c>
      <c r="L1" s="37" t="s">
        <v>1213</v>
      </c>
      <c r="M1" s="37" t="s">
        <v>1151</v>
      </c>
    </row>
    <row r="2" spans="1:13">
      <c r="A2" s="12" t="s">
        <v>1396</v>
      </c>
      <c r="B2" s="12" t="s">
        <v>1324</v>
      </c>
      <c r="C2" s="12" t="s">
        <v>1254</v>
      </c>
      <c r="D2" s="12" t="s">
        <v>1392</v>
      </c>
      <c r="E2" s="1" t="s">
        <v>1735</v>
      </c>
      <c r="F2" s="1" t="s">
        <v>1736</v>
      </c>
      <c r="G2" s="1" t="s">
        <v>1737</v>
      </c>
      <c r="H2" s="1" t="s">
        <v>1738</v>
      </c>
      <c r="I2" s="1" t="s">
        <v>1739</v>
      </c>
      <c r="J2" s="1" t="s">
        <v>1282</v>
      </c>
      <c r="K2" s="12" t="s">
        <v>1740</v>
      </c>
      <c r="L2" s="38" t="s">
        <v>1147</v>
      </c>
      <c r="M2" s="12" t="s">
        <v>1152</v>
      </c>
    </row>
    <row r="3" spans="1:13">
      <c r="A3" s="12" t="s">
        <v>1741</v>
      </c>
      <c r="B3" s="12" t="s">
        <v>1280</v>
      </c>
      <c r="C3" s="12" t="s">
        <v>1537</v>
      </c>
      <c r="D3" s="12" t="s">
        <v>1260</v>
      </c>
      <c r="E3" s="1" t="s">
        <v>1742</v>
      </c>
      <c r="F3" s="1" t="s">
        <v>1743</v>
      </c>
      <c r="G3" s="1" t="s">
        <v>1400</v>
      </c>
      <c r="H3" s="1" t="s">
        <v>1744</v>
      </c>
      <c r="I3" s="1" t="s">
        <v>1745</v>
      </c>
      <c r="J3" s="1" t="s">
        <v>1746</v>
      </c>
      <c r="K3" s="12" t="s">
        <v>872</v>
      </c>
      <c r="L3" s="38" t="s">
        <v>1141</v>
      </c>
      <c r="M3" s="12" t="s">
        <v>1153</v>
      </c>
    </row>
    <row r="4" spans="1:13" ht="45.75">
      <c r="A4" s="12" t="s">
        <v>1747</v>
      </c>
      <c r="B4" s="12" t="s">
        <v>1292</v>
      </c>
      <c r="C4" s="12" t="s">
        <v>1470</v>
      </c>
      <c r="D4" s="12" t="s">
        <v>1748</v>
      </c>
      <c r="E4" s="1" t="s">
        <v>1749</v>
      </c>
      <c r="F4" s="1" t="s">
        <v>1311</v>
      </c>
      <c r="G4" s="1" t="s">
        <v>1750</v>
      </c>
      <c r="H4" s="1" t="s">
        <v>1751</v>
      </c>
      <c r="I4" s="1" t="s">
        <v>1716</v>
      </c>
      <c r="J4" s="1" t="s">
        <v>1752</v>
      </c>
      <c r="K4" s="12" t="s">
        <v>1263</v>
      </c>
      <c r="L4" s="38" t="s">
        <v>1148</v>
      </c>
      <c r="M4" s="12" t="s">
        <v>1154</v>
      </c>
    </row>
    <row r="5" spans="1:13" ht="45.75">
      <c r="A5" s="12" t="s">
        <v>1753</v>
      </c>
      <c r="B5" s="12" t="s">
        <v>1253</v>
      </c>
      <c r="C5" s="12" t="s">
        <v>1754</v>
      </c>
      <c r="D5" s="12" t="s">
        <v>1310</v>
      </c>
      <c r="E5" s="1" t="s">
        <v>1755</v>
      </c>
      <c r="F5" s="1" t="s">
        <v>1756</v>
      </c>
      <c r="G5" s="1" t="s">
        <v>1714</v>
      </c>
      <c r="H5" s="1" t="s">
        <v>1313</v>
      </c>
      <c r="I5" s="1" t="s">
        <v>1757</v>
      </c>
      <c r="J5" s="1" t="s">
        <v>1758</v>
      </c>
      <c r="L5" s="38" t="s">
        <v>1149</v>
      </c>
      <c r="M5" s="12" t="s">
        <v>1155</v>
      </c>
    </row>
    <row r="6" spans="1:13" ht="45.75">
      <c r="A6" s="12" t="s">
        <v>1301</v>
      </c>
      <c r="B6" s="12" t="s">
        <v>1368</v>
      </c>
      <c r="E6" s="1" t="s">
        <v>1759</v>
      </c>
      <c r="F6" s="1" t="s">
        <v>1760</v>
      </c>
      <c r="G6" s="1" t="s">
        <v>1761</v>
      </c>
      <c r="H6" s="1" t="s">
        <v>1401</v>
      </c>
      <c r="I6" s="1" t="s">
        <v>1314</v>
      </c>
      <c r="J6" s="1" t="s">
        <v>1472</v>
      </c>
      <c r="M6" s="12" t="s">
        <v>1156</v>
      </c>
    </row>
    <row r="7" spans="1:13" ht="30.75">
      <c r="A7" s="12" t="s">
        <v>1248</v>
      </c>
      <c r="B7" s="12" t="s">
        <v>1429</v>
      </c>
      <c r="E7" s="1" t="s">
        <v>1261</v>
      </c>
      <c r="F7" s="1" t="s">
        <v>1762</v>
      </c>
      <c r="G7" s="1" t="s">
        <v>1312</v>
      </c>
      <c r="H7" s="1" t="s">
        <v>1763</v>
      </c>
      <c r="I7" s="1" t="s">
        <v>1764</v>
      </c>
      <c r="M7" s="12" t="s">
        <v>1157</v>
      </c>
    </row>
    <row r="8" spans="1:13" ht="60.75">
      <c r="A8" s="12" t="s">
        <v>1290</v>
      </c>
      <c r="B8" s="12" t="s">
        <v>1469</v>
      </c>
      <c r="E8" s="1" t="s">
        <v>1765</v>
      </c>
      <c r="F8" s="1" t="s">
        <v>1399</v>
      </c>
      <c r="G8" s="1" t="s">
        <v>1766</v>
      </c>
      <c r="H8" s="1" t="s">
        <v>1715</v>
      </c>
      <c r="I8" s="1" t="s">
        <v>1767</v>
      </c>
    </row>
    <row r="9" spans="1:13" ht="60.75">
      <c r="E9" s="1" t="s">
        <v>1768</v>
      </c>
      <c r="F9" s="1" t="s">
        <v>1769</v>
      </c>
      <c r="G9" s="1" t="s">
        <v>1770</v>
      </c>
      <c r="H9" s="1" t="s">
        <v>1771</v>
      </c>
      <c r="I9" s="1" t="s">
        <v>1772</v>
      </c>
    </row>
    <row r="10" spans="1:13">
      <c r="E10" s="1" t="s">
        <v>1773</v>
      </c>
      <c r="F10" s="1" t="s">
        <v>1774</v>
      </c>
      <c r="G10" s="1" t="s">
        <v>1775</v>
      </c>
      <c r="H10" s="1" t="s">
        <v>1776</v>
      </c>
      <c r="I10" s="1" t="s">
        <v>1402</v>
      </c>
    </row>
    <row r="11" spans="1:13" ht="30.75">
      <c r="F11" s="1" t="s">
        <v>1777</v>
      </c>
      <c r="G11" s="1" t="s">
        <v>1778</v>
      </c>
      <c r="H11" s="1" t="s">
        <v>1779</v>
      </c>
    </row>
    <row r="12" spans="1:13" ht="45.75">
      <c r="F12" s="1" t="s">
        <v>1780</v>
      </c>
      <c r="G12" s="1" t="s">
        <v>1781</v>
      </c>
    </row>
    <row r="13" spans="1:13">
      <c r="F13" s="1" t="s">
        <v>1782</v>
      </c>
      <c r="G13" s="1" t="s">
        <v>1783</v>
      </c>
    </row>
    <row r="14" spans="1:13">
      <c r="F14" s="1" t="s">
        <v>1784</v>
      </c>
    </row>
    <row r="15" spans="1:13">
      <c r="F15" s="1" t="s">
        <v>1785</v>
      </c>
    </row>
    <row r="16" spans="1:13">
      <c r="F16" s="1" t="s">
        <v>1786</v>
      </c>
    </row>
    <row r="17" spans="6:6">
      <c r="F17" s="1" t="s">
        <v>1402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2025-03-27T20:11:46Z</dcterms:created>
  <dcterms:modified xsi:type="dcterms:W3CDTF">2026-06-26T22:44:39Z</dcterms:modified>
  <cp:category/>
  <cp:contentStatus/>
</cp:coreProperties>
</file>